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ointments.csv" sheetId="1" r:id="rId5"/>
    <sheet state="visible" name="Pivot_Appointment Status Distri" sheetId="2" r:id="rId6"/>
    <sheet state="visible" name="Pivot_No-show Rate by Division" sheetId="3" r:id="rId7"/>
    <sheet state="visible" name="Lookup_Practice" sheetId="4" r:id="rId8"/>
    <sheet state="visible" name="Appointment Status Distribution" sheetId="5" r:id="rId9"/>
    <sheet state="visible" name="No-show Rate by Division" sheetId="6" r:id="rId10"/>
    <sheet state="visible" name="Appointments and Average Wait D" sheetId="7" r:id="rId11"/>
    <sheet state="visible" name="Pivot_Appointments and Average " sheetId="8" r:id="rId12"/>
    <sheet state="visible" name="Patient Age Group Distribution" sheetId="9" r:id="rId13"/>
    <sheet state="visible" name="Monthly Appointment Trend" sheetId="10" r:id="rId14"/>
    <sheet state="visible" name="Pivot_Monthly Appointment Trend" sheetId="11" r:id="rId15"/>
  </sheets>
  <definedNames/>
  <calcPr/>
  <pivotCaches>
    <pivotCache cacheId="0" r:id="rId16"/>
  </pivotCaches>
</workbook>
</file>

<file path=xl/sharedStrings.xml><?xml version="1.0" encoding="utf-8"?>
<sst xmlns="http://schemas.openxmlformats.org/spreadsheetml/2006/main" count="2120" uniqueCount="78">
  <si>
    <t>patient_age</t>
  </si>
  <si>
    <t>division</t>
  </si>
  <si>
    <t>specialty</t>
  </si>
  <si>
    <t>appointment_status</t>
  </si>
  <si>
    <t>consultation_fee_bdt</t>
  </si>
  <si>
    <t>wait_days</t>
  </si>
  <si>
    <t>appointment_date</t>
  </si>
  <si>
    <t>age_group</t>
  </si>
  <si>
    <t>month_num</t>
  </si>
  <si>
    <t>year</t>
  </si>
  <si>
    <t>month_name</t>
  </si>
  <si>
    <t>fee_tier</t>
  </si>
  <si>
    <t>fee_tier_v2</t>
  </si>
  <si>
    <t>fee_tier_v3</t>
  </si>
  <si>
    <t>Female</t>
  </si>
  <si>
    <t>Chattogram</t>
  </si>
  <si>
    <t>Gynecologist</t>
  </si>
  <si>
    <t>Completed</t>
  </si>
  <si>
    <t>Male</t>
  </si>
  <si>
    <t>Barishal</t>
  </si>
  <si>
    <t>Cardiologist</t>
  </si>
  <si>
    <t>Dhaka</t>
  </si>
  <si>
    <t>Pediatrician</t>
  </si>
  <si>
    <t>Orthopedic</t>
  </si>
  <si>
    <t>Cancelled</t>
  </si>
  <si>
    <t>Rajshahi</t>
  </si>
  <si>
    <t>General Physician</t>
  </si>
  <si>
    <t>Mymensingh</t>
  </si>
  <si>
    <t>No-show</t>
  </si>
  <si>
    <t>Khulna</t>
  </si>
  <si>
    <t>Dermatologist</t>
  </si>
  <si>
    <t>Sylhet</t>
  </si>
  <si>
    <t>Rangpur</t>
  </si>
  <si>
    <t>COUNTA of appointment_status</t>
  </si>
  <si>
    <t>Grand Total</t>
  </si>
  <si>
    <t>COUNTA of division</t>
  </si>
  <si>
    <t>No Show Rate%</t>
  </si>
  <si>
    <t>Specialty</t>
  </si>
  <si>
    <t>Fee Tier</t>
  </si>
  <si>
    <t>Premium</t>
  </si>
  <si>
    <t>Standard</t>
  </si>
  <si>
    <t>Basic</t>
  </si>
  <si>
    <t>Status</t>
  </si>
  <si>
    <t>Count</t>
  </si>
  <si>
    <t>Total</t>
  </si>
  <si>
    <t>Divison</t>
  </si>
  <si>
    <t>Total Appointments</t>
  </si>
  <si>
    <t>Total No-shows</t>
  </si>
  <si>
    <t>Rate%</t>
  </si>
  <si>
    <t xml:space="preserve">doctor_specialty  </t>
  </si>
  <si>
    <t>Appointment Counts</t>
  </si>
  <si>
    <t>Total Waiting Days</t>
  </si>
  <si>
    <t>Average Waiting Days</t>
  </si>
  <si>
    <t>COUNTA of specialty</t>
  </si>
  <si>
    <t>SUM of wait_days</t>
  </si>
  <si>
    <t>AVERAGE of wait_days</t>
  </si>
  <si>
    <t>Patient Age Group</t>
  </si>
  <si>
    <t>Senior (56+)</t>
  </si>
  <si>
    <t>Young Adult (18-35)</t>
  </si>
  <si>
    <t>Child (0-17)</t>
  </si>
  <si>
    <t>Middle Age (36-55)</t>
  </si>
  <si>
    <t>Month</t>
  </si>
  <si>
    <t>Month Number</t>
  </si>
  <si>
    <t>Monthly Appointments 2024</t>
  </si>
  <si>
    <t>Monthly Appointments 2023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</si>
  <si>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</si>
  <si>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</si>
  <si>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</si>
  <si>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</si>
  <si>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</si>
  <si>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</si>
  <si>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</si>
  <si>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</si>
  <si>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</si>
  <si>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</si>
  <si>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</si>
  <si>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</si>
  <si>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COUNTA of month_num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</si>
</sst>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1F1F1F"/>
      <name val="&quot;Google Sans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Font="1"/>
    <xf borderId="0" fillId="0" fontId="2" numFmtId="165" xfId="0" applyAlignment="1" applyFont="1" applyNumberFormat="1">
      <alignment readingOrder="0"/>
    </xf>
    <xf borderId="0" fillId="0" fontId="1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Appointment Status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'Pivot_Appointment Status Distri'!$B$1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'Pivot_Appointment Status Distri'!$A$2:$A$4</c:f>
            </c:strRef>
          </c:cat>
          <c:val>
            <c:numRef>
              <c:f>'Pivot_Appointment Status Distri'!$B$2:$B$4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No-show Rate by Division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'Pivot_No-show Rate by Division'!$F$1:$F$2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'Pivot_No-show Rate by Division'!$A$3:$A$10</c:f>
            </c:strRef>
          </c:cat>
          <c:val>
            <c:numRef>
              <c:f>'Pivot_No-show Rate by Division'!$F$3:$F$10</c:f>
              <c:numCache/>
            </c:numRef>
          </c:val>
        </c:ser>
        <c:axId val="234685961"/>
        <c:axId val="32116141"/>
      </c:barChart>
      <c:catAx>
        <c:axId val="234685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division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16141"/>
      </c:catAx>
      <c:valAx>
        <c:axId val="321161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 Show Rate%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4685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Appointment Status Distribution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'Appointment Status Distribution'!$B$1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'Appointment Status Distribution'!$A$2:$A$4</c:f>
            </c:strRef>
          </c:cat>
          <c:val>
            <c:numRef>
              <c:f>'Appointment Status Distribution'!$B$2:$B$4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No-show Rate by Division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'No-show Rate by Division'!$D$1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'No-show Rate by Division'!$A$2:$A$9</c:f>
            </c:strRef>
          </c:cat>
          <c:val>
            <c:numRef>
              <c:f>'No-show Rate by Division'!$D$2:$D$9</c:f>
              <c:numCache/>
            </c:numRef>
          </c:val>
        </c:ser>
        <c:axId val="197004522"/>
        <c:axId val="1811628457"/>
      </c:bar3DChart>
      <c:catAx>
        <c:axId val="19700452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Divison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628457"/>
      </c:catAx>
      <c:valAx>
        <c:axId val="18116284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No-show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0452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Appointments by Doctor's Specialty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'Appointments and Average Wait D'!$B$1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'Appointments and Average Wait D'!$A$2:$A$7</c:f>
            </c:strRef>
          </c:cat>
          <c:val>
            <c:numRef>
              <c:f>'Appointments and Average Wait D'!$B$2:$B$7</c:f>
              <c:numCache/>
            </c:numRef>
          </c:val>
          <c:smooth val="1"/>
        </c:ser>
        <c:axId val="1559778653"/>
        <c:axId val="276975414"/>
      </c:lineChart>
      <c:catAx>
        <c:axId val="1559778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Doctor's specialty 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975414"/>
      </c:catAx>
      <c:valAx>
        <c:axId val="276975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Appointments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7786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Average Wait Days by Specialty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'Appointments and Average Wait D'!$D$1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'Appointments and Average Wait D'!$A$2:$A$7</c:f>
            </c:strRef>
          </c:cat>
          <c:val>
            <c:numRef>
              <c:f>'Appointments and Average Wait D'!$D$2:$D$7</c:f>
              <c:numCache/>
            </c:numRef>
          </c:val>
        </c:ser>
        <c:axId val="1899645685"/>
        <c:axId val="926097277"/>
      </c:barChart>
      <c:catAx>
        <c:axId val="1899645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doctor's specialty 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6097277"/>
      </c:catAx>
      <c:valAx>
        <c:axId val="926097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Waiting 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645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Appointments by Doctor's Specialty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'Pivot_Appointments and Average '!$B$1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'Pivot_Appointments and Average '!$A$2:$A$7</c:f>
            </c:strRef>
          </c:cat>
          <c:val>
            <c:numRef>
              <c:f>'Pivot_Appointments and Average '!$B$2:$B$7</c:f>
              <c:numCache/>
            </c:numRef>
          </c:val>
        </c:ser>
        <c:axId val="1835447897"/>
        <c:axId val="1834961035"/>
      </c:barChart>
      <c:catAx>
        <c:axId val="1835447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specialty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4961035"/>
      </c:catAx>
      <c:valAx>
        <c:axId val="1834961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specialty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54478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Average Wait Days by Specialty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'Pivot_Appointments and Average '!$D$1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'Pivot_Appointments and Average '!$A$2:$A$7</c:f>
            </c:strRef>
          </c:cat>
          <c:val>
            <c:numRef>
              <c:f>'Pivot_Appointments and Average '!$D$2:$D$7</c:f>
              <c:numCache/>
            </c:numRef>
          </c:val>
        </c:ser>
        <c:axId val="1485821120"/>
        <c:axId val="1154978944"/>
      </c:barChart>
      <c:catAx>
        <c:axId val="1485821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specialty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978944"/>
      </c:catAx>
      <c:valAx>
        <c:axId val="11549789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wait_days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58211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Patient Age Group Distribution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'Patient Age Group Distribution'!$B$1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'Patient Age Group Distribution'!$A$2:$A$5</c:f>
            </c:strRef>
          </c:cat>
          <c:val>
            <c:numRef>
              <c:f>'Patient Age Group Distribution'!$B$2:$B$5</c:f>
              <c:numCache/>
            </c:numRef>
          </c:val>
        </c:ser>
        <c:axId val="274030156"/>
        <c:axId val="1928784536"/>
      </c:barChart>
      <c:catAx>
        <c:axId val="274030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Patient Age Group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8784536"/>
      </c:catAx>
      <c:valAx>
        <c:axId val="1928784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Patients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030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(2024)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'Monthly Appointment Trend'!$C$1</c:f>
            </c:strRef>
          </c:tx>
          <c:spPr>
            <a:ln cmpd="sng">
              <a:solidFill>
                <a:srgbClr val="4285F4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'Monthly Appointment Trend'!$A$2:$A$13</c:f>
            </c:strRef>
          </c:cat>
          <c:val>
            <c:numRef>
              <c:f>'Monthly Appointment Trend'!$C$2:$C$13</c:f>
              <c:numCache/>
            </c:numRef>
          </c:val>
          <c:smooth val="1"/>
        </c:ser>
        <c:axId val="1095872722"/>
        <c:axId val="666080097"/>
      </c:lineChart>
      <c:catAx>
        <c:axId val="1095872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080097"/>
      </c:catAx>
      <c:valAx>
        <c:axId val="666080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Monthly Appointments 2024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5872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(2023)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'Monthly Appointment Trend'!$D$1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'Monthly Appointment Trend'!$A$2:$A$13</c:f>
            </c:strRef>
          </c:cat>
          <c:val>
            <c:numRef>
              <c:f>'Monthly Appointment Trend'!$D$2:$D$13</c:f>
              <c:numCache/>
            </c:numRef>
          </c:val>
          <c:smooth val="1"/>
        </c:ser>
        <c:axId val="1195409331"/>
        <c:axId val="1767833796"/>
      </c:lineChart>
      <c:catAx>
        <c:axId val="1195409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7833796"/>
      </c:catAx>
      <c:valAx>
        <c:axId val="1767833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Monthly Appointments 2023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409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(2023)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'Pivot_Monthly Appointment Trend'!$B$1:$B$2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'Pivot_Monthly Appointment Trend'!$A$3:$A$14</c:f>
            </c:strRef>
          </c:cat>
          <c:val>
            <c:numRef>
              <c:f>'Pivot_Monthly Appointment Trend'!$B$3:$B$14</c:f>
              <c:numCache/>
            </c:numRef>
          </c:val>
          <c:smooth val="1"/>
        </c:ser>
        <c:axId val="464505375"/>
        <c:axId val="1684201086"/>
      </c:lineChart>
      <c:catAx>
        <c:axId val="464505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201086"/>
      </c:catAx>
      <c:valAx>
        <c:axId val="1684201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5053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(2024)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'Pivot_Monthly Appointment Trend'!$C$1:$C$2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'Pivot_Monthly Appointment Trend'!$A$3:$A$14</c:f>
            </c:strRef>
          </c:cat>
          <c:val>
            <c:numRef>
              <c:f>'Pivot_Monthly Appointment Trend'!$C$3:$C$14</c:f>
              <c:numCache/>
            </c:numRef>
          </c:val>
          <c:smooth val="1"/>
        </c:ser>
        <c:axId val="368208078"/>
        <c:axId val="820769405"/>
      </c:lineChart>
      <c:catAx>
        <c:axId val="368208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month_num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0769405"/>
      </c:catAx>
      <c:valAx>
        <c:axId val="820769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8208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</xdr:colOff>
      <xdr:row>5</xdr:row>
      <xdr:rowOff>171450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390525</xdr:colOff>
      <xdr:row>1</xdr:row>
      <xdr:rowOff>123825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323850</xdr:colOff>
      <xdr:row>2</xdr:row>
      <xdr:rowOff>123825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0</xdr:row>
      <xdr:rowOff>161925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152400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7</xdr:row>
      <xdr:rowOff>190500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8</xdr:row>
      <xdr:rowOff>47625</xdr:rowOff>
    </xdr:from>
    <xdr:ext cx="5715000" cy="28384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295275</xdr:colOff>
      <xdr:row>0</xdr:row>
      <xdr:rowOff>133350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247650</xdr:colOff>
      <xdr:row>1</xdr:row>
      <xdr:rowOff>200025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66675</xdr:colOff>
      <xdr:row>1</xdr:row>
      <xdr:rowOff>0</xdr:rowOff>
    </xdr:from>
    <xdr:ext cx="4905375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171450</xdr:colOff>
      <xdr:row>0</xdr:row>
      <xdr:rowOff>200025</xdr:rowOff>
    </xdr:from>
    <xdr:ext cx="5238750" cy="35337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142875</xdr:colOff>
      <xdr:row>0</xdr:row>
      <xdr:rowOff>0</xdr:rowOff>
    </xdr:from>
    <xdr:ext cx="4752975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0</xdr:colOff>
      <xdr:row>0</xdr:row>
      <xdr:rowOff>9525</xdr:rowOff>
    </xdr:from>
    <xdr:ext cx="4943475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O501" sheet="appointments.csv"/>
  </cacheSource>
  <cacheFields>
    <cacheField name="patient_age" numFmtId="0">
      <sharedItems containsSemiMixedTypes="0" containsString="0" containsNumber="1" containsInteger="1">
        <n v="56.0"/>
        <n v="19.0"/>
        <n v="76.0"/>
        <n v="65.0"/>
        <n v="25.0"/>
        <n v="79.0"/>
        <n v="28.0"/>
        <n v="7.0"/>
        <n v="26.0"/>
        <n v="57.0"/>
        <n v="6.0"/>
        <n v="34.0"/>
        <n v="42.0"/>
        <n v="68.0"/>
        <n v="64.0"/>
        <n v="37.0"/>
        <n v="62.0"/>
        <n v="53.0"/>
        <n v="63.0"/>
        <n v="46.0"/>
        <n v="66.0"/>
        <n v="51.0"/>
        <n v="55.0"/>
        <n v="59.0"/>
        <n v="11.0"/>
        <n v="77.0"/>
        <n v="43.0"/>
        <n v="22.0"/>
        <n v="8.0"/>
        <n v="18.0"/>
        <n v="13.0"/>
        <n v="75.0"/>
        <n v="48.0"/>
        <n v="12.0"/>
        <n v="39.0"/>
        <n v="40.0"/>
        <n v="54.0"/>
        <n v="10.0"/>
        <n v="58.0"/>
        <n v="67.0"/>
        <n v="38.0"/>
        <n v="78.0"/>
        <n v="52.0"/>
        <n v="44.0"/>
        <n v="30.0"/>
        <n v="45.0"/>
        <n v="33.0"/>
        <n v="49.0"/>
        <n v="69.0"/>
        <n v="5.0"/>
        <n v="15.0"/>
        <n v="9.0"/>
        <n v="32.0"/>
        <n v="16.0"/>
        <n v="27.0"/>
        <n v="41.0"/>
        <n v="31.0"/>
        <n v="47.0"/>
        <n v="17.0"/>
        <n v="36.0"/>
        <n v="70.0"/>
        <n v="61.0"/>
        <n v="74.0"/>
        <n v="60.0"/>
        <n v="23.0"/>
        <n v="72.0"/>
        <n v="21.0"/>
        <n v="73.0"/>
        <n v="20.0"/>
        <n v="24.0"/>
        <n v="71.0"/>
        <n v="35.0"/>
        <n v="29.0"/>
        <n v="50.0"/>
        <n v="14.0"/>
      </sharedItems>
    </cacheField>
    <cacheField name="patient_age2" numFmtId="0">
      <sharedItems>
        <s v="Female"/>
        <s v="Male"/>
      </sharedItems>
    </cacheField>
    <cacheField name="division" numFmtId="0">
      <sharedItems>
        <s v="Chattogram"/>
        <s v="Barishal"/>
        <s v="Dhaka"/>
        <s v="Rajshahi"/>
        <s v="Mymensingh"/>
        <s v="Khulna"/>
        <s v="Sylhet"/>
        <s v="Rangpur"/>
      </sharedItems>
    </cacheField>
    <cacheField name="specialty" numFmtId="0">
      <sharedItems>
        <s v="Gynecologist"/>
        <s v="Cardiologist"/>
        <s v="Pediatrician"/>
        <s v="Orthopedic"/>
        <s v="General Physician"/>
        <s v="Dermatologist"/>
      </sharedItems>
    </cacheField>
    <cacheField name="appointment_status" numFmtId="0">
      <sharedItems>
        <s v="Completed"/>
        <s v="Cancelled"/>
        <s v="No-show"/>
      </sharedItems>
    </cacheField>
    <cacheField name="consultation_fee_bdt" numFmtId="0">
      <sharedItems containsSemiMixedTypes="0" containsString="0" containsNumber="1" containsInteger="1">
        <n v="914.0"/>
        <n v="1546.0"/>
        <n v="725.0"/>
        <n v="1492.0"/>
        <n v="1331.0"/>
        <n v="420.0"/>
        <n v="937.0"/>
        <n v="1675.0"/>
        <n v="556.0"/>
        <n v="878.0"/>
        <n v="531.0"/>
        <n v="927.0"/>
        <n v="1659.0"/>
        <n v="1175.0"/>
        <n v="766.0"/>
        <n v="1593.0"/>
        <n v="1061.0"/>
        <n v="956.0"/>
        <n v="971.0"/>
        <n v="486.0"/>
        <n v="1161.0"/>
        <n v="1113.0"/>
        <n v="1552.0"/>
        <n v="1309.0"/>
        <n v="760.0"/>
        <n v="667.0"/>
        <n v="961.0"/>
        <n v="1617.0"/>
        <n v="982.0"/>
        <n v="535.0"/>
        <n v="808.0"/>
        <n v="1340.0"/>
        <n v="1041.0"/>
        <n v="1690.0"/>
        <n v="1136.0"/>
        <n v="1576.0"/>
        <n v="1240.0"/>
        <n v="1088.0"/>
        <n v="948.0"/>
        <n v="589.0"/>
        <n v="1035.0"/>
        <n v="742.0"/>
        <n v="1189.0"/>
        <n v="1194.0"/>
        <n v="1644.0"/>
        <n v="891.0"/>
        <n v="805.0"/>
        <n v="1132.0"/>
        <n v="1164.0"/>
        <n v="440.0"/>
        <n v="916.0"/>
        <n v="1176.0"/>
        <n v="958.0"/>
        <n v="1582.0"/>
        <n v="940.0"/>
        <n v="938.0"/>
        <n v="666.0"/>
        <n v="1226.0"/>
        <n v="1145.0"/>
        <n v="944.0"/>
        <n v="900.0"/>
        <n v="1267.0"/>
        <n v="1007.0"/>
        <n v="418.0"/>
        <n v="1008.0"/>
        <n v="967.0"/>
        <n v="1139.0"/>
        <n v="1489.0"/>
        <n v="502.0"/>
        <n v="1649.0"/>
        <n v="1407.0"/>
        <n v="852.0"/>
        <n v="573.0"/>
        <n v="557.0"/>
        <n v="614.0"/>
        <n v="576.0"/>
        <n v="574.0"/>
        <n v="845.0"/>
        <n v="1060.0"/>
        <n v="1526.0"/>
        <n v="481.0"/>
        <n v="1046.0"/>
        <n v="1138.0"/>
        <n v="1483.0"/>
        <n v="812.0"/>
        <n v="1324.0"/>
        <n v="1342.0"/>
        <n v="1042.0"/>
        <n v="1157.0"/>
        <n v="1684.0"/>
        <n v="1204.0"/>
        <n v="1101.0"/>
        <n v="965.0"/>
        <n v="950.0"/>
        <n v="1017.0"/>
        <n v="600.0"/>
        <n v="738.0"/>
        <n v="427.0"/>
        <n v="1658.0"/>
        <n v="483.0"/>
        <n v="554.0"/>
        <n v="1216.0"/>
        <n v="901.0"/>
        <n v="992.0"/>
        <n v="865.0"/>
        <n v="695.0"/>
        <n v="957.0"/>
        <n v="980.0"/>
        <n v="1167.0"/>
        <n v="634.0"/>
        <n v="1612.0"/>
        <n v="461.0"/>
        <n v="1148.0"/>
        <n v="1026.0"/>
        <n v="1622.0"/>
        <n v="678.0"/>
        <n v="993.0"/>
        <n v="1683.0"/>
        <n v="1676.0"/>
        <n v="506.0"/>
        <n v="1545.0"/>
        <n v="798.0"/>
        <n v="972.0"/>
        <n v="1521.0"/>
        <n v="929.0"/>
        <n v="887.0"/>
        <n v="687.0"/>
        <n v="1094.0"/>
        <n v="1555.0"/>
        <n v="1071.0"/>
        <n v="740.0"/>
        <n v="1462.0"/>
        <n v="922.0"/>
        <n v="1174.0"/>
        <n v="947.0"/>
        <n v="1559.0"/>
        <n v="1499.0"/>
        <n v="566.0"/>
        <n v="1055.0"/>
        <n v="1106.0"/>
        <n v="1295.0"/>
        <n v="755.0"/>
        <n v="1592.0"/>
        <n v="946.0"/>
        <n v="847.0"/>
        <n v="1556.0"/>
        <n v="1301.0"/>
        <n v="525.0"/>
        <n v="1393.0"/>
        <n v="763.0"/>
        <n v="1075.0"/>
        <n v="515.0"/>
        <n v="903.0"/>
        <n v="1430.0"/>
        <n v="512.0"/>
        <n v="1474.0"/>
        <n v="1144.0"/>
        <n v="1159.0"/>
        <n v="1553.0"/>
        <n v="1054.0"/>
        <n v="1633.0"/>
        <n v="1450.0"/>
        <n v="1024.0"/>
        <n v="729.0"/>
        <n v="936.0"/>
        <n v="1069.0"/>
        <n v="1223.0"/>
        <n v="734.0"/>
        <n v="986.0"/>
        <n v="533.0"/>
        <n v="895.0"/>
        <n v="1173.0"/>
        <n v="1384.0"/>
        <n v="476.0"/>
        <n v="1158.0"/>
        <n v="1508.0"/>
        <n v="1123.0"/>
        <n v="677.0"/>
        <n v="768.0"/>
        <n v="564.0"/>
        <n v="441.0"/>
        <n v="750.0"/>
        <n v="1149.0"/>
        <n v="920.0"/>
        <n v="1699.0"/>
        <n v="1238.0"/>
        <n v="1491.0"/>
        <n v="1179.0"/>
        <n v="824.0"/>
        <n v="510.0"/>
        <n v="538.0"/>
        <n v="998.0"/>
        <n v="651.0"/>
        <n v="503.0"/>
        <n v="613.0"/>
        <n v="1348.0"/>
        <n v="1251.0"/>
        <n v="1674.0"/>
        <n v="864.0"/>
        <n v="707.0"/>
        <n v="983.0"/>
        <n v="904.0"/>
        <n v="1244.0"/>
        <n v="1000.0"/>
        <n v="1063.0"/>
        <n v="963.0"/>
        <n v="790.0"/>
        <n v="1516.0"/>
        <n v="1272.0"/>
        <n v="1146.0"/>
        <n v="1039.0"/>
        <n v="1345.0"/>
        <n v="848.0"/>
        <n v="704.0"/>
        <n v="1083.0"/>
        <n v="719.0"/>
        <n v="945.0"/>
        <n v="1411.0"/>
        <n v="969.0"/>
        <n v="1416.0"/>
        <n v="546.0"/>
        <n v="507.0"/>
        <n v="635.0"/>
        <n v="1469.0"/>
        <n v="1082.0"/>
        <n v="801.0"/>
        <n v="974.0"/>
        <n v="615.0"/>
        <n v="602.0"/>
        <n v="1091.0"/>
        <n v="1641.0"/>
        <n v="578.0"/>
        <n v="918.0"/>
        <n v="981.0"/>
        <n v="1074.0"/>
        <n v="1638.0"/>
        <n v="1062.0"/>
        <n v="447.0"/>
        <n v="1015.0"/>
        <n v="1124.0"/>
        <n v="762.0"/>
        <n v="412.0"/>
        <n v="588.0"/>
        <n v="1386.0"/>
        <n v="1107.0"/>
        <n v="813.0"/>
        <n v="1421.0"/>
        <n v="570.0"/>
        <n v="953.0"/>
        <n v="1197.0"/>
        <n v="1225.0"/>
        <n v="976.0"/>
        <n v="603.0"/>
        <n v="1093.0"/>
        <n v="568.0"/>
        <n v="1551.0"/>
        <n v="1134.0"/>
        <n v="1583.0"/>
        <n v="685.0"/>
        <n v="456.0"/>
        <n v="921.0"/>
        <n v="1663.0"/>
        <n v="1381.0"/>
        <n v="1012.0"/>
        <n v="834.0"/>
        <n v="1466.0"/>
        <n v="1464.0"/>
        <n v="1191.0"/>
        <n v="724.0"/>
        <n v="700.0"/>
        <n v="840.0"/>
        <n v="931.0"/>
        <n v="1587.0"/>
        <n v="827.0"/>
        <n v="1100.0"/>
        <n v="826.0"/>
        <n v="1156.0"/>
        <n v="1563.0"/>
        <n v="934.0"/>
        <n v="1090.0"/>
        <n v="803.0"/>
        <n v="722.0"/>
        <n v="664.0"/>
        <n v="471.0"/>
        <n v="1087.0"/>
        <n v="572.0"/>
        <n v="989.0"/>
        <n v="482.0"/>
        <n v="822.0"/>
        <n v="1415.0"/>
        <n v="1165.0"/>
        <n v="1044.0"/>
        <n v="1333.0"/>
        <n v="843.0"/>
        <n v="712.0"/>
        <n v="1694.0"/>
        <n v="1614.0"/>
        <n v="1019.0"/>
        <n v="754.0"/>
        <n v="926.0"/>
        <n v="1517.0"/>
        <n v="1320.0"/>
        <n v="1630.0"/>
        <n v="952.0"/>
        <n v="994.0"/>
        <n v="932.0"/>
        <n v="1257.0"/>
        <n v="1668.0"/>
        <n v="720.0"/>
        <n v="680.0"/>
        <n v="430.0"/>
        <n v="1122.0"/>
        <n v="731.0"/>
        <n v="973.0"/>
        <n v="909.0"/>
        <n v="951.0"/>
        <n v="1547.0"/>
        <n v="559.0"/>
        <n v="1413.0"/>
        <n v="1277.0"/>
        <n v="1152.0"/>
        <n v="890.0"/>
        <n v="1304.0"/>
        <n v="1363.0"/>
        <n v="1218.0"/>
        <n v="647.0"/>
        <n v="1448.0"/>
        <n v="978.0"/>
        <n v="640.0"/>
        <n v="1053.0"/>
        <n v="1673.0"/>
        <n v="995.0"/>
        <n v="1613.0"/>
        <n v="1693.0"/>
        <n v="1108.0"/>
        <n v="787.0"/>
        <n v="1256.0"/>
        <n v="1038.0"/>
        <n v="1220.0"/>
        <n v="764.0"/>
        <n v="1206.0"/>
        <n v="846.0"/>
        <n v="1036.0"/>
        <n v="561.0"/>
        <n v="999.0"/>
        <n v="1040.0"/>
        <n v="1597.0"/>
        <n v="1511.0"/>
        <n v="955.0"/>
        <n v="1578.0"/>
        <n v="885.0"/>
        <n v="1317.0"/>
        <n v="616.0"/>
        <n v="874.0"/>
        <n v="422.0"/>
        <n v="912.0"/>
        <n v="1200.0"/>
        <n v="1423.0"/>
        <n v="910.0"/>
        <n v="1372.0"/>
        <n v="1180.0"/>
        <n v="610.0"/>
        <n v="1392.0"/>
        <n v="1397.0"/>
        <n v="800.0"/>
        <n v="727.0"/>
        <n v="1045.0"/>
        <n v="1355.0"/>
        <n v="1126.0"/>
        <n v="1135.0"/>
        <n v="1128.0"/>
        <n v="1236.0"/>
        <n v="1065.0"/>
        <n v="1072.0"/>
        <n v="636.0"/>
        <n v="1315.0"/>
        <n v="1362.0"/>
        <n v="1373.0"/>
        <n v="902.0"/>
        <n v="548.0"/>
        <n v="1151.0"/>
        <n v="1634.0"/>
        <n v="1326.0"/>
        <n v="748.0"/>
        <n v="1217.0"/>
        <n v="753.0"/>
        <n v="1237.0"/>
        <n v="1452.0"/>
        <n v="943.0"/>
        <n v="445.0"/>
        <n v="1064.0"/>
        <n v="501.0"/>
        <n v="1357.0"/>
        <n v="1262.0"/>
        <n v="1001.0"/>
        <n v="416.0"/>
        <n v="1367.0"/>
        <n v="1081.0"/>
        <n v="923.0"/>
        <n v="728.0"/>
        <n v="870.0"/>
      </sharedItems>
    </cacheField>
    <cacheField name="wait_days" numFmtId="0">
      <sharedItems containsSemiMixedTypes="0" containsString="0" containsNumber="1" containsInteger="1">
        <n v="4.0"/>
        <n v="6.0"/>
        <n v="1.0"/>
        <n v="20.0"/>
        <n v="16.0"/>
        <n v="15.0"/>
        <n v="17.0"/>
        <n v="8.0"/>
        <n v="12.0"/>
        <n v="10.0"/>
        <n v="9.0"/>
        <n v="2.0"/>
        <n v="5.0"/>
        <n v="7.0"/>
        <n v="11.0"/>
        <n v="13.0"/>
        <n v="19.0"/>
        <n v="3.0"/>
        <n v="18.0"/>
        <n v="14.0"/>
      </sharedItems>
    </cacheField>
    <cacheField name="appointment_date" numFmtId="164">
      <sharedItems containsSemiMixedTypes="0" containsDate="1" containsString="0">
        <d v="2023-11-19T00:00:00Z"/>
        <d v="2024-06-07T00:00:00Z"/>
        <d v="2023-02-27T00:00:00Z"/>
        <d v="2024-03-17T00:00:00Z"/>
        <d v="2023-04-06T00:00:00Z"/>
        <d v="2024-05-24T00:00:00Z"/>
        <d v="2023-09-06T00:00:00Z"/>
        <d v="2023-12-02T00:00:00Z"/>
        <d v="2024-04-06T00:00:00Z"/>
        <d v="2024-11-23T00:00:00Z"/>
        <d v="2024-09-05T00:00:00Z"/>
        <d v="2023-10-20T00:00:00Z"/>
        <d v="2023-03-04T00:00:00Z"/>
        <d v="2024-08-22T00:00:00Z"/>
        <d v="2023-12-26T00:00:00Z"/>
        <d v="2023-01-17T00:00:00Z"/>
        <d v="2023-11-11T00:00:00Z"/>
        <d v="2023-09-04T00:00:00Z"/>
        <d v="2023-09-26T00:00:00Z"/>
        <d v="2023-10-13T00:00:00Z"/>
        <d v="2023-02-20T00:00:00Z"/>
        <d v="2024-04-26T00:00:00Z"/>
        <d v="2024-08-17T00:00:00Z"/>
        <d v="2024-07-09T00:00:00Z"/>
        <d v="2023-01-04T00:00:00Z"/>
        <d v="2023-05-23T00:00:00Z"/>
        <d v="2024-07-14T00:00:00Z"/>
        <d v="2023-04-19T00:00:00Z"/>
        <d v="2024-01-26T00:00:00Z"/>
        <d v="2023-09-03T00:00:00Z"/>
        <d v="2023-05-14T00:00:00Z"/>
        <d v="2024-11-08T00:00:00Z"/>
        <d v="2024-02-24T00:00:00Z"/>
        <d v="2024-08-27T00:00:00Z"/>
        <d v="2024-11-01T00:00:00Z"/>
        <d v="2024-02-10T00:00:00Z"/>
        <d v="2023-03-18T00:00:00Z"/>
        <d v="2023-10-16T00:00:00Z"/>
        <d v="2023-01-08T00:00:00Z"/>
        <d v="2024-02-12T00:00:00Z"/>
        <d v="2024-07-08T00:00:00Z"/>
        <d v="2024-10-24T00:00:00Z"/>
        <d v="2024-02-16T00:00:00Z"/>
        <d v="2024-06-18T00:00:00Z"/>
        <d v="2023-11-12T00:00:00Z"/>
        <d v="2023-08-27T00:00:00Z"/>
        <d v="2023-03-09T00:00:00Z"/>
        <d v="2024-10-15T00:00:00Z"/>
        <d v="2024-06-16T00:00:00Z"/>
        <d v="2024-01-24T00:00:00Z"/>
        <d v="2024-07-12T00:00:00Z"/>
        <d v="2024-08-24T00:00:00Z"/>
        <d v="2023-08-14T00:00:00Z"/>
        <d v="2024-03-13T00:00:00Z"/>
        <d v="2024-10-25T00:00:00Z"/>
        <d v="2024-01-02T00:00:00Z"/>
        <d v="2024-09-03T00:00:00Z"/>
        <d v="2023-06-26T00:00:00Z"/>
        <d v="2023-11-24T00:00:00Z"/>
        <d v="2024-09-22T00:00:00Z"/>
        <d v="2023-07-10T00:00:00Z"/>
        <d v="2023-01-09T00:00:00Z"/>
        <d v="2024-12-26T00:00:00Z"/>
        <d v="2024-12-20T00:00:00Z"/>
        <d v="2024-01-08T00:00:00Z"/>
        <d v="2024-06-10T00:00:00Z"/>
        <d v="2024-05-19T00:00:00Z"/>
        <d v="2024-08-05T00:00:00Z"/>
        <d v="2024-11-03T00:00:00Z"/>
        <d v="2023-05-26T00:00:00Z"/>
        <d v="2024-02-27T00:00:00Z"/>
        <d v="2024-10-16T00:00:00Z"/>
        <d v="2024-11-17T00:00:00Z"/>
        <d v="2023-11-15T00:00:00Z"/>
        <d v="2024-12-03T00:00:00Z"/>
        <d v="2024-06-12T00:00:00Z"/>
        <d v="2024-10-09T00:00:00Z"/>
        <d v="2023-08-21T00:00:00Z"/>
        <d v="2024-04-12T00:00:00Z"/>
        <d v="2024-02-26T00:00:00Z"/>
        <d v="2024-12-15T00:00:00Z"/>
        <d v="2023-11-02T00:00:00Z"/>
        <d v="2024-05-23T00:00:00Z"/>
        <d v="2024-12-18T00:00:00Z"/>
        <d v="2024-02-20T00:00:00Z"/>
        <d v="2023-02-12T00:00:00Z"/>
        <d v="2023-06-23T00:00:00Z"/>
        <d v="2024-11-04T00:00:00Z"/>
        <d v="2023-10-23T00:00:00Z"/>
        <d v="2023-09-16T00:00:00Z"/>
        <d v="2023-04-23T00:00:00Z"/>
        <d v="2024-07-01T00:00:00Z"/>
        <d v="2023-11-22T00:00:00Z"/>
        <d v="2023-06-25T00:00:00Z"/>
        <d v="2023-08-02T00:00:00Z"/>
        <d v="2024-04-03T00:00:00Z"/>
        <d v="2023-01-21T00:00:00Z"/>
        <d v="2023-07-25T00:00:00Z"/>
        <d v="2023-03-20T00:00:00Z"/>
        <d v="2023-06-17T00:00:00Z"/>
        <d v="2023-09-22T00:00:00Z"/>
        <d v="2024-01-21T00:00:00Z"/>
        <d v="2023-06-01T00:00:00Z"/>
        <d v="2023-06-20T00:00:00Z"/>
        <d v="2023-05-06T00:00:00Z"/>
        <d v="2023-05-15T00:00:00Z"/>
        <d v="2023-01-26T00:00:00Z"/>
        <d v="2024-10-26T00:00:00Z"/>
        <d v="2023-12-14T00:00:00Z"/>
        <d v="2023-05-20T00:00:00Z"/>
        <d v="2023-02-15T00:00:00Z"/>
        <d v="2024-03-25T00:00:00Z"/>
        <d v="2024-04-21T00:00:00Z"/>
        <d v="2024-03-24T00:00:00Z"/>
        <d v="2023-03-25T00:00:00Z"/>
        <d v="2023-04-26T00:00:00Z"/>
        <d v="2023-05-05T00:00:00Z"/>
        <d v="2024-01-06T00:00:00Z"/>
        <d v="2023-04-17T00:00:00Z"/>
        <d v="2023-12-11T00:00:00Z"/>
        <d v="2024-12-16T00:00:00Z"/>
        <d v="2024-11-12T00:00:00Z"/>
        <d v="2024-08-15T00:00:00Z"/>
        <d v="2023-07-04T00:00:00Z"/>
        <d v="2024-09-27T00:00:00Z"/>
        <d v="2023-05-18T00:00:00Z"/>
        <d v="2024-10-21T00:00:00Z"/>
        <d v="2023-08-22T00:00:00Z"/>
        <d v="2024-09-08T00:00:00Z"/>
        <d v="2024-07-23T00:00:00Z"/>
        <d v="2024-07-03T00:00:00Z"/>
        <d v="2023-05-08T00:00:00Z"/>
        <d v="2024-04-18T00:00:00Z"/>
        <d v="2024-10-10T00:00:00Z"/>
        <d v="2024-01-25T00:00:00Z"/>
        <d v="2024-10-20T00:00:00Z"/>
        <d v="2024-10-17T00:00:00Z"/>
        <d v="2024-01-23T00:00:00Z"/>
        <d v="2023-01-11T00:00:00Z"/>
        <d v="2024-09-26T00:00:00Z"/>
        <d v="2023-06-13T00:00:00Z"/>
        <d v="2023-03-21T00:00:00Z"/>
        <d v="2024-03-23T00:00:00Z"/>
        <d v="2023-07-05T00:00:00Z"/>
        <d v="2024-06-24T00:00:00Z"/>
        <d v="2024-06-13T00:00:00Z"/>
        <d v="2024-05-06T00:00:00Z"/>
        <d v="2024-10-05T00:00:00Z"/>
        <d v="2023-07-09T00:00:00Z"/>
        <d v="2024-01-27T00:00:00Z"/>
        <d v="2023-12-16T00:00:00Z"/>
        <d v="2024-07-02T00:00:00Z"/>
        <d v="2024-03-01T00:00:00Z"/>
        <d v="2023-06-19T00:00:00Z"/>
        <d v="2024-09-11T00:00:00Z"/>
        <d v="2024-05-12T00:00:00Z"/>
        <d v="2024-04-07T00:00:00Z"/>
        <d v="2023-07-26T00:00:00Z"/>
        <d v="2024-01-13T00:00:00Z"/>
        <d v="2023-07-27T00:00:00Z"/>
        <d v="2024-08-08T00:00:00Z"/>
        <d v="2023-05-22T00:00:00Z"/>
        <d v="2023-02-26T00:00:00Z"/>
        <d v="2024-05-09T00:00:00Z"/>
        <d v="2024-02-21T00:00:00Z"/>
        <d v="2024-06-15T00:00:00Z"/>
        <d v="2023-01-02T00:00:00Z"/>
        <d v="2024-11-20T00:00:00Z"/>
        <d v="2023-03-12T00:00:00Z"/>
        <d v="2024-10-01T00:00:00Z"/>
        <d v="2024-12-22T00:00:00Z"/>
        <d v="2023-03-08T00:00:00Z"/>
        <d v="2024-04-05T00:00:00Z"/>
        <d v="2024-02-15T00:00:00Z"/>
        <d v="2023-09-01T00:00:00Z"/>
        <d v="2023-10-01T00:00:00Z"/>
        <d v="2023-12-25T00:00:00Z"/>
        <d v="2024-11-10T00:00:00Z"/>
        <d v="2024-07-22T00:00:00Z"/>
        <d v="2024-07-10T00:00:00Z"/>
        <d v="2024-06-21T00:00:00Z"/>
        <d v="2023-03-15T00:00:00Z"/>
        <d v="2024-06-17T00:00:00Z"/>
        <d v="2024-08-06T00:00:00Z"/>
        <d v="2024-08-03T00:00:00Z"/>
        <d v="2024-11-13T00:00:00Z"/>
        <d v="2024-09-16T00:00:00Z"/>
        <d v="2023-01-15T00:00:00Z"/>
        <d v="2024-10-22T00:00:00Z"/>
        <d v="2024-08-26T00:00:00Z"/>
        <d v="2023-02-06T00:00:00Z"/>
        <d v="2023-02-17T00:00:00Z"/>
        <d v="2023-03-16T00:00:00Z"/>
        <d v="2023-06-14T00:00:00Z"/>
        <d v="2023-01-03T00:00:00Z"/>
        <d v="2024-05-14T00:00:00Z"/>
        <d v="2023-07-14T00:00:00Z"/>
        <d v="2024-10-08T00:00:00Z"/>
        <d v="2023-05-27T00:00:00Z"/>
        <d v="2024-01-17T00:00:00Z"/>
        <d v="2024-03-21T00:00:00Z"/>
        <d v="2023-07-24T00:00:00Z"/>
        <d v="2024-10-03T00:00:00Z"/>
        <d v="2023-01-23T00:00:00Z"/>
        <d v="2023-11-25T00:00:00Z"/>
        <d v="2023-09-02T00:00:00Z"/>
        <d v="2023-11-26T00:00:00Z"/>
        <d v="2024-11-26T00:00:00Z"/>
        <d v="2024-12-06T00:00:00Z"/>
        <d v="2024-09-06T00:00:00Z"/>
        <d v="2024-06-27T00:00:00Z"/>
        <d v="2023-12-18T00:00:00Z"/>
        <d v="2023-09-18T00:00:00Z"/>
        <d v="2024-08-04T00:00:00Z"/>
        <d v="2023-08-17T00:00:00Z"/>
        <d v="2023-09-14T00:00:00Z"/>
        <d v="2024-09-13T00:00:00Z"/>
        <d v="2024-03-07T00:00:00Z"/>
        <d v="2024-12-12T00:00:00Z"/>
        <d v="2023-03-23T00:00:00Z"/>
        <d v="2023-09-19T00:00:00Z"/>
        <d v="2023-07-11T00:00:00Z"/>
        <d v="2024-03-12T00:00:00Z"/>
        <d v="2024-02-03T00:00:00Z"/>
        <d v="2024-09-17T00:00:00Z"/>
        <d v="2023-03-03T00:00:00Z"/>
        <d v="2024-05-20T00:00:00Z"/>
        <d v="2023-08-03T00:00:00Z"/>
        <d v="2024-03-16T00:00:00Z"/>
        <d v="2023-08-08T00:00:00Z"/>
        <d v="2023-06-24T00:00:00Z"/>
        <d v="2023-12-07T00:00:00Z"/>
        <d v="2023-09-11T00:00:00Z"/>
        <d v="2024-08-18T00:00:00Z"/>
        <d v="2023-04-01T00:00:00Z"/>
        <d v="2023-12-03T00:00:00Z"/>
        <d v="2023-04-04T00:00:00Z"/>
        <d v="2023-02-14T00:00:00Z"/>
        <d v="2024-06-05T00:00:00Z"/>
        <d v="2024-04-16T00:00:00Z"/>
        <d v="2024-11-15T00:00:00Z"/>
        <d v="2023-10-15T00:00:00Z"/>
        <d v="2024-03-04T00:00:00Z"/>
        <d v="2023-03-27T00:00:00Z"/>
        <d v="2023-08-16T00:00:00Z"/>
        <d v="2023-07-13T00:00:00Z"/>
        <d v="2024-12-02T00:00:00Z"/>
        <d v="2023-04-03T00:00:00Z"/>
        <d v="2024-11-22T00:00:00Z"/>
        <d v="2023-10-08T00:00:00Z"/>
        <d v="2024-11-24T00:00:00Z"/>
        <d v="2024-02-09T00:00:00Z"/>
        <d v="2024-01-07T00:00:00Z"/>
        <d v="2024-12-08T00:00:00Z"/>
        <d v="2023-02-07T00:00:00Z"/>
        <d v="2024-09-12T00:00:00Z"/>
        <d v="2024-08-07T00:00:00Z"/>
        <d v="2024-09-10T00:00:00Z"/>
        <d v="2023-10-25T00:00:00Z"/>
        <d v="2024-05-03T00:00:00Z"/>
        <d v="2023-10-06T00:00:00Z"/>
        <d v="2023-01-18T00:00:00Z"/>
        <d v="2024-03-05T00:00:00Z"/>
        <d v="2023-05-21T00:00:00Z"/>
        <d v="2023-12-23T00:00:00Z"/>
        <d v="2023-09-05T00:00:00Z"/>
        <d v="2023-12-06T00:00:00Z"/>
        <d v="2023-01-14T00:00:00Z"/>
        <d v="2023-07-12T00:00:00Z"/>
        <d v="2024-10-06T00:00:00Z"/>
        <d v="2023-04-10T00:00:00Z"/>
        <d v="2024-10-18T00:00:00Z"/>
        <d v="2024-05-15T00:00:00Z"/>
        <d v="2024-12-05T00:00:00Z"/>
        <d v="2023-10-10T00:00:00Z"/>
        <d v="2023-11-20T00:00:00Z"/>
        <d v="2023-06-06T00:00:00Z"/>
        <d v="2024-08-16T00:00:00Z"/>
        <d v="2023-11-27T00:00:00Z"/>
        <d v="2024-08-10T00:00:00Z"/>
        <d v="2023-02-11T00:00:00Z"/>
        <d v="2024-12-17T00:00:00Z"/>
        <d v="2024-10-04T00:00:00Z"/>
        <d v="2023-12-04T00:00:00Z"/>
        <d v="2023-11-17T00:00:00Z"/>
        <d v="2023-10-19T00:00:00Z"/>
        <d v="2023-02-05T00:00:00Z"/>
        <d v="2024-02-22T00:00:00Z"/>
        <d v="2024-12-24T00:00:00Z"/>
        <d v="2024-03-06T00:00:00Z"/>
        <d v="2023-07-22T00:00:00Z"/>
        <d v="2023-02-01T00:00:00Z"/>
        <d v="2023-01-20T00:00:00Z"/>
        <d v="2024-06-22T00:00:00Z"/>
        <d v="2023-06-11T00:00:00Z"/>
        <d v="2023-01-27T00:00:00Z"/>
        <d v="2023-12-10T00:00:00Z"/>
        <d v="2023-05-03T00:00:00Z"/>
        <d v="2023-10-09T00:00:00Z"/>
        <d v="2023-10-18T00:00:00Z"/>
        <d v="2024-07-17T00:00:00Z"/>
        <d v="2024-04-09T00:00:00Z"/>
        <d v="2023-06-10T00:00:00Z"/>
        <d v="2023-08-19T00:00:00Z"/>
        <d v="2024-04-15T00:00:00Z"/>
        <d v="2023-10-05T00:00:00Z"/>
        <d v="2024-04-20T00:00:00Z"/>
        <d v="2024-12-23T00:00:00Z"/>
        <d v="2023-01-25T00:00:00Z"/>
        <d v="2024-08-13T00:00:00Z"/>
        <d v="2023-05-16T00:00:00Z"/>
        <d v="2023-06-15T00:00:00Z"/>
        <d v="2024-05-10T00:00:00Z"/>
        <d v="2023-03-14T00:00:00Z"/>
        <d v="2024-09-09T00:00:00Z"/>
        <d v="2023-08-25T00:00:00Z"/>
        <d v="2023-11-14T00:00:00Z"/>
        <d v="2024-08-20T00:00:00Z"/>
        <d v="2024-07-16T00:00:00Z"/>
        <d v="2023-02-03T00:00:00Z"/>
        <d v="2024-02-11T00:00:00Z"/>
        <d v="2024-08-11T00:00:00Z"/>
        <d v="2024-11-21T00:00:00Z"/>
        <d v="2023-06-22T00:00:00Z"/>
        <d v="2023-11-07T00:00:00Z"/>
        <d v="2024-04-23T00:00:00Z"/>
        <d v="2023-12-17T00:00:00Z"/>
        <d v="2023-03-10T00:00:00Z"/>
        <d v="2024-11-18T00:00:00Z"/>
        <d v="2024-03-22T00:00:00Z"/>
        <d v="2024-03-11T00:00:00Z"/>
        <d v="2023-04-16T00:00:00Z"/>
        <d v="2024-03-03T00:00:00Z"/>
        <d v="2023-06-21T00:00:00Z"/>
        <d v="2024-05-16T00:00:00Z"/>
        <d v="2023-03-06T00:00:00Z"/>
        <d v="2024-06-25T00:00:00Z"/>
        <d v="2023-08-11T00:00:00Z"/>
        <d v="2024-01-15T00:00:00Z"/>
        <d v="2023-03-07T00:00:00Z"/>
        <d v="2023-05-02T00:00:00Z"/>
        <d v="2023-10-26T00:00:00Z"/>
        <d v="2024-03-27T00:00:00Z"/>
        <d v="2023-04-27T00:00:00Z"/>
        <d v="2023-11-08T00:00:00Z"/>
        <d v="2024-02-07T00:00:00Z"/>
        <d v="2024-09-14T00:00:00Z"/>
        <d v="2024-04-08T00:00:00Z"/>
        <d v="2024-07-13T00:00:00Z"/>
        <d v="2024-02-17T00:00:00Z"/>
        <d v="2024-12-04T00:00:00Z"/>
        <d v="2024-05-21T00:00:00Z"/>
        <d v="2023-03-26T00:00:00Z"/>
        <d v="2023-04-15T00:00:00Z"/>
        <d v="2023-06-12T00:00:00Z"/>
        <d v="2023-01-05T00:00:00Z"/>
        <d v="2024-10-23T00:00:00Z"/>
        <d v="2024-06-14T00:00:00Z"/>
      </sharedItems>
    </cacheField>
    <cacheField name="age_group" numFmtId="0">
      <sharedItems>
        <s v="Senior (56+)"/>
        <s v="Young Adult (18-35)"/>
        <s v="Child (0-17)"/>
        <s v="Middle Age (36-55)"/>
      </sharedItems>
    </cacheField>
    <cacheField name="month_num" numFmtId="0">
      <sharedItems containsSemiMixedTypes="0" containsString="0" containsNumber="1" containsInteger="1">
        <n v="11.0"/>
        <n v="6.0"/>
        <n v="2.0"/>
        <n v="3.0"/>
        <n v="4.0"/>
        <n v="5.0"/>
        <n v="9.0"/>
        <n v="12.0"/>
        <n v="10.0"/>
        <n v="8.0"/>
        <n v="1.0"/>
        <n v="7.0"/>
      </sharedItems>
    </cacheField>
    <cacheField name="year" numFmtId="0">
      <sharedItems containsSemiMixedTypes="0" containsString="0" containsNumber="1" containsInteger="1">
        <n v="2023.0"/>
        <n v="2024.0"/>
      </sharedItems>
    </cacheField>
    <cacheField name="month_name" numFmtId="0">
      <sharedItems>
        <s v="November"/>
        <s v="June"/>
        <s v="February"/>
        <s v="March"/>
        <s v="April"/>
        <s v="May"/>
        <s v="September"/>
        <s v="December"/>
        <s v="October"/>
        <s v="August"/>
        <s v="January"/>
        <s v="July"/>
      </sharedItems>
    </cacheField>
    <cacheField name="fee_tier" numFmtId="0">
      <sharedItems>
        <s v="Premium"/>
        <s v="Standard"/>
        <s v="Basic"/>
      </sharedItems>
    </cacheField>
    <cacheField name="fee_tier_v2" numFmtId="0">
      <sharedItems>
        <s v="Premium"/>
        <s v="Standard"/>
        <s v="Basic"/>
      </sharedItems>
    </cacheField>
    <cacheField name="fee_tier_v3" numFmtId="0">
      <sharedItems>
        <s v="Premium"/>
        <s v="Standard"/>
        <s v="Basic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_Appointment Status Distri" cacheId="0" dataCaption="" compact="0" compactData="0">
  <location ref="A1:B5" firstHeaderRow="0" firstDataRow="1" firstDataCol="0"/>
  <pivotFields>
    <pivotField name="patient_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patient_age2" compact="0" outline="0" multipleItemSelectionAllowed="1" showAll="0">
      <items>
        <item x="0"/>
        <item x="1"/>
        <item t="default"/>
      </items>
    </pivotField>
    <pivotField name="division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pecial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ppointment_status" axis="axisRow" dataField="1" compact="0" outline="0" multipleItemSelectionAllowed="1" showAll="0" sortType="ascending">
      <items>
        <item x="0"/>
        <item x="1"/>
        <item x="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nsultation_fee_bd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wait_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appointment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t="default"/>
      </items>
    </pivotField>
    <pivotField name="age_group" compact="0" outline="0" multipleItemSelectionAllowed="1" showAll="0">
      <items>
        <item x="0"/>
        <item x="1"/>
        <item x="2"/>
        <item x="3"/>
        <item t="default"/>
      </items>
    </pivotField>
    <pivotField name="month_n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outline="0" multipleItemSelectionAllowed="1" showAll="0">
      <items>
        <item x="0"/>
        <item x="1"/>
        <item t="default"/>
      </items>
    </pivotField>
    <pivotField name="month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ee_tier" compact="0" outline="0" multipleItemSelectionAllowed="1" showAll="0">
      <items>
        <item x="0"/>
        <item x="1"/>
        <item x="2"/>
        <item t="default"/>
      </items>
    </pivotField>
    <pivotField name="fee_tier_v2" compact="0" outline="0" multipleItemSelectionAllowed="1" showAll="0">
      <items>
        <item x="0"/>
        <item x="1"/>
        <item x="2"/>
        <item t="default"/>
      </items>
    </pivotField>
    <pivotField name="fee_tier_v3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appointment_status" fld="4" subtotal="count" baseField="0"/>
  </dataFields>
</pivotTableDefinition>
</file>

<file path=xl/pivotTables/pivotTable2.xml><?xml version="1.0" encoding="utf-8"?>
<pivotTableDefinition xmlns="http://schemas.openxmlformats.org/spreadsheetml/2006/main" name="Pivot_No-show Rate by Division" cacheId="0" dataCaption="" compact="0" compactData="0">
  <location ref="A1:E11" firstHeaderRow="0" firstDataRow="1" firstDataCol="1"/>
  <pivotFields>
    <pivotField name="patient_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patient_age2" compact="0" outline="0" multipleItemSelectionAllowed="1" showAll="0">
      <items>
        <item x="0"/>
        <item x="1"/>
        <item t="default"/>
      </items>
    </pivotField>
    <pivotField name="division" axis="axisRow" dataField="1" compact="0" outline="0" multipleItemSelectionAllowed="1" showAll="0" sortType="descending">
      <items>
        <item x="6"/>
        <item x="7"/>
        <item x="3"/>
        <item x="4"/>
        <item x="5"/>
        <item x="2"/>
        <item x="0"/>
        <item x="1"/>
        <item t="default"/>
      </items>
    </pivotField>
    <pivotField name="special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ppointment_status" axis="axisCol" compact="0" outline="0" multipleItemSelectionAllowed="1" showAll="0" sortType="ascending">
      <items>
        <item x="1"/>
        <item x="0"/>
        <item x="2"/>
        <item t="default"/>
      </items>
    </pivotField>
    <pivotField name="consultation_fee_bd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wait_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appointment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t="default"/>
      </items>
    </pivotField>
    <pivotField name="age_group" compact="0" outline="0" multipleItemSelectionAllowed="1" showAll="0">
      <items>
        <item x="0"/>
        <item x="1"/>
        <item x="2"/>
        <item x="3"/>
        <item t="default"/>
      </items>
    </pivotField>
    <pivotField name="month_n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outline="0" multipleItemSelectionAllowed="1" showAll="0">
      <items>
        <item x="0"/>
        <item x="1"/>
        <item t="default"/>
      </items>
    </pivotField>
    <pivotField name="month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ee_tier" compact="0" outline="0" multipleItemSelectionAllowed="1" showAll="0">
      <items>
        <item x="0"/>
        <item x="1"/>
        <item x="2"/>
        <item t="default"/>
      </items>
    </pivotField>
    <pivotField name="fee_tier_v2" compact="0" outline="0" multipleItemSelectionAllowed="1" showAll="0">
      <items>
        <item x="0"/>
        <item x="1"/>
        <item x="2"/>
        <item t="default"/>
      </items>
    </pivotField>
    <pivotField name="fee_tier_v3" compact="0" outline="0" multipleItemSelectionAllowed="1" showAll="0">
      <items>
        <item x="0"/>
        <item x="1"/>
        <item x="2"/>
        <item t="default"/>
      </items>
    </pivotField>
  </pivotFields>
  <rowFields>
    <field x="2"/>
  </rowFields>
  <colFields>
    <field x="4"/>
  </colFields>
  <dataFields>
    <dataField name="COUNTA of division" fld="2" subtotal="count" baseField="0"/>
  </dataFields>
</pivotTableDefinition>
</file>

<file path=xl/pivotTables/pivotTable3.xml><?xml version="1.0" encoding="utf-8"?>
<pivotTableDefinition xmlns="http://schemas.openxmlformats.org/spreadsheetml/2006/main" name="Pivot_Appointments and Average " cacheId="0" dataCaption="" compact="0" compactData="0">
  <location ref="A1:D8" firstHeaderRow="0" firstDataRow="2" firstDataCol="0"/>
  <pivotFields>
    <pivotField name="patient_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patient_age2" compact="0" outline="0" multipleItemSelectionAllowed="1" showAll="0">
      <items>
        <item x="0"/>
        <item x="1"/>
        <item t="default"/>
      </items>
    </pivotField>
    <pivotField name="division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pecialty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appointment_status" compact="0" outline="0" multipleItemSelectionAllowed="1" showAll="0">
      <items>
        <item x="0"/>
        <item x="1"/>
        <item x="2"/>
        <item t="default"/>
      </items>
    </pivotField>
    <pivotField name="consultation_fee_bd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wait_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appointment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t="default"/>
      </items>
    </pivotField>
    <pivotField name="age_group" compact="0" outline="0" multipleItemSelectionAllowed="1" showAll="0">
      <items>
        <item x="0"/>
        <item x="1"/>
        <item x="2"/>
        <item x="3"/>
        <item t="default"/>
      </items>
    </pivotField>
    <pivotField name="month_n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outline="0" multipleItemSelectionAllowed="1" showAll="0">
      <items>
        <item x="0"/>
        <item x="1"/>
        <item t="default"/>
      </items>
    </pivotField>
    <pivotField name="month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ee_tier" compact="0" outline="0" multipleItemSelectionAllowed="1" showAll="0">
      <items>
        <item x="0"/>
        <item x="1"/>
        <item x="2"/>
        <item t="default"/>
      </items>
    </pivotField>
    <pivotField name="fee_tier_v2" compact="0" outline="0" multipleItemSelectionAllowed="1" showAll="0">
      <items>
        <item x="0"/>
        <item x="1"/>
        <item x="2"/>
        <item t="default"/>
      </items>
    </pivotField>
    <pivotField name="fee_tier_v3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colFields>
    <field x="-2"/>
  </colFields>
  <dataFields>
    <dataField name="COUNTA of specialty" fld="3" subtotal="count" baseField="0"/>
    <dataField name="SUM of wait_days" fld="6" baseField="0"/>
    <dataField name="AVERAGE of wait_days" fld="6" subtotal="average" baseField="0"/>
  </dataFields>
</pivotTableDefinition>
</file>

<file path=xl/pivotTables/pivotTable4.xml><?xml version="1.0" encoding="utf-8"?>
<pivotTableDefinition xmlns="http://schemas.openxmlformats.org/spreadsheetml/2006/main" name="Pivot_Monthly Appointment Trend" cacheId="0" dataCaption="" compact="0" compactData="0">
  <location ref="A1:D15" firstHeaderRow="0" firstDataRow="1" firstDataCol="1"/>
  <pivotFields>
    <pivotField name="patient_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patient_age2" compact="0" outline="0" multipleItemSelectionAllowed="1" showAll="0">
      <items>
        <item x="0"/>
        <item x="1"/>
        <item t="default"/>
      </items>
    </pivotField>
    <pivotField name="division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pecial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ppointment_status" compact="0" outline="0" multipleItemSelectionAllowed="1" showAll="0">
      <items>
        <item x="0"/>
        <item x="1"/>
        <item x="2"/>
        <item t="default"/>
      </items>
    </pivotField>
    <pivotField name="consultation_fee_bd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wait_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appointment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t="default"/>
      </items>
    </pivotField>
    <pivotField name="age_group" compact="0" outline="0" multipleItemSelectionAllowed="1" showAll="0">
      <items>
        <item x="0"/>
        <item x="1"/>
        <item x="2"/>
        <item x="3"/>
        <item t="default"/>
      </items>
    </pivotField>
    <pivotField name="month_num" axis="axisRow" dataField="1" compact="0" outline="0" multipleItemSelectionAllowed="1" showAll="0" sortType="ascending">
      <items>
        <item x="10"/>
        <item x="2"/>
        <item x="3"/>
        <item x="4"/>
        <item x="5"/>
        <item x="1"/>
        <item x="11"/>
        <item x="9"/>
        <item x="6"/>
        <item x="8"/>
        <item x="0"/>
        <item x="7"/>
        <item t="default"/>
      </items>
    </pivotField>
    <pivotField name="year" axis="axisCol" compact="0" outline="0" multipleItemSelectionAllowed="1" showAll="0" sortType="ascending">
      <items>
        <item x="0"/>
        <item x="1"/>
        <item t="default"/>
      </items>
    </pivotField>
    <pivotField name="month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ee_tier" compact="0" outline="0" multipleItemSelectionAllowed="1" showAll="0">
      <items>
        <item x="0"/>
        <item x="1"/>
        <item x="2"/>
        <item t="default"/>
      </items>
    </pivotField>
    <pivotField name="fee_tier_v2" compact="0" outline="0" multipleItemSelectionAllowed="1" showAll="0">
      <items>
        <item x="0"/>
        <item x="1"/>
        <item x="2"/>
        <item t="default"/>
      </items>
    </pivotField>
    <pivotField name="fee_tier_v3" compact="0" outline="0" multipleItemSelectionAllowed="1" showAll="0">
      <items>
        <item x="0"/>
        <item x="1"/>
        <item x="2"/>
        <item t="default"/>
      </items>
    </pivotField>
  </pivotFields>
  <rowFields>
    <field x="9"/>
  </rowFields>
  <colFields>
    <field x="10"/>
  </colFields>
  <dataFields>
    <dataField name="COUNTA of month_num" fld="9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>
      <c r="A2" s="1">
        <v>56.0</v>
      </c>
      <c r="B2" s="1" t="s">
        <v>14</v>
      </c>
      <c r="C2" s="1" t="s">
        <v>15</v>
      </c>
      <c r="D2" s="1" t="s">
        <v>16</v>
      </c>
      <c r="E2" s="1" t="s">
        <v>17</v>
      </c>
      <c r="F2" s="1">
        <v>914.0</v>
      </c>
      <c r="G2" s="1">
        <v>4.0</v>
      </c>
      <c r="H2" s="2">
        <v>45249.0</v>
      </c>
      <c r="I2" s="3" t="str">
        <f t="shared" ref="I2:I501" si="1">IFS(A2&lt;=17,"Child (0-17)", A2&lt;=35,"Young Adult (18-35)", A2&lt;=55,"Middle Age (36-55)", TRUE,"Senior (56+)")</f>
        <v>Senior (56+)</v>
      </c>
      <c r="J2" s="3">
        <f t="shared" ref="J2:J501" si="2">MONTH(H2)</f>
        <v>11</v>
      </c>
      <c r="K2" s="3">
        <f t="shared" ref="K2:K501" si="3">YEAR(H2)</f>
        <v>2023</v>
      </c>
      <c r="L2" s="3" t="str">
        <f t="shared" ref="L2:L501" si="4">TEXT(H2,"mmmm")</f>
        <v>November</v>
      </c>
      <c r="M2" s="3" t="str">
        <f>VLOOKUP(D2,Lookup_Practice!$A$2:$B$7,2,FALSE)</f>
        <v>Premium</v>
      </c>
      <c r="N2" s="3" t="str">
        <f t="array" ref="N2">INDEX(Lookup_Practice!$B$2:$B$7,MATCH(D2,Lookup_Practice!$A$2:$A$7,0))</f>
        <v>Premium</v>
      </c>
      <c r="O2" s="3" t="str">
        <f t="array" ref="O2">XLOOKUP(D2,Lookup_Practice!$A$2:$A$7,Lookup_Practice!$B$2:$B$7)</f>
        <v>Premium</v>
      </c>
    </row>
    <row r="3">
      <c r="A3" s="1">
        <v>19.0</v>
      </c>
      <c r="B3" s="1" t="s">
        <v>18</v>
      </c>
      <c r="C3" s="1" t="s">
        <v>19</v>
      </c>
      <c r="D3" s="1" t="s">
        <v>20</v>
      </c>
      <c r="E3" s="1" t="s">
        <v>17</v>
      </c>
      <c r="F3" s="1">
        <v>1546.0</v>
      </c>
      <c r="G3" s="1">
        <v>6.0</v>
      </c>
      <c r="H3" s="2">
        <v>45450.0</v>
      </c>
      <c r="I3" s="3" t="str">
        <f t="shared" si="1"/>
        <v>Young Adult (18-35)</v>
      </c>
      <c r="J3" s="3">
        <f t="shared" si="2"/>
        <v>6</v>
      </c>
      <c r="K3" s="3">
        <f t="shared" si="3"/>
        <v>2024</v>
      </c>
      <c r="L3" s="3" t="str">
        <f t="shared" si="4"/>
        <v>June</v>
      </c>
      <c r="M3" s="3" t="str">
        <f>VLOOKUP(D3,Lookup_Practice!$A$2:$B$7,2,FALSE)</f>
        <v>Standard</v>
      </c>
      <c r="N3" s="3" t="str">
        <f t="array" ref="N3">INDEX(Lookup_Practice!$B$2:$B$7,MATCH(D3,Lookup_Practice!$A$2:$A$7,0))</f>
        <v>Standard</v>
      </c>
      <c r="O3" s="3" t="str">
        <f t="array" ref="O3">XLOOKUP(D3,Lookup_Practice!$A$2:$A$7,Lookup_Practice!$B$2:$B$7)</f>
        <v>Standard</v>
      </c>
    </row>
    <row r="4">
      <c r="A4" s="1">
        <v>76.0</v>
      </c>
      <c r="B4" s="1" t="s">
        <v>14</v>
      </c>
      <c r="C4" s="1" t="s">
        <v>21</v>
      </c>
      <c r="D4" s="1" t="s">
        <v>22</v>
      </c>
      <c r="E4" s="1" t="s">
        <v>17</v>
      </c>
      <c r="F4" s="1">
        <v>725.0</v>
      </c>
      <c r="G4" s="1">
        <v>1.0</v>
      </c>
      <c r="H4" s="2">
        <v>44984.0</v>
      </c>
      <c r="I4" s="3" t="str">
        <f t="shared" si="1"/>
        <v>Senior (56+)</v>
      </c>
      <c r="J4" s="3">
        <f t="shared" si="2"/>
        <v>2</v>
      </c>
      <c r="K4" s="3">
        <f t="shared" si="3"/>
        <v>2023</v>
      </c>
      <c r="L4" s="3" t="str">
        <f t="shared" si="4"/>
        <v>February</v>
      </c>
      <c r="M4" s="3" t="str">
        <f>VLOOKUP(D4,Lookup_Practice!$A$2:$B$7,2,FALSE)</f>
        <v>Basic</v>
      </c>
      <c r="N4" s="3" t="str">
        <f t="array" ref="N4">INDEX(Lookup_Practice!$B$2:$B$7,MATCH(D4,Lookup_Practice!$A$2:$A$7,0))</f>
        <v>Basic</v>
      </c>
      <c r="O4" s="3" t="str">
        <f t="array" ref="O4">XLOOKUP(D4,Lookup_Practice!$A$2:$A$7,Lookup_Practice!$B$2:$B$7)</f>
        <v>Basic</v>
      </c>
    </row>
    <row r="5">
      <c r="A5" s="1">
        <v>65.0</v>
      </c>
      <c r="B5" s="1" t="s">
        <v>18</v>
      </c>
      <c r="C5" s="1" t="s">
        <v>15</v>
      </c>
      <c r="D5" s="1" t="s">
        <v>20</v>
      </c>
      <c r="E5" s="1" t="s">
        <v>17</v>
      </c>
      <c r="F5" s="1">
        <v>1492.0</v>
      </c>
      <c r="G5" s="1">
        <v>20.0</v>
      </c>
      <c r="H5" s="2">
        <v>45368.0</v>
      </c>
      <c r="I5" s="3" t="str">
        <f t="shared" si="1"/>
        <v>Senior (56+)</v>
      </c>
      <c r="J5" s="3">
        <f t="shared" si="2"/>
        <v>3</v>
      </c>
      <c r="K5" s="3">
        <f t="shared" si="3"/>
        <v>2024</v>
      </c>
      <c r="L5" s="3" t="str">
        <f t="shared" si="4"/>
        <v>March</v>
      </c>
      <c r="M5" s="3" t="str">
        <f>VLOOKUP(D5,Lookup_Practice!$A$2:$B$7,2,FALSE)</f>
        <v>Standard</v>
      </c>
      <c r="N5" s="3" t="str">
        <f t="array" ref="N5">INDEX(Lookup_Practice!$B$2:$B$7,MATCH(D5,Lookup_Practice!$A$2:$A$7,0))</f>
        <v>Standard</v>
      </c>
      <c r="O5" s="3" t="str">
        <f t="array" ref="O5">XLOOKUP(D5,Lookup_Practice!$A$2:$A$7,Lookup_Practice!$B$2:$B$7)</f>
        <v>Standard</v>
      </c>
    </row>
    <row r="6">
      <c r="A6" s="1">
        <v>25.0</v>
      </c>
      <c r="B6" s="1" t="s">
        <v>18</v>
      </c>
      <c r="C6" s="1" t="s">
        <v>21</v>
      </c>
      <c r="D6" s="1" t="s">
        <v>23</v>
      </c>
      <c r="E6" s="1" t="s">
        <v>24</v>
      </c>
      <c r="F6" s="1">
        <v>1331.0</v>
      </c>
      <c r="G6" s="1">
        <v>16.0</v>
      </c>
      <c r="H6" s="2">
        <v>45022.0</v>
      </c>
      <c r="I6" s="3" t="str">
        <f t="shared" si="1"/>
        <v>Young Adult (18-35)</v>
      </c>
      <c r="J6" s="3">
        <f t="shared" si="2"/>
        <v>4</v>
      </c>
      <c r="K6" s="3">
        <f t="shared" si="3"/>
        <v>2023</v>
      </c>
      <c r="L6" s="3" t="str">
        <f t="shared" si="4"/>
        <v>April</v>
      </c>
      <c r="M6" s="3" t="str">
        <f>VLOOKUP(D6,Lookup_Practice!$A$2:$B$7,2,FALSE)</f>
        <v>Standard</v>
      </c>
      <c r="N6" s="3" t="str">
        <f t="array" ref="N6">INDEX(Lookup_Practice!$B$2:$B$7,MATCH(D6,Lookup_Practice!$A$2:$A$7,0))</f>
        <v>Standard</v>
      </c>
      <c r="O6" s="3" t="str">
        <f t="array" ref="O6">XLOOKUP(D6,Lookup_Practice!$A$2:$A$7,Lookup_Practice!$B$2:$B$7)</f>
        <v>Standard</v>
      </c>
    </row>
    <row r="7">
      <c r="A7" s="1">
        <v>79.0</v>
      </c>
      <c r="B7" s="1" t="s">
        <v>14</v>
      </c>
      <c r="C7" s="1" t="s">
        <v>25</v>
      </c>
      <c r="D7" s="1" t="s">
        <v>26</v>
      </c>
      <c r="E7" s="1" t="s">
        <v>17</v>
      </c>
      <c r="F7" s="1">
        <v>420.0</v>
      </c>
      <c r="G7" s="1">
        <v>15.0</v>
      </c>
      <c r="H7" s="2">
        <v>45249.0</v>
      </c>
      <c r="I7" s="3" t="str">
        <f t="shared" si="1"/>
        <v>Senior (56+)</v>
      </c>
      <c r="J7" s="3">
        <f t="shared" si="2"/>
        <v>11</v>
      </c>
      <c r="K7" s="3">
        <f t="shared" si="3"/>
        <v>2023</v>
      </c>
      <c r="L7" s="3" t="str">
        <f t="shared" si="4"/>
        <v>November</v>
      </c>
      <c r="M7" s="3" t="str">
        <f>VLOOKUP(D7,Lookup_Practice!$A$2:$B$7,2,FALSE)</f>
        <v>Premium</v>
      </c>
      <c r="N7" s="3" t="str">
        <f t="array" ref="N7">INDEX(Lookup_Practice!$B$2:$B$7,MATCH(D7,Lookup_Practice!$A$2:$A$7,0))</f>
        <v>Premium</v>
      </c>
      <c r="O7" s="3" t="str">
        <f t="array" ref="O7">XLOOKUP(D7,Lookup_Practice!$A$2:$A$7,Lookup_Practice!$B$2:$B$7)</f>
        <v>Premium</v>
      </c>
    </row>
    <row r="8">
      <c r="A8" s="1">
        <v>79.0</v>
      </c>
      <c r="B8" s="1" t="s">
        <v>18</v>
      </c>
      <c r="C8" s="1" t="s">
        <v>19</v>
      </c>
      <c r="D8" s="1" t="s">
        <v>16</v>
      </c>
      <c r="E8" s="1" t="s">
        <v>17</v>
      </c>
      <c r="F8" s="1">
        <v>937.0</v>
      </c>
      <c r="G8" s="1">
        <v>17.0</v>
      </c>
      <c r="H8" s="2">
        <v>45436.0</v>
      </c>
      <c r="I8" s="3" t="str">
        <f t="shared" si="1"/>
        <v>Senior (56+)</v>
      </c>
      <c r="J8" s="3">
        <f t="shared" si="2"/>
        <v>5</v>
      </c>
      <c r="K8" s="3">
        <f t="shared" si="3"/>
        <v>2024</v>
      </c>
      <c r="L8" s="3" t="str">
        <f t="shared" si="4"/>
        <v>May</v>
      </c>
      <c r="M8" s="3" t="str">
        <f>VLOOKUP(D8,Lookup_Practice!$A$2:$B$7,2,FALSE)</f>
        <v>Premium</v>
      </c>
      <c r="N8" s="3" t="str">
        <f t="array" ref="N8">INDEX(Lookup_Practice!$B$2:$B$7,MATCH(D8,Lookup_Practice!$A$2:$A$7,0))</f>
        <v>Premium</v>
      </c>
      <c r="O8" s="3" t="str">
        <f t="array" ref="O8">XLOOKUP(D8,Lookup_Practice!$A$2:$A$7,Lookup_Practice!$B$2:$B$7)</f>
        <v>Premium</v>
      </c>
    </row>
    <row r="9">
      <c r="A9" s="1">
        <v>28.0</v>
      </c>
      <c r="B9" s="1" t="s">
        <v>14</v>
      </c>
      <c r="C9" s="1" t="s">
        <v>19</v>
      </c>
      <c r="D9" s="1" t="s">
        <v>20</v>
      </c>
      <c r="E9" s="1" t="s">
        <v>24</v>
      </c>
      <c r="F9" s="1">
        <v>1675.0</v>
      </c>
      <c r="G9" s="1">
        <v>8.0</v>
      </c>
      <c r="H9" s="2">
        <v>45175.0</v>
      </c>
      <c r="I9" s="3" t="str">
        <f t="shared" si="1"/>
        <v>Young Adult (18-35)</v>
      </c>
      <c r="J9" s="3">
        <f t="shared" si="2"/>
        <v>9</v>
      </c>
      <c r="K9" s="3">
        <f t="shared" si="3"/>
        <v>2023</v>
      </c>
      <c r="L9" s="3" t="str">
        <f t="shared" si="4"/>
        <v>September</v>
      </c>
      <c r="M9" s="3" t="str">
        <f>VLOOKUP(D9,Lookup_Practice!$A$2:$B$7,2,FALSE)</f>
        <v>Standard</v>
      </c>
      <c r="N9" s="3" t="str">
        <f t="array" ref="N9">INDEX(Lookup_Practice!$B$2:$B$7,MATCH(D9,Lookup_Practice!$A$2:$A$7,0))</f>
        <v>Standard</v>
      </c>
      <c r="O9" s="3" t="str">
        <f t="array" ref="O9">XLOOKUP(D9,Lookup_Practice!$A$2:$A$7,Lookup_Practice!$B$2:$B$7)</f>
        <v>Standard</v>
      </c>
    </row>
    <row r="10">
      <c r="A10" s="1">
        <v>7.0</v>
      </c>
      <c r="B10" s="1" t="s">
        <v>14</v>
      </c>
      <c r="C10" s="1" t="s">
        <v>21</v>
      </c>
      <c r="D10" s="1" t="s">
        <v>26</v>
      </c>
      <c r="E10" s="1" t="s">
        <v>17</v>
      </c>
      <c r="F10" s="1">
        <v>556.0</v>
      </c>
      <c r="G10" s="1">
        <v>12.0</v>
      </c>
      <c r="H10" s="2">
        <v>45262.0</v>
      </c>
      <c r="I10" s="3" t="str">
        <f t="shared" si="1"/>
        <v>Child (0-17)</v>
      </c>
      <c r="J10" s="3">
        <f t="shared" si="2"/>
        <v>12</v>
      </c>
      <c r="K10" s="3">
        <f t="shared" si="3"/>
        <v>2023</v>
      </c>
      <c r="L10" s="3" t="str">
        <f t="shared" si="4"/>
        <v>December</v>
      </c>
      <c r="M10" s="3" t="str">
        <f>VLOOKUP(D10,Lookup_Practice!$A$2:$B$7,2,FALSE)</f>
        <v>Premium</v>
      </c>
      <c r="N10" s="3" t="str">
        <f t="array" ref="N10">INDEX(Lookup_Practice!$B$2:$B$7,MATCH(D10,Lookup_Practice!$A$2:$A$7,0))</f>
        <v>Premium</v>
      </c>
      <c r="O10" s="3" t="str">
        <f t="array" ref="O10">XLOOKUP(D10,Lookup_Practice!$A$2:$A$7,Lookup_Practice!$B$2:$B$7)</f>
        <v>Premium</v>
      </c>
    </row>
    <row r="11">
      <c r="A11" s="1">
        <v>26.0</v>
      </c>
      <c r="B11" s="1" t="s">
        <v>14</v>
      </c>
      <c r="C11" s="1" t="s">
        <v>27</v>
      </c>
      <c r="D11" s="1" t="s">
        <v>22</v>
      </c>
      <c r="E11" s="1" t="s">
        <v>24</v>
      </c>
      <c r="F11" s="1">
        <v>878.0</v>
      </c>
      <c r="G11" s="1">
        <v>10.0</v>
      </c>
      <c r="H11" s="2">
        <v>45388.0</v>
      </c>
      <c r="I11" s="3" t="str">
        <f t="shared" si="1"/>
        <v>Young Adult (18-35)</v>
      </c>
      <c r="J11" s="3">
        <f t="shared" si="2"/>
        <v>4</v>
      </c>
      <c r="K11" s="3">
        <f t="shared" si="3"/>
        <v>2024</v>
      </c>
      <c r="L11" s="3" t="str">
        <f t="shared" si="4"/>
        <v>April</v>
      </c>
      <c r="M11" s="3" t="str">
        <f>VLOOKUP(D11,Lookup_Practice!$A$2:$B$7,2,FALSE)</f>
        <v>Basic</v>
      </c>
      <c r="N11" s="3" t="str">
        <f t="array" ref="N11">INDEX(Lookup_Practice!$B$2:$B$7,MATCH(D11,Lookup_Practice!$A$2:$A$7,0))</f>
        <v>Basic</v>
      </c>
      <c r="O11" s="3" t="str">
        <f t="array" ref="O11">XLOOKUP(D11,Lookup_Practice!$A$2:$A$7,Lookup_Practice!$B$2:$B$7)</f>
        <v>Basic</v>
      </c>
    </row>
    <row r="12">
      <c r="A12" s="1">
        <v>57.0</v>
      </c>
      <c r="B12" s="1" t="s">
        <v>14</v>
      </c>
      <c r="C12" s="1" t="s">
        <v>25</v>
      </c>
      <c r="D12" s="1" t="s">
        <v>26</v>
      </c>
      <c r="E12" s="1" t="s">
        <v>17</v>
      </c>
      <c r="F12" s="1">
        <v>531.0</v>
      </c>
      <c r="G12" s="1">
        <v>15.0</v>
      </c>
      <c r="H12" s="2">
        <v>45619.0</v>
      </c>
      <c r="I12" s="3" t="str">
        <f t="shared" si="1"/>
        <v>Senior (56+)</v>
      </c>
      <c r="J12" s="3">
        <f t="shared" si="2"/>
        <v>11</v>
      </c>
      <c r="K12" s="3">
        <f t="shared" si="3"/>
        <v>2024</v>
      </c>
      <c r="L12" s="3" t="str">
        <f t="shared" si="4"/>
        <v>November</v>
      </c>
      <c r="M12" s="3" t="str">
        <f>VLOOKUP(D12,Lookup_Practice!$A$2:$B$7,2,FALSE)</f>
        <v>Premium</v>
      </c>
      <c r="N12" s="3" t="str">
        <f t="array" ref="N12">INDEX(Lookup_Practice!$B$2:$B$7,MATCH(D12,Lookup_Practice!$A$2:$A$7,0))</f>
        <v>Premium</v>
      </c>
      <c r="O12" s="3" t="str">
        <f t="array" ref="O12">XLOOKUP(D12,Lookup_Practice!$A$2:$A$7,Lookup_Practice!$B$2:$B$7)</f>
        <v>Premium</v>
      </c>
    </row>
    <row r="13">
      <c r="A13" s="1">
        <v>6.0</v>
      </c>
      <c r="B13" s="1" t="s">
        <v>14</v>
      </c>
      <c r="C13" s="1" t="s">
        <v>15</v>
      </c>
      <c r="D13" s="1" t="s">
        <v>16</v>
      </c>
      <c r="E13" s="1" t="s">
        <v>28</v>
      </c>
      <c r="F13" s="1">
        <v>927.0</v>
      </c>
      <c r="G13" s="1">
        <v>9.0</v>
      </c>
      <c r="H13" s="2">
        <v>45540.0</v>
      </c>
      <c r="I13" s="3" t="str">
        <f t="shared" si="1"/>
        <v>Child (0-17)</v>
      </c>
      <c r="J13" s="3">
        <f t="shared" si="2"/>
        <v>9</v>
      </c>
      <c r="K13" s="3">
        <f t="shared" si="3"/>
        <v>2024</v>
      </c>
      <c r="L13" s="3" t="str">
        <f t="shared" si="4"/>
        <v>September</v>
      </c>
      <c r="M13" s="3" t="str">
        <f>VLOOKUP(D13,Lookup_Practice!$A$2:$B$7,2,FALSE)</f>
        <v>Premium</v>
      </c>
      <c r="N13" s="3" t="str">
        <f t="array" ref="N13">INDEX(Lookup_Practice!$B$2:$B$7,MATCH(D13,Lookup_Practice!$A$2:$A$7,0))</f>
        <v>Premium</v>
      </c>
      <c r="O13" s="3" t="str">
        <f t="array" ref="O13">XLOOKUP(D13,Lookup_Practice!$A$2:$A$7,Lookup_Practice!$B$2:$B$7)</f>
        <v>Premium</v>
      </c>
    </row>
    <row r="14">
      <c r="A14" s="1">
        <v>34.0</v>
      </c>
      <c r="B14" s="1" t="s">
        <v>14</v>
      </c>
      <c r="C14" s="1" t="s">
        <v>29</v>
      </c>
      <c r="D14" s="1" t="s">
        <v>20</v>
      </c>
      <c r="E14" s="1" t="s">
        <v>17</v>
      </c>
      <c r="F14" s="1">
        <v>1659.0</v>
      </c>
      <c r="G14" s="1">
        <v>2.0</v>
      </c>
      <c r="H14" s="2">
        <v>45249.0</v>
      </c>
      <c r="I14" s="3" t="str">
        <f t="shared" si="1"/>
        <v>Young Adult (18-35)</v>
      </c>
      <c r="J14" s="3">
        <f t="shared" si="2"/>
        <v>11</v>
      </c>
      <c r="K14" s="3">
        <f t="shared" si="3"/>
        <v>2023</v>
      </c>
      <c r="L14" s="3" t="str">
        <f t="shared" si="4"/>
        <v>November</v>
      </c>
      <c r="M14" s="3" t="str">
        <f>VLOOKUP(D14,Lookup_Practice!$A$2:$B$7,2,FALSE)</f>
        <v>Standard</v>
      </c>
      <c r="N14" s="3" t="str">
        <f t="array" ref="N14">INDEX(Lookup_Practice!$B$2:$B$7,MATCH(D14,Lookup_Practice!$A$2:$A$7,0))</f>
        <v>Standard</v>
      </c>
      <c r="O14" s="3" t="str">
        <f t="array" ref="O14">XLOOKUP(D14,Lookup_Practice!$A$2:$A$7,Lookup_Practice!$B$2:$B$7)</f>
        <v>Standard</v>
      </c>
    </row>
    <row r="15">
      <c r="A15" s="1">
        <v>42.0</v>
      </c>
      <c r="B15" s="1" t="s">
        <v>14</v>
      </c>
      <c r="C15" s="1" t="s">
        <v>15</v>
      </c>
      <c r="D15" s="1" t="s">
        <v>23</v>
      </c>
      <c r="E15" s="1" t="s">
        <v>17</v>
      </c>
      <c r="F15" s="1">
        <v>1175.0</v>
      </c>
      <c r="G15" s="1">
        <v>5.0</v>
      </c>
      <c r="H15" s="2">
        <v>45219.0</v>
      </c>
      <c r="I15" s="3" t="str">
        <f t="shared" si="1"/>
        <v>Middle Age (36-55)</v>
      </c>
      <c r="J15" s="3">
        <f t="shared" si="2"/>
        <v>10</v>
      </c>
      <c r="K15" s="3">
        <f t="shared" si="3"/>
        <v>2023</v>
      </c>
      <c r="L15" s="3" t="str">
        <f t="shared" si="4"/>
        <v>October</v>
      </c>
      <c r="M15" s="3" t="str">
        <f>VLOOKUP(D15,Lookup_Practice!$A$2:$B$7,2,FALSE)</f>
        <v>Standard</v>
      </c>
      <c r="N15" s="3" t="str">
        <f t="array" ref="N15">INDEX(Lookup_Practice!$B$2:$B$7,MATCH(D15,Lookup_Practice!$A$2:$A$7,0))</f>
        <v>Standard</v>
      </c>
      <c r="O15" s="3" t="str">
        <f t="array" ref="O15">XLOOKUP(D15,Lookup_Practice!$A$2:$A$7,Lookup_Practice!$B$2:$B$7)</f>
        <v>Standard</v>
      </c>
    </row>
    <row r="16">
      <c r="A16" s="1">
        <v>6.0</v>
      </c>
      <c r="B16" s="1" t="s">
        <v>14</v>
      </c>
      <c r="C16" s="1" t="s">
        <v>15</v>
      </c>
      <c r="D16" s="1" t="s">
        <v>22</v>
      </c>
      <c r="E16" s="1" t="s">
        <v>17</v>
      </c>
      <c r="F16" s="1">
        <v>766.0</v>
      </c>
      <c r="G16" s="1">
        <v>6.0</v>
      </c>
      <c r="H16" s="2">
        <v>44989.0</v>
      </c>
      <c r="I16" s="3" t="str">
        <f t="shared" si="1"/>
        <v>Child (0-17)</v>
      </c>
      <c r="J16" s="3">
        <f t="shared" si="2"/>
        <v>3</v>
      </c>
      <c r="K16" s="3">
        <f t="shared" si="3"/>
        <v>2023</v>
      </c>
      <c r="L16" s="3" t="str">
        <f t="shared" si="4"/>
        <v>March</v>
      </c>
      <c r="M16" s="3" t="str">
        <f>VLOOKUP(D16,Lookup_Practice!$A$2:$B$7,2,FALSE)</f>
        <v>Basic</v>
      </c>
      <c r="N16" s="3" t="str">
        <f t="array" ref="N16">INDEX(Lookup_Practice!$B$2:$B$7,MATCH(D16,Lookup_Practice!$A$2:$A$7,0))</f>
        <v>Basic</v>
      </c>
      <c r="O16" s="3" t="str">
        <f t="array" ref="O16">XLOOKUP(D16,Lookup_Practice!$A$2:$A$7,Lookup_Practice!$B$2:$B$7)</f>
        <v>Basic</v>
      </c>
    </row>
    <row r="17">
      <c r="A17" s="1">
        <v>68.0</v>
      </c>
      <c r="B17" s="1" t="s">
        <v>18</v>
      </c>
      <c r="C17" s="1" t="s">
        <v>29</v>
      </c>
      <c r="D17" s="1" t="s">
        <v>20</v>
      </c>
      <c r="E17" s="1" t="s">
        <v>28</v>
      </c>
      <c r="F17" s="1">
        <v>1593.0</v>
      </c>
      <c r="G17" s="1">
        <v>7.0</v>
      </c>
      <c r="H17" s="2">
        <v>45526.0</v>
      </c>
      <c r="I17" s="3" t="str">
        <f t="shared" si="1"/>
        <v>Senior (56+)</v>
      </c>
      <c r="J17" s="3">
        <f t="shared" si="2"/>
        <v>8</v>
      </c>
      <c r="K17" s="3">
        <f t="shared" si="3"/>
        <v>2024</v>
      </c>
      <c r="L17" s="3" t="str">
        <f t="shared" si="4"/>
        <v>August</v>
      </c>
      <c r="M17" s="3" t="str">
        <f>VLOOKUP(D17,Lookup_Practice!$A$2:$B$7,2,FALSE)</f>
        <v>Standard</v>
      </c>
      <c r="N17" s="3" t="str">
        <f t="array" ref="N17">INDEX(Lookup_Practice!$B$2:$B$7,MATCH(D17,Lookup_Practice!$A$2:$A$7,0))</f>
        <v>Standard</v>
      </c>
      <c r="O17" s="3" t="str">
        <f t="array" ref="O17">XLOOKUP(D17,Lookup_Practice!$A$2:$A$7,Lookup_Practice!$B$2:$B$7)</f>
        <v>Standard</v>
      </c>
    </row>
    <row r="18">
      <c r="A18" s="1">
        <v>64.0</v>
      </c>
      <c r="B18" s="1" t="s">
        <v>18</v>
      </c>
      <c r="C18" s="1" t="s">
        <v>21</v>
      </c>
      <c r="D18" s="1" t="s">
        <v>16</v>
      </c>
      <c r="E18" s="1" t="s">
        <v>24</v>
      </c>
      <c r="F18" s="1">
        <v>1061.0</v>
      </c>
      <c r="G18" s="1">
        <v>1.0</v>
      </c>
      <c r="H18" s="2">
        <v>45286.0</v>
      </c>
      <c r="I18" s="3" t="str">
        <f t="shared" si="1"/>
        <v>Senior (56+)</v>
      </c>
      <c r="J18" s="3">
        <f t="shared" si="2"/>
        <v>12</v>
      </c>
      <c r="K18" s="3">
        <f t="shared" si="3"/>
        <v>2023</v>
      </c>
      <c r="L18" s="3" t="str">
        <f t="shared" si="4"/>
        <v>December</v>
      </c>
      <c r="M18" s="3" t="str">
        <f>VLOOKUP(D18,Lookup_Practice!$A$2:$B$7,2,FALSE)</f>
        <v>Premium</v>
      </c>
      <c r="N18" s="3" t="str">
        <f t="array" ref="N18">INDEX(Lookup_Practice!$B$2:$B$7,MATCH(D18,Lookup_Practice!$A$2:$A$7,0))</f>
        <v>Premium</v>
      </c>
      <c r="O18" s="3" t="str">
        <f t="array" ref="O18">XLOOKUP(D18,Lookup_Practice!$A$2:$A$7,Lookup_Practice!$B$2:$B$7)</f>
        <v>Premium</v>
      </c>
    </row>
    <row r="19">
      <c r="A19" s="1">
        <v>25.0</v>
      </c>
      <c r="B19" s="1" t="s">
        <v>14</v>
      </c>
      <c r="C19" s="1" t="s">
        <v>21</v>
      </c>
      <c r="D19" s="1" t="s">
        <v>22</v>
      </c>
      <c r="E19" s="1" t="s">
        <v>17</v>
      </c>
      <c r="F19" s="1">
        <v>956.0</v>
      </c>
      <c r="G19" s="1">
        <v>7.0</v>
      </c>
      <c r="H19" s="2">
        <v>44943.0</v>
      </c>
      <c r="I19" s="3" t="str">
        <f t="shared" si="1"/>
        <v>Young Adult (18-35)</v>
      </c>
      <c r="J19" s="3">
        <f t="shared" si="2"/>
        <v>1</v>
      </c>
      <c r="K19" s="3">
        <f t="shared" si="3"/>
        <v>2023</v>
      </c>
      <c r="L19" s="3" t="str">
        <f t="shared" si="4"/>
        <v>January</v>
      </c>
      <c r="M19" s="3" t="str">
        <f>VLOOKUP(D19,Lookup_Practice!$A$2:$B$7,2,FALSE)</f>
        <v>Basic</v>
      </c>
      <c r="N19" s="3" t="str">
        <f t="array" ref="N19">INDEX(Lookup_Practice!$B$2:$B$7,MATCH(D19,Lookup_Practice!$A$2:$A$7,0))</f>
        <v>Basic</v>
      </c>
      <c r="O19" s="3" t="str">
        <f t="array" ref="O19">XLOOKUP(D19,Lookup_Practice!$A$2:$A$7,Lookup_Practice!$B$2:$B$7)</f>
        <v>Basic</v>
      </c>
    </row>
    <row r="20">
      <c r="A20" s="1">
        <v>37.0</v>
      </c>
      <c r="B20" s="1" t="s">
        <v>18</v>
      </c>
      <c r="C20" s="1" t="s">
        <v>15</v>
      </c>
      <c r="D20" s="1" t="s">
        <v>30</v>
      </c>
      <c r="E20" s="1" t="s">
        <v>17</v>
      </c>
      <c r="F20" s="1">
        <v>971.0</v>
      </c>
      <c r="G20" s="1">
        <v>20.0</v>
      </c>
      <c r="H20" s="2">
        <v>45241.0</v>
      </c>
      <c r="I20" s="3" t="str">
        <f t="shared" si="1"/>
        <v>Middle Age (36-55)</v>
      </c>
      <c r="J20" s="3">
        <f t="shared" si="2"/>
        <v>11</v>
      </c>
      <c r="K20" s="3">
        <f t="shared" si="3"/>
        <v>2023</v>
      </c>
      <c r="L20" s="3" t="str">
        <f t="shared" si="4"/>
        <v>November</v>
      </c>
      <c r="M20" s="3" t="str">
        <f>VLOOKUP(D20,Lookup_Practice!$A$2:$B$7,2,FALSE)</f>
        <v>Standard</v>
      </c>
      <c r="N20" s="3" t="str">
        <f t="array" ref="N20">INDEX(Lookup_Practice!$B$2:$B$7,MATCH(D20,Lookup_Practice!$A$2:$A$7,0))</f>
        <v>Standard</v>
      </c>
      <c r="O20" s="3" t="str">
        <f t="array" ref="O20">XLOOKUP(D20,Lookup_Practice!$A$2:$A$7,Lookup_Practice!$B$2:$B$7)</f>
        <v>Standard</v>
      </c>
    </row>
    <row r="21">
      <c r="A21" s="1">
        <v>62.0</v>
      </c>
      <c r="B21" s="1" t="s">
        <v>18</v>
      </c>
      <c r="C21" s="1" t="s">
        <v>21</v>
      </c>
      <c r="D21" s="1" t="s">
        <v>26</v>
      </c>
      <c r="E21" s="1" t="s">
        <v>28</v>
      </c>
      <c r="F21" s="1">
        <v>486.0</v>
      </c>
      <c r="G21" s="1">
        <v>12.0</v>
      </c>
      <c r="H21" s="2">
        <v>45173.0</v>
      </c>
      <c r="I21" s="3" t="str">
        <f t="shared" si="1"/>
        <v>Senior (56+)</v>
      </c>
      <c r="J21" s="3">
        <f t="shared" si="2"/>
        <v>9</v>
      </c>
      <c r="K21" s="3">
        <f t="shared" si="3"/>
        <v>2023</v>
      </c>
      <c r="L21" s="3" t="str">
        <f t="shared" si="4"/>
        <v>September</v>
      </c>
      <c r="M21" s="3" t="str">
        <f>VLOOKUP(D21,Lookup_Practice!$A$2:$B$7,2,FALSE)</f>
        <v>Premium</v>
      </c>
      <c r="N21" s="3" t="str">
        <f t="array" ref="N21">INDEX(Lookup_Practice!$B$2:$B$7,MATCH(D21,Lookup_Practice!$A$2:$A$7,0))</f>
        <v>Premium</v>
      </c>
      <c r="O21" s="3" t="str">
        <f t="array" ref="O21">XLOOKUP(D21,Lookup_Practice!$A$2:$A$7,Lookup_Practice!$B$2:$B$7)</f>
        <v>Premium</v>
      </c>
    </row>
    <row r="22">
      <c r="A22" s="1">
        <v>26.0</v>
      </c>
      <c r="B22" s="1" t="s">
        <v>18</v>
      </c>
      <c r="C22" s="1" t="s">
        <v>15</v>
      </c>
      <c r="D22" s="1" t="s">
        <v>16</v>
      </c>
      <c r="E22" s="1" t="s">
        <v>17</v>
      </c>
      <c r="F22" s="1">
        <v>1161.0</v>
      </c>
      <c r="G22" s="1">
        <v>16.0</v>
      </c>
      <c r="H22" s="2">
        <v>45195.0</v>
      </c>
      <c r="I22" s="3" t="str">
        <f t="shared" si="1"/>
        <v>Young Adult (18-35)</v>
      </c>
      <c r="J22" s="3">
        <f t="shared" si="2"/>
        <v>9</v>
      </c>
      <c r="K22" s="3">
        <f t="shared" si="3"/>
        <v>2023</v>
      </c>
      <c r="L22" s="3" t="str">
        <f t="shared" si="4"/>
        <v>September</v>
      </c>
      <c r="M22" s="3" t="str">
        <f>VLOOKUP(D22,Lookup_Practice!$A$2:$B$7,2,FALSE)</f>
        <v>Premium</v>
      </c>
      <c r="N22" s="3" t="str">
        <f t="array" ref="N22">INDEX(Lookup_Practice!$B$2:$B$7,MATCH(D22,Lookup_Practice!$A$2:$A$7,0))</f>
        <v>Premium</v>
      </c>
      <c r="O22" s="3" t="str">
        <f t="array" ref="O22">XLOOKUP(D22,Lookup_Practice!$A$2:$A$7,Lookup_Practice!$B$2:$B$7)</f>
        <v>Premium</v>
      </c>
    </row>
    <row r="23">
      <c r="A23" s="1">
        <v>53.0</v>
      </c>
      <c r="B23" s="1" t="s">
        <v>18</v>
      </c>
      <c r="C23" s="1" t="s">
        <v>25</v>
      </c>
      <c r="D23" s="1" t="s">
        <v>30</v>
      </c>
      <c r="E23" s="1" t="s">
        <v>24</v>
      </c>
      <c r="F23" s="1">
        <v>1113.0</v>
      </c>
      <c r="G23" s="1">
        <v>16.0</v>
      </c>
      <c r="H23" s="2">
        <v>45212.0</v>
      </c>
      <c r="I23" s="3" t="str">
        <f t="shared" si="1"/>
        <v>Middle Age (36-55)</v>
      </c>
      <c r="J23" s="3">
        <f t="shared" si="2"/>
        <v>10</v>
      </c>
      <c r="K23" s="3">
        <f t="shared" si="3"/>
        <v>2023</v>
      </c>
      <c r="L23" s="3" t="str">
        <f t="shared" si="4"/>
        <v>October</v>
      </c>
      <c r="M23" s="3" t="str">
        <f>VLOOKUP(D23,Lookup_Practice!$A$2:$B$7,2,FALSE)</f>
        <v>Standard</v>
      </c>
      <c r="N23" s="3" t="str">
        <f t="array" ref="N23">INDEX(Lookup_Practice!$B$2:$B$7,MATCH(D23,Lookup_Practice!$A$2:$A$7,0))</f>
        <v>Standard</v>
      </c>
      <c r="O23" s="3" t="str">
        <f t="array" ref="O23">XLOOKUP(D23,Lookup_Practice!$A$2:$A$7,Lookup_Practice!$B$2:$B$7)</f>
        <v>Standard</v>
      </c>
    </row>
    <row r="24">
      <c r="A24" s="1">
        <v>63.0</v>
      </c>
      <c r="B24" s="1" t="s">
        <v>14</v>
      </c>
      <c r="C24" s="1" t="s">
        <v>29</v>
      </c>
      <c r="D24" s="1" t="s">
        <v>20</v>
      </c>
      <c r="E24" s="1" t="s">
        <v>24</v>
      </c>
      <c r="F24" s="1">
        <v>1552.0</v>
      </c>
      <c r="G24" s="1">
        <v>11.0</v>
      </c>
      <c r="H24" s="2">
        <v>44977.0</v>
      </c>
      <c r="I24" s="3" t="str">
        <f t="shared" si="1"/>
        <v>Senior (56+)</v>
      </c>
      <c r="J24" s="3">
        <f t="shared" si="2"/>
        <v>2</v>
      </c>
      <c r="K24" s="3">
        <f t="shared" si="3"/>
        <v>2023</v>
      </c>
      <c r="L24" s="3" t="str">
        <f t="shared" si="4"/>
        <v>February</v>
      </c>
      <c r="M24" s="3" t="str">
        <f>VLOOKUP(D24,Lookup_Practice!$A$2:$B$7,2,FALSE)</f>
        <v>Standard</v>
      </c>
      <c r="N24" s="3" t="str">
        <f t="array" ref="N24">INDEX(Lookup_Practice!$B$2:$B$7,MATCH(D24,Lookup_Practice!$A$2:$A$7,0))</f>
        <v>Standard</v>
      </c>
      <c r="O24" s="3" t="str">
        <f t="array" ref="O24">XLOOKUP(D24,Lookup_Practice!$A$2:$A$7,Lookup_Practice!$B$2:$B$7)</f>
        <v>Standard</v>
      </c>
    </row>
    <row r="25">
      <c r="A25" s="1">
        <v>46.0</v>
      </c>
      <c r="B25" s="1" t="s">
        <v>14</v>
      </c>
      <c r="C25" s="1" t="s">
        <v>29</v>
      </c>
      <c r="D25" s="1" t="s">
        <v>23</v>
      </c>
      <c r="E25" s="1" t="s">
        <v>17</v>
      </c>
      <c r="F25" s="1">
        <v>1309.0</v>
      </c>
      <c r="G25" s="1">
        <v>4.0</v>
      </c>
      <c r="H25" s="2">
        <v>45408.0</v>
      </c>
      <c r="I25" s="3" t="str">
        <f t="shared" si="1"/>
        <v>Middle Age (36-55)</v>
      </c>
      <c r="J25" s="3">
        <f t="shared" si="2"/>
        <v>4</v>
      </c>
      <c r="K25" s="3">
        <f t="shared" si="3"/>
        <v>2024</v>
      </c>
      <c r="L25" s="3" t="str">
        <f t="shared" si="4"/>
        <v>April</v>
      </c>
      <c r="M25" s="3" t="str">
        <f>VLOOKUP(D25,Lookup_Practice!$A$2:$B$7,2,FALSE)</f>
        <v>Standard</v>
      </c>
      <c r="N25" s="3" t="str">
        <f t="array" ref="N25">INDEX(Lookup_Practice!$B$2:$B$7,MATCH(D25,Lookup_Practice!$A$2:$A$7,0))</f>
        <v>Standard</v>
      </c>
      <c r="O25" s="3" t="str">
        <f t="array" ref="O25">XLOOKUP(D25,Lookup_Practice!$A$2:$A$7,Lookup_Practice!$B$2:$B$7)</f>
        <v>Standard</v>
      </c>
    </row>
    <row r="26">
      <c r="A26" s="1">
        <v>64.0</v>
      </c>
      <c r="B26" s="1" t="s">
        <v>18</v>
      </c>
      <c r="C26" s="1" t="s">
        <v>31</v>
      </c>
      <c r="D26" s="1" t="s">
        <v>22</v>
      </c>
      <c r="E26" s="1" t="s">
        <v>17</v>
      </c>
      <c r="F26" s="1">
        <v>760.0</v>
      </c>
      <c r="G26" s="1">
        <v>13.0</v>
      </c>
      <c r="H26" s="2">
        <v>45521.0</v>
      </c>
      <c r="I26" s="3" t="str">
        <f t="shared" si="1"/>
        <v>Senior (56+)</v>
      </c>
      <c r="J26" s="3">
        <f t="shared" si="2"/>
        <v>8</v>
      </c>
      <c r="K26" s="3">
        <f t="shared" si="3"/>
        <v>2024</v>
      </c>
      <c r="L26" s="3" t="str">
        <f t="shared" si="4"/>
        <v>August</v>
      </c>
      <c r="M26" s="3" t="str">
        <f>VLOOKUP(D26,Lookup_Practice!$A$2:$B$7,2,FALSE)</f>
        <v>Basic</v>
      </c>
      <c r="N26" s="3" t="str">
        <f t="array" ref="N26">INDEX(Lookup_Practice!$B$2:$B$7,MATCH(D26,Lookup_Practice!$A$2:$A$7,0))</f>
        <v>Basic</v>
      </c>
      <c r="O26" s="3" t="str">
        <f t="array" ref="O26">XLOOKUP(D26,Lookup_Practice!$A$2:$A$7,Lookup_Practice!$B$2:$B$7)</f>
        <v>Basic</v>
      </c>
    </row>
    <row r="27">
      <c r="A27" s="1">
        <v>19.0</v>
      </c>
      <c r="B27" s="1" t="s">
        <v>14</v>
      </c>
      <c r="C27" s="1" t="s">
        <v>29</v>
      </c>
      <c r="D27" s="1" t="s">
        <v>26</v>
      </c>
      <c r="E27" s="1" t="s">
        <v>17</v>
      </c>
      <c r="F27" s="1">
        <v>667.0</v>
      </c>
      <c r="G27" s="1">
        <v>7.0</v>
      </c>
      <c r="H27" s="2">
        <v>45482.0</v>
      </c>
      <c r="I27" s="3" t="str">
        <f t="shared" si="1"/>
        <v>Young Adult (18-35)</v>
      </c>
      <c r="J27" s="3">
        <f t="shared" si="2"/>
        <v>7</v>
      </c>
      <c r="K27" s="3">
        <f t="shared" si="3"/>
        <v>2024</v>
      </c>
      <c r="L27" s="3" t="str">
        <f t="shared" si="4"/>
        <v>July</v>
      </c>
      <c r="M27" s="3" t="str">
        <f>VLOOKUP(D27,Lookup_Practice!$A$2:$B$7,2,FALSE)</f>
        <v>Premium</v>
      </c>
      <c r="N27" s="3" t="str">
        <f t="array" ref="N27">INDEX(Lookup_Practice!$B$2:$B$7,MATCH(D27,Lookup_Practice!$A$2:$A$7,0))</f>
        <v>Premium</v>
      </c>
      <c r="O27" s="3" t="str">
        <f t="array" ref="O27">XLOOKUP(D27,Lookup_Practice!$A$2:$A$7,Lookup_Practice!$B$2:$B$7)</f>
        <v>Premium</v>
      </c>
    </row>
    <row r="28">
      <c r="A28" s="1">
        <v>66.0</v>
      </c>
      <c r="B28" s="1" t="s">
        <v>14</v>
      </c>
      <c r="C28" s="1" t="s">
        <v>29</v>
      </c>
      <c r="D28" s="1" t="s">
        <v>22</v>
      </c>
      <c r="E28" s="1" t="s">
        <v>17</v>
      </c>
      <c r="F28" s="1">
        <v>961.0</v>
      </c>
      <c r="G28" s="1">
        <v>4.0</v>
      </c>
      <c r="H28" s="2">
        <v>44930.0</v>
      </c>
      <c r="I28" s="3" t="str">
        <f t="shared" si="1"/>
        <v>Senior (56+)</v>
      </c>
      <c r="J28" s="3">
        <f t="shared" si="2"/>
        <v>1</v>
      </c>
      <c r="K28" s="3">
        <f t="shared" si="3"/>
        <v>2023</v>
      </c>
      <c r="L28" s="3" t="str">
        <f t="shared" si="4"/>
        <v>January</v>
      </c>
      <c r="M28" s="3" t="str">
        <f>VLOOKUP(D28,Lookup_Practice!$A$2:$B$7,2,FALSE)</f>
        <v>Basic</v>
      </c>
      <c r="N28" s="3" t="str">
        <f t="array" ref="N28">INDEX(Lookup_Practice!$B$2:$B$7,MATCH(D28,Lookup_Practice!$A$2:$A$7,0))</f>
        <v>Basic</v>
      </c>
      <c r="O28" s="3" t="str">
        <f t="array" ref="O28">XLOOKUP(D28,Lookup_Practice!$A$2:$A$7,Lookup_Practice!$B$2:$B$7)</f>
        <v>Basic</v>
      </c>
    </row>
    <row r="29">
      <c r="A29" s="1">
        <v>66.0</v>
      </c>
      <c r="B29" s="1" t="s">
        <v>18</v>
      </c>
      <c r="C29" s="1" t="s">
        <v>21</v>
      </c>
      <c r="D29" s="1" t="s">
        <v>20</v>
      </c>
      <c r="E29" s="1" t="s">
        <v>28</v>
      </c>
      <c r="F29" s="1">
        <v>1617.0</v>
      </c>
      <c r="G29" s="1">
        <v>15.0</v>
      </c>
      <c r="H29" s="2">
        <v>45069.0</v>
      </c>
      <c r="I29" s="3" t="str">
        <f t="shared" si="1"/>
        <v>Senior (56+)</v>
      </c>
      <c r="J29" s="3">
        <f t="shared" si="2"/>
        <v>5</v>
      </c>
      <c r="K29" s="3">
        <f t="shared" si="3"/>
        <v>2023</v>
      </c>
      <c r="L29" s="3" t="str">
        <f t="shared" si="4"/>
        <v>May</v>
      </c>
      <c r="M29" s="3" t="str">
        <f>VLOOKUP(D29,Lookup_Practice!$A$2:$B$7,2,FALSE)</f>
        <v>Standard</v>
      </c>
      <c r="N29" s="3" t="str">
        <f t="array" ref="N29">INDEX(Lookup_Practice!$B$2:$B$7,MATCH(D29,Lookup_Practice!$A$2:$A$7,0))</f>
        <v>Standard</v>
      </c>
      <c r="O29" s="3" t="str">
        <f t="array" ref="O29">XLOOKUP(D29,Lookup_Practice!$A$2:$A$7,Lookup_Practice!$B$2:$B$7)</f>
        <v>Standard</v>
      </c>
    </row>
    <row r="30">
      <c r="A30" s="1">
        <v>51.0</v>
      </c>
      <c r="B30" s="1" t="s">
        <v>14</v>
      </c>
      <c r="C30" s="1" t="s">
        <v>15</v>
      </c>
      <c r="D30" s="1" t="s">
        <v>22</v>
      </c>
      <c r="E30" s="1" t="s">
        <v>17</v>
      </c>
      <c r="F30" s="1">
        <v>982.0</v>
      </c>
      <c r="G30" s="1">
        <v>19.0</v>
      </c>
      <c r="H30" s="2">
        <v>45487.0</v>
      </c>
      <c r="I30" s="3" t="str">
        <f t="shared" si="1"/>
        <v>Middle Age (36-55)</v>
      </c>
      <c r="J30" s="3">
        <f t="shared" si="2"/>
        <v>7</v>
      </c>
      <c r="K30" s="3">
        <f t="shared" si="3"/>
        <v>2024</v>
      </c>
      <c r="L30" s="3" t="str">
        <f t="shared" si="4"/>
        <v>July</v>
      </c>
      <c r="M30" s="3" t="str">
        <f>VLOOKUP(D30,Lookup_Practice!$A$2:$B$7,2,FALSE)</f>
        <v>Basic</v>
      </c>
      <c r="N30" s="3" t="str">
        <f t="array" ref="N30">INDEX(Lookup_Practice!$B$2:$B$7,MATCH(D30,Lookup_Practice!$A$2:$A$7,0))</f>
        <v>Basic</v>
      </c>
      <c r="O30" s="3" t="str">
        <f t="array" ref="O30">XLOOKUP(D30,Lookup_Practice!$A$2:$A$7,Lookup_Practice!$B$2:$B$7)</f>
        <v>Basic</v>
      </c>
    </row>
    <row r="31">
      <c r="A31" s="1">
        <v>66.0</v>
      </c>
      <c r="B31" s="1" t="s">
        <v>18</v>
      </c>
      <c r="C31" s="1" t="s">
        <v>15</v>
      </c>
      <c r="D31" s="1" t="s">
        <v>26</v>
      </c>
      <c r="E31" s="1" t="s">
        <v>28</v>
      </c>
      <c r="F31" s="1">
        <v>535.0</v>
      </c>
      <c r="G31" s="1">
        <v>9.0</v>
      </c>
      <c r="H31" s="2">
        <v>45035.0</v>
      </c>
      <c r="I31" s="3" t="str">
        <f t="shared" si="1"/>
        <v>Senior (56+)</v>
      </c>
      <c r="J31" s="3">
        <f t="shared" si="2"/>
        <v>4</v>
      </c>
      <c r="K31" s="3">
        <f t="shared" si="3"/>
        <v>2023</v>
      </c>
      <c r="L31" s="3" t="str">
        <f t="shared" si="4"/>
        <v>April</v>
      </c>
      <c r="M31" s="3" t="str">
        <f>VLOOKUP(D31,Lookup_Practice!$A$2:$B$7,2,FALSE)</f>
        <v>Premium</v>
      </c>
      <c r="N31" s="3" t="str">
        <f t="array" ref="N31">INDEX(Lookup_Practice!$B$2:$B$7,MATCH(D31,Lookup_Practice!$A$2:$A$7,0))</f>
        <v>Premium</v>
      </c>
      <c r="O31" s="3" t="str">
        <f t="array" ref="O31">XLOOKUP(D31,Lookup_Practice!$A$2:$A$7,Lookup_Practice!$B$2:$B$7)</f>
        <v>Premium</v>
      </c>
    </row>
    <row r="32">
      <c r="A32" s="1">
        <v>55.0</v>
      </c>
      <c r="B32" s="1" t="s">
        <v>18</v>
      </c>
      <c r="C32" s="1" t="s">
        <v>21</v>
      </c>
      <c r="D32" s="1" t="s">
        <v>20</v>
      </c>
      <c r="E32" s="1" t="s">
        <v>17</v>
      </c>
      <c r="F32" s="1">
        <v>1492.0</v>
      </c>
      <c r="G32" s="1">
        <v>11.0</v>
      </c>
      <c r="H32" s="2">
        <v>45317.0</v>
      </c>
      <c r="I32" s="3" t="str">
        <f t="shared" si="1"/>
        <v>Middle Age (36-55)</v>
      </c>
      <c r="J32" s="3">
        <f t="shared" si="2"/>
        <v>1</v>
      </c>
      <c r="K32" s="3">
        <f t="shared" si="3"/>
        <v>2024</v>
      </c>
      <c r="L32" s="3" t="str">
        <f t="shared" si="4"/>
        <v>January</v>
      </c>
      <c r="M32" s="3" t="str">
        <f>VLOOKUP(D32,Lookup_Practice!$A$2:$B$7,2,FALSE)</f>
        <v>Standard</v>
      </c>
      <c r="N32" s="3" t="str">
        <f t="array" ref="N32">INDEX(Lookup_Practice!$B$2:$B$7,MATCH(D32,Lookup_Practice!$A$2:$A$7,0))</f>
        <v>Standard</v>
      </c>
      <c r="O32" s="3" t="str">
        <f t="array" ref="O32">XLOOKUP(D32,Lookup_Practice!$A$2:$A$7,Lookup_Practice!$B$2:$B$7)</f>
        <v>Standard</v>
      </c>
    </row>
    <row r="33">
      <c r="A33" s="1">
        <v>59.0</v>
      </c>
      <c r="B33" s="1" t="s">
        <v>14</v>
      </c>
      <c r="C33" s="1" t="s">
        <v>15</v>
      </c>
      <c r="D33" s="1" t="s">
        <v>22</v>
      </c>
      <c r="E33" s="1" t="s">
        <v>28</v>
      </c>
      <c r="F33" s="1">
        <v>808.0</v>
      </c>
      <c r="G33" s="1">
        <v>8.0</v>
      </c>
      <c r="H33" s="2">
        <v>45172.0</v>
      </c>
      <c r="I33" s="3" t="str">
        <f t="shared" si="1"/>
        <v>Senior (56+)</v>
      </c>
      <c r="J33" s="3">
        <f t="shared" si="2"/>
        <v>9</v>
      </c>
      <c r="K33" s="3">
        <f t="shared" si="3"/>
        <v>2023</v>
      </c>
      <c r="L33" s="3" t="str">
        <f t="shared" si="4"/>
        <v>September</v>
      </c>
      <c r="M33" s="3" t="str">
        <f>VLOOKUP(D33,Lookup_Practice!$A$2:$B$7,2,FALSE)</f>
        <v>Basic</v>
      </c>
      <c r="N33" s="3" t="str">
        <f t="array" ref="N33">INDEX(Lookup_Practice!$B$2:$B$7,MATCH(D33,Lookup_Practice!$A$2:$A$7,0))</f>
        <v>Basic</v>
      </c>
      <c r="O33" s="3" t="str">
        <f t="array" ref="O33">XLOOKUP(D33,Lookup_Practice!$A$2:$A$7,Lookup_Practice!$B$2:$B$7)</f>
        <v>Basic</v>
      </c>
    </row>
    <row r="34">
      <c r="A34" s="1">
        <v>68.0</v>
      </c>
      <c r="B34" s="1" t="s">
        <v>18</v>
      </c>
      <c r="C34" s="1" t="s">
        <v>15</v>
      </c>
      <c r="D34" s="1" t="s">
        <v>23</v>
      </c>
      <c r="E34" s="1" t="s">
        <v>17</v>
      </c>
      <c r="F34" s="1">
        <v>1340.0</v>
      </c>
      <c r="G34" s="1">
        <v>1.0</v>
      </c>
      <c r="H34" s="2">
        <v>45060.0</v>
      </c>
      <c r="I34" s="3" t="str">
        <f t="shared" si="1"/>
        <v>Senior (56+)</v>
      </c>
      <c r="J34" s="3">
        <f t="shared" si="2"/>
        <v>5</v>
      </c>
      <c r="K34" s="3">
        <f t="shared" si="3"/>
        <v>2023</v>
      </c>
      <c r="L34" s="3" t="str">
        <f t="shared" si="4"/>
        <v>May</v>
      </c>
      <c r="M34" s="3" t="str">
        <f>VLOOKUP(D34,Lookup_Practice!$A$2:$B$7,2,FALSE)</f>
        <v>Standard</v>
      </c>
      <c r="N34" s="3" t="str">
        <f t="array" ref="N34">INDEX(Lookup_Practice!$B$2:$B$7,MATCH(D34,Lookup_Practice!$A$2:$A$7,0))</f>
        <v>Standard</v>
      </c>
      <c r="O34" s="3" t="str">
        <f t="array" ref="O34">XLOOKUP(D34,Lookup_Practice!$A$2:$A$7,Lookup_Practice!$B$2:$B$7)</f>
        <v>Standard</v>
      </c>
    </row>
    <row r="35">
      <c r="A35" s="1">
        <v>7.0</v>
      </c>
      <c r="B35" s="1" t="s">
        <v>14</v>
      </c>
      <c r="C35" s="1" t="s">
        <v>31</v>
      </c>
      <c r="D35" s="1" t="s">
        <v>16</v>
      </c>
      <c r="E35" s="1" t="s">
        <v>17</v>
      </c>
      <c r="F35" s="1">
        <v>1041.0</v>
      </c>
      <c r="G35" s="1">
        <v>8.0</v>
      </c>
      <c r="H35" s="2">
        <v>45604.0</v>
      </c>
      <c r="I35" s="3" t="str">
        <f t="shared" si="1"/>
        <v>Child (0-17)</v>
      </c>
      <c r="J35" s="3">
        <f t="shared" si="2"/>
        <v>11</v>
      </c>
      <c r="K35" s="3">
        <f t="shared" si="3"/>
        <v>2024</v>
      </c>
      <c r="L35" s="3" t="str">
        <f t="shared" si="4"/>
        <v>November</v>
      </c>
      <c r="M35" s="3" t="str">
        <f>VLOOKUP(D35,Lookup_Practice!$A$2:$B$7,2,FALSE)</f>
        <v>Premium</v>
      </c>
      <c r="N35" s="3" t="str">
        <f t="array" ref="N35">INDEX(Lookup_Practice!$B$2:$B$7,MATCH(D35,Lookup_Practice!$A$2:$A$7,0))</f>
        <v>Premium</v>
      </c>
      <c r="O35" s="3" t="str">
        <f t="array" ref="O35">XLOOKUP(D35,Lookup_Practice!$A$2:$A$7,Lookup_Practice!$B$2:$B$7)</f>
        <v>Premium</v>
      </c>
    </row>
    <row r="36">
      <c r="A36" s="1">
        <v>55.0</v>
      </c>
      <c r="B36" s="1" t="s">
        <v>14</v>
      </c>
      <c r="C36" s="1" t="s">
        <v>32</v>
      </c>
      <c r="D36" s="1" t="s">
        <v>20</v>
      </c>
      <c r="E36" s="1" t="s">
        <v>17</v>
      </c>
      <c r="F36" s="1">
        <v>1690.0</v>
      </c>
      <c r="G36" s="1">
        <v>13.0</v>
      </c>
      <c r="H36" s="2">
        <v>45346.0</v>
      </c>
      <c r="I36" s="3" t="str">
        <f t="shared" si="1"/>
        <v>Middle Age (36-55)</v>
      </c>
      <c r="J36" s="3">
        <f t="shared" si="2"/>
        <v>2</v>
      </c>
      <c r="K36" s="3">
        <f t="shared" si="3"/>
        <v>2024</v>
      </c>
      <c r="L36" s="3" t="str">
        <f t="shared" si="4"/>
        <v>February</v>
      </c>
      <c r="M36" s="3" t="str">
        <f>VLOOKUP(D36,Lookup_Practice!$A$2:$B$7,2,FALSE)</f>
        <v>Standard</v>
      </c>
      <c r="N36" s="3" t="str">
        <f t="array" ref="N36">INDEX(Lookup_Practice!$B$2:$B$7,MATCH(D36,Lookup_Practice!$A$2:$A$7,0))</f>
        <v>Standard</v>
      </c>
      <c r="O36" s="3" t="str">
        <f t="array" ref="O36">XLOOKUP(D36,Lookup_Practice!$A$2:$A$7,Lookup_Practice!$B$2:$B$7)</f>
        <v>Standard</v>
      </c>
    </row>
    <row r="37">
      <c r="A37" s="1">
        <v>11.0</v>
      </c>
      <c r="B37" s="1" t="s">
        <v>18</v>
      </c>
      <c r="C37" s="1" t="s">
        <v>25</v>
      </c>
      <c r="D37" s="1" t="s">
        <v>16</v>
      </c>
      <c r="E37" s="1" t="s">
        <v>24</v>
      </c>
      <c r="F37" s="1">
        <v>1136.0</v>
      </c>
      <c r="G37" s="1">
        <v>4.0</v>
      </c>
      <c r="H37" s="2">
        <v>45531.0</v>
      </c>
      <c r="I37" s="3" t="str">
        <f t="shared" si="1"/>
        <v>Child (0-17)</v>
      </c>
      <c r="J37" s="3">
        <f t="shared" si="2"/>
        <v>8</v>
      </c>
      <c r="K37" s="3">
        <f t="shared" si="3"/>
        <v>2024</v>
      </c>
      <c r="L37" s="3" t="str">
        <f t="shared" si="4"/>
        <v>August</v>
      </c>
      <c r="M37" s="3" t="str">
        <f>VLOOKUP(D37,Lookup_Practice!$A$2:$B$7,2,FALSE)</f>
        <v>Premium</v>
      </c>
      <c r="N37" s="3" t="str">
        <f t="array" ref="N37">INDEX(Lookup_Practice!$B$2:$B$7,MATCH(D37,Lookup_Practice!$A$2:$A$7,0))</f>
        <v>Premium</v>
      </c>
      <c r="O37" s="3" t="str">
        <f t="array" ref="O37">XLOOKUP(D37,Lookup_Practice!$A$2:$A$7,Lookup_Practice!$B$2:$B$7)</f>
        <v>Premium</v>
      </c>
    </row>
    <row r="38">
      <c r="A38" s="1">
        <v>25.0</v>
      </c>
      <c r="B38" s="1" t="s">
        <v>14</v>
      </c>
      <c r="C38" s="1" t="s">
        <v>21</v>
      </c>
      <c r="D38" s="1" t="s">
        <v>20</v>
      </c>
      <c r="E38" s="1" t="s">
        <v>17</v>
      </c>
      <c r="F38" s="1">
        <v>1576.0</v>
      </c>
      <c r="G38" s="1">
        <v>8.0</v>
      </c>
      <c r="H38" s="2">
        <v>45597.0</v>
      </c>
      <c r="I38" s="3" t="str">
        <f t="shared" si="1"/>
        <v>Young Adult (18-35)</v>
      </c>
      <c r="J38" s="3">
        <f t="shared" si="2"/>
        <v>11</v>
      </c>
      <c r="K38" s="3">
        <f t="shared" si="3"/>
        <v>2024</v>
      </c>
      <c r="L38" s="3" t="str">
        <f t="shared" si="4"/>
        <v>November</v>
      </c>
      <c r="M38" s="3" t="str">
        <f>VLOOKUP(D38,Lookup_Practice!$A$2:$B$7,2,FALSE)</f>
        <v>Standard</v>
      </c>
      <c r="N38" s="3" t="str">
        <f t="array" ref="N38">INDEX(Lookup_Practice!$B$2:$B$7,MATCH(D38,Lookup_Practice!$A$2:$A$7,0))</f>
        <v>Standard</v>
      </c>
      <c r="O38" s="3" t="str">
        <f t="array" ref="O38">XLOOKUP(D38,Lookup_Practice!$A$2:$A$7,Lookup_Practice!$B$2:$B$7)</f>
        <v>Standard</v>
      </c>
    </row>
    <row r="39">
      <c r="A39" s="1">
        <v>77.0</v>
      </c>
      <c r="B39" s="1" t="s">
        <v>14</v>
      </c>
      <c r="C39" s="1" t="s">
        <v>21</v>
      </c>
      <c r="D39" s="1" t="s">
        <v>23</v>
      </c>
      <c r="E39" s="1" t="s">
        <v>24</v>
      </c>
      <c r="F39" s="1">
        <v>1240.0</v>
      </c>
      <c r="G39" s="1">
        <v>3.0</v>
      </c>
      <c r="H39" s="2">
        <v>45332.0</v>
      </c>
      <c r="I39" s="3" t="str">
        <f t="shared" si="1"/>
        <v>Senior (56+)</v>
      </c>
      <c r="J39" s="3">
        <f t="shared" si="2"/>
        <v>2</v>
      </c>
      <c r="K39" s="3">
        <f t="shared" si="3"/>
        <v>2024</v>
      </c>
      <c r="L39" s="3" t="str">
        <f t="shared" si="4"/>
        <v>February</v>
      </c>
      <c r="M39" s="3" t="str">
        <f>VLOOKUP(D39,Lookup_Practice!$A$2:$B$7,2,FALSE)</f>
        <v>Standard</v>
      </c>
      <c r="N39" s="3" t="str">
        <f t="array" ref="N39">INDEX(Lookup_Practice!$B$2:$B$7,MATCH(D39,Lookup_Practice!$A$2:$A$7,0))</f>
        <v>Standard</v>
      </c>
      <c r="O39" s="3" t="str">
        <f t="array" ref="O39">XLOOKUP(D39,Lookup_Practice!$A$2:$A$7,Lookup_Practice!$B$2:$B$7)</f>
        <v>Standard</v>
      </c>
    </row>
    <row r="40">
      <c r="A40" s="1">
        <v>43.0</v>
      </c>
      <c r="B40" s="1" t="s">
        <v>18</v>
      </c>
      <c r="C40" s="1" t="s">
        <v>27</v>
      </c>
      <c r="D40" s="1" t="s">
        <v>16</v>
      </c>
      <c r="E40" s="1" t="s">
        <v>17</v>
      </c>
      <c r="F40" s="1">
        <v>1088.0</v>
      </c>
      <c r="G40" s="1">
        <v>9.0</v>
      </c>
      <c r="H40" s="2">
        <v>45003.0</v>
      </c>
      <c r="I40" s="3" t="str">
        <f t="shared" si="1"/>
        <v>Middle Age (36-55)</v>
      </c>
      <c r="J40" s="3">
        <f t="shared" si="2"/>
        <v>3</v>
      </c>
      <c r="K40" s="3">
        <f t="shared" si="3"/>
        <v>2023</v>
      </c>
      <c r="L40" s="3" t="str">
        <f t="shared" si="4"/>
        <v>March</v>
      </c>
      <c r="M40" s="3" t="str">
        <f>VLOOKUP(D40,Lookup_Practice!$A$2:$B$7,2,FALSE)</f>
        <v>Premium</v>
      </c>
      <c r="N40" s="3" t="str">
        <f t="array" ref="N40">INDEX(Lookup_Practice!$B$2:$B$7,MATCH(D40,Lookup_Practice!$A$2:$A$7,0))</f>
        <v>Premium</v>
      </c>
      <c r="O40" s="3" t="str">
        <f t="array" ref="O40">XLOOKUP(D40,Lookup_Practice!$A$2:$A$7,Lookup_Practice!$B$2:$B$7)</f>
        <v>Premium</v>
      </c>
    </row>
    <row r="41">
      <c r="A41" s="1">
        <v>22.0</v>
      </c>
      <c r="B41" s="1" t="s">
        <v>14</v>
      </c>
      <c r="C41" s="1" t="s">
        <v>27</v>
      </c>
      <c r="D41" s="1" t="s">
        <v>30</v>
      </c>
      <c r="E41" s="1" t="s">
        <v>17</v>
      </c>
      <c r="F41" s="1">
        <v>948.0</v>
      </c>
      <c r="G41" s="1">
        <v>2.0</v>
      </c>
      <c r="H41" s="2">
        <v>45215.0</v>
      </c>
      <c r="I41" s="3" t="str">
        <f t="shared" si="1"/>
        <v>Young Adult (18-35)</v>
      </c>
      <c r="J41" s="3">
        <f t="shared" si="2"/>
        <v>10</v>
      </c>
      <c r="K41" s="3">
        <f t="shared" si="3"/>
        <v>2023</v>
      </c>
      <c r="L41" s="3" t="str">
        <f t="shared" si="4"/>
        <v>October</v>
      </c>
      <c r="M41" s="3" t="str">
        <f>VLOOKUP(D41,Lookup_Practice!$A$2:$B$7,2,FALSE)</f>
        <v>Standard</v>
      </c>
      <c r="N41" s="3" t="str">
        <f t="array" ref="N41">INDEX(Lookup_Practice!$B$2:$B$7,MATCH(D41,Lookup_Practice!$A$2:$A$7,0))</f>
        <v>Standard</v>
      </c>
      <c r="O41" s="3" t="str">
        <f t="array" ref="O41">XLOOKUP(D41,Lookup_Practice!$A$2:$A$7,Lookup_Practice!$B$2:$B$7)</f>
        <v>Standard</v>
      </c>
    </row>
    <row r="42">
      <c r="A42" s="1">
        <v>8.0</v>
      </c>
      <c r="B42" s="1" t="s">
        <v>14</v>
      </c>
      <c r="C42" s="1" t="s">
        <v>21</v>
      </c>
      <c r="D42" s="1" t="s">
        <v>26</v>
      </c>
      <c r="E42" s="1" t="s">
        <v>17</v>
      </c>
      <c r="F42" s="1">
        <v>589.0</v>
      </c>
      <c r="G42" s="1">
        <v>2.0</v>
      </c>
      <c r="H42" s="2">
        <v>44934.0</v>
      </c>
      <c r="I42" s="3" t="str">
        <f t="shared" si="1"/>
        <v>Child (0-17)</v>
      </c>
      <c r="J42" s="3">
        <f t="shared" si="2"/>
        <v>1</v>
      </c>
      <c r="K42" s="3">
        <f t="shared" si="3"/>
        <v>2023</v>
      </c>
      <c r="L42" s="3" t="str">
        <f t="shared" si="4"/>
        <v>January</v>
      </c>
      <c r="M42" s="3" t="str">
        <f>VLOOKUP(D42,Lookup_Practice!$A$2:$B$7,2,FALSE)</f>
        <v>Premium</v>
      </c>
      <c r="N42" s="3" t="str">
        <f t="array" ref="N42">INDEX(Lookup_Practice!$B$2:$B$7,MATCH(D42,Lookup_Practice!$A$2:$A$7,0))</f>
        <v>Premium</v>
      </c>
      <c r="O42" s="3" t="str">
        <f t="array" ref="O42">XLOOKUP(D42,Lookup_Practice!$A$2:$A$7,Lookup_Practice!$B$2:$B$7)</f>
        <v>Premium</v>
      </c>
    </row>
    <row r="43">
      <c r="A43" s="1">
        <v>64.0</v>
      </c>
      <c r="B43" s="1" t="s">
        <v>14</v>
      </c>
      <c r="C43" s="1" t="s">
        <v>29</v>
      </c>
      <c r="D43" s="1" t="s">
        <v>30</v>
      </c>
      <c r="E43" s="1" t="s">
        <v>17</v>
      </c>
      <c r="F43" s="1">
        <v>1035.0</v>
      </c>
      <c r="G43" s="1">
        <v>13.0</v>
      </c>
      <c r="H43" s="2">
        <v>45597.0</v>
      </c>
      <c r="I43" s="3" t="str">
        <f t="shared" si="1"/>
        <v>Senior (56+)</v>
      </c>
      <c r="J43" s="3">
        <f t="shared" si="2"/>
        <v>11</v>
      </c>
      <c r="K43" s="3">
        <f t="shared" si="3"/>
        <v>2024</v>
      </c>
      <c r="L43" s="3" t="str">
        <f t="shared" si="4"/>
        <v>November</v>
      </c>
      <c r="M43" s="3" t="str">
        <f>VLOOKUP(D43,Lookup_Practice!$A$2:$B$7,2,FALSE)</f>
        <v>Standard</v>
      </c>
      <c r="N43" s="3" t="str">
        <f t="array" ref="N43">INDEX(Lookup_Practice!$B$2:$B$7,MATCH(D43,Lookup_Practice!$A$2:$A$7,0))</f>
        <v>Standard</v>
      </c>
      <c r="O43" s="3" t="str">
        <f t="array" ref="O43">XLOOKUP(D43,Lookup_Practice!$A$2:$A$7,Lookup_Practice!$B$2:$B$7)</f>
        <v>Standard</v>
      </c>
    </row>
    <row r="44">
      <c r="A44" s="1">
        <v>18.0</v>
      </c>
      <c r="B44" s="1" t="s">
        <v>14</v>
      </c>
      <c r="C44" s="1" t="s">
        <v>21</v>
      </c>
      <c r="D44" s="1" t="s">
        <v>22</v>
      </c>
      <c r="E44" s="1" t="s">
        <v>17</v>
      </c>
      <c r="F44" s="1">
        <v>742.0</v>
      </c>
      <c r="G44" s="1">
        <v>15.0</v>
      </c>
      <c r="H44" s="2">
        <v>45334.0</v>
      </c>
      <c r="I44" s="3" t="str">
        <f t="shared" si="1"/>
        <v>Young Adult (18-35)</v>
      </c>
      <c r="J44" s="3">
        <f t="shared" si="2"/>
        <v>2</v>
      </c>
      <c r="K44" s="3">
        <f t="shared" si="3"/>
        <v>2024</v>
      </c>
      <c r="L44" s="3" t="str">
        <f t="shared" si="4"/>
        <v>February</v>
      </c>
      <c r="M44" s="3" t="str">
        <f>VLOOKUP(D44,Lookup_Practice!$A$2:$B$7,2,FALSE)</f>
        <v>Basic</v>
      </c>
      <c r="N44" s="3" t="str">
        <f t="array" ref="N44">INDEX(Lookup_Practice!$B$2:$B$7,MATCH(D44,Lookup_Practice!$A$2:$A$7,0))</f>
        <v>Basic</v>
      </c>
      <c r="O44" s="3" t="str">
        <f t="array" ref="O44">XLOOKUP(D44,Lookup_Practice!$A$2:$A$7,Lookup_Practice!$B$2:$B$7)</f>
        <v>Basic</v>
      </c>
    </row>
    <row r="45">
      <c r="A45" s="1">
        <v>13.0</v>
      </c>
      <c r="B45" s="1" t="s">
        <v>18</v>
      </c>
      <c r="C45" s="1" t="s">
        <v>21</v>
      </c>
      <c r="D45" s="1" t="s">
        <v>23</v>
      </c>
      <c r="E45" s="1" t="s">
        <v>28</v>
      </c>
      <c r="F45" s="1">
        <v>1189.0</v>
      </c>
      <c r="G45" s="1">
        <v>12.0</v>
      </c>
      <c r="H45" s="2">
        <v>45481.0</v>
      </c>
      <c r="I45" s="3" t="str">
        <f t="shared" si="1"/>
        <v>Child (0-17)</v>
      </c>
      <c r="J45" s="3">
        <f t="shared" si="2"/>
        <v>7</v>
      </c>
      <c r="K45" s="3">
        <f t="shared" si="3"/>
        <v>2024</v>
      </c>
      <c r="L45" s="3" t="str">
        <f t="shared" si="4"/>
        <v>July</v>
      </c>
      <c r="M45" s="3" t="str">
        <f>VLOOKUP(D45,Lookup_Practice!$A$2:$B$7,2,FALSE)</f>
        <v>Standard</v>
      </c>
      <c r="N45" s="3" t="str">
        <f t="array" ref="N45">INDEX(Lookup_Practice!$B$2:$B$7,MATCH(D45,Lookup_Practice!$A$2:$A$7,0))</f>
        <v>Standard</v>
      </c>
      <c r="O45" s="3" t="str">
        <f t="array" ref="O45">XLOOKUP(D45,Lookup_Practice!$A$2:$A$7,Lookup_Practice!$B$2:$B$7)</f>
        <v>Standard</v>
      </c>
    </row>
    <row r="46">
      <c r="A46" s="1">
        <v>57.0</v>
      </c>
      <c r="B46" s="1" t="s">
        <v>14</v>
      </c>
      <c r="C46" s="1" t="s">
        <v>21</v>
      </c>
      <c r="D46" s="1" t="s">
        <v>30</v>
      </c>
      <c r="E46" s="1" t="s">
        <v>28</v>
      </c>
      <c r="F46" s="1">
        <v>1194.0</v>
      </c>
      <c r="G46" s="1">
        <v>4.0</v>
      </c>
      <c r="H46" s="2">
        <v>45589.0</v>
      </c>
      <c r="I46" s="3" t="str">
        <f t="shared" si="1"/>
        <v>Senior (56+)</v>
      </c>
      <c r="J46" s="3">
        <f t="shared" si="2"/>
        <v>10</v>
      </c>
      <c r="K46" s="3">
        <f t="shared" si="3"/>
        <v>2024</v>
      </c>
      <c r="L46" s="3" t="str">
        <f t="shared" si="4"/>
        <v>October</v>
      </c>
      <c r="M46" s="3" t="str">
        <f>VLOOKUP(D46,Lookup_Practice!$A$2:$B$7,2,FALSE)</f>
        <v>Standard</v>
      </c>
      <c r="N46" s="3" t="str">
        <f t="array" ref="N46">INDEX(Lookup_Practice!$B$2:$B$7,MATCH(D46,Lookup_Practice!$A$2:$A$7,0))</f>
        <v>Standard</v>
      </c>
      <c r="O46" s="3" t="str">
        <f t="array" ref="O46">XLOOKUP(D46,Lookup_Practice!$A$2:$A$7,Lookup_Practice!$B$2:$B$7)</f>
        <v>Standard</v>
      </c>
    </row>
    <row r="47">
      <c r="A47" s="1">
        <v>6.0</v>
      </c>
      <c r="B47" s="1" t="s">
        <v>14</v>
      </c>
      <c r="C47" s="1" t="s">
        <v>21</v>
      </c>
      <c r="D47" s="1" t="s">
        <v>20</v>
      </c>
      <c r="E47" s="1" t="s">
        <v>28</v>
      </c>
      <c r="F47" s="1">
        <v>1644.0</v>
      </c>
      <c r="G47" s="1">
        <v>8.0</v>
      </c>
      <c r="H47" s="2">
        <v>45338.0</v>
      </c>
      <c r="I47" s="3" t="str">
        <f t="shared" si="1"/>
        <v>Child (0-17)</v>
      </c>
      <c r="J47" s="3">
        <f t="shared" si="2"/>
        <v>2</v>
      </c>
      <c r="K47" s="3">
        <f t="shared" si="3"/>
        <v>2024</v>
      </c>
      <c r="L47" s="3" t="str">
        <f t="shared" si="4"/>
        <v>February</v>
      </c>
      <c r="M47" s="3" t="str">
        <f>VLOOKUP(D47,Lookup_Practice!$A$2:$B$7,2,FALSE)</f>
        <v>Standard</v>
      </c>
      <c r="N47" s="3" t="str">
        <f t="array" ref="N47">INDEX(Lookup_Practice!$B$2:$B$7,MATCH(D47,Lookup_Practice!$A$2:$A$7,0))</f>
        <v>Standard</v>
      </c>
      <c r="O47" s="3" t="str">
        <f t="array" ref="O47">XLOOKUP(D47,Lookup_Practice!$A$2:$A$7,Lookup_Practice!$B$2:$B$7)</f>
        <v>Standard</v>
      </c>
    </row>
    <row r="48">
      <c r="A48" s="1">
        <v>64.0</v>
      </c>
      <c r="B48" s="1" t="s">
        <v>14</v>
      </c>
      <c r="C48" s="1" t="s">
        <v>32</v>
      </c>
      <c r="D48" s="1" t="s">
        <v>22</v>
      </c>
      <c r="E48" s="1" t="s">
        <v>24</v>
      </c>
      <c r="F48" s="1">
        <v>891.0</v>
      </c>
      <c r="G48" s="1">
        <v>9.0</v>
      </c>
      <c r="H48" s="2">
        <v>45461.0</v>
      </c>
      <c r="I48" s="3" t="str">
        <f t="shared" si="1"/>
        <v>Senior (56+)</v>
      </c>
      <c r="J48" s="3">
        <f t="shared" si="2"/>
        <v>6</v>
      </c>
      <c r="K48" s="3">
        <f t="shared" si="3"/>
        <v>2024</v>
      </c>
      <c r="L48" s="3" t="str">
        <f t="shared" si="4"/>
        <v>June</v>
      </c>
      <c r="M48" s="3" t="str">
        <f>VLOOKUP(D48,Lookup_Practice!$A$2:$B$7,2,FALSE)</f>
        <v>Basic</v>
      </c>
      <c r="N48" s="3" t="str">
        <f t="array" ref="N48">INDEX(Lookup_Practice!$B$2:$B$7,MATCH(D48,Lookup_Practice!$A$2:$A$7,0))</f>
        <v>Basic</v>
      </c>
      <c r="O48" s="3" t="str">
        <f t="array" ref="O48">XLOOKUP(D48,Lookup_Practice!$A$2:$A$7,Lookup_Practice!$B$2:$B$7)</f>
        <v>Basic</v>
      </c>
    </row>
    <row r="49">
      <c r="A49" s="1">
        <v>75.0</v>
      </c>
      <c r="B49" s="1" t="s">
        <v>14</v>
      </c>
      <c r="C49" s="1" t="s">
        <v>29</v>
      </c>
      <c r="D49" s="1" t="s">
        <v>22</v>
      </c>
      <c r="E49" s="1" t="s">
        <v>17</v>
      </c>
      <c r="F49" s="1">
        <v>805.0</v>
      </c>
      <c r="G49" s="1">
        <v>5.0</v>
      </c>
      <c r="H49" s="2">
        <v>44989.0</v>
      </c>
      <c r="I49" s="3" t="str">
        <f t="shared" si="1"/>
        <v>Senior (56+)</v>
      </c>
      <c r="J49" s="3">
        <f t="shared" si="2"/>
        <v>3</v>
      </c>
      <c r="K49" s="3">
        <f t="shared" si="3"/>
        <v>2023</v>
      </c>
      <c r="L49" s="3" t="str">
        <f t="shared" si="4"/>
        <v>March</v>
      </c>
      <c r="M49" s="3" t="str">
        <f>VLOOKUP(D49,Lookup_Practice!$A$2:$B$7,2,FALSE)</f>
        <v>Basic</v>
      </c>
      <c r="N49" s="3" t="str">
        <f t="array" ref="N49">INDEX(Lookup_Practice!$B$2:$B$7,MATCH(D49,Lookup_Practice!$A$2:$A$7,0))</f>
        <v>Basic</v>
      </c>
      <c r="O49" s="3" t="str">
        <f t="array" ref="O49">XLOOKUP(D49,Lookup_Practice!$A$2:$A$7,Lookup_Practice!$B$2:$B$7)</f>
        <v>Basic</v>
      </c>
    </row>
    <row r="50">
      <c r="A50" s="1">
        <v>48.0</v>
      </c>
      <c r="B50" s="1" t="s">
        <v>14</v>
      </c>
      <c r="C50" s="1" t="s">
        <v>15</v>
      </c>
      <c r="D50" s="1" t="s">
        <v>30</v>
      </c>
      <c r="E50" s="1" t="s">
        <v>17</v>
      </c>
      <c r="F50" s="1">
        <v>1132.0</v>
      </c>
      <c r="G50" s="1">
        <v>20.0</v>
      </c>
      <c r="H50" s="2">
        <v>45022.0</v>
      </c>
      <c r="I50" s="3" t="str">
        <f t="shared" si="1"/>
        <v>Middle Age (36-55)</v>
      </c>
      <c r="J50" s="3">
        <f t="shared" si="2"/>
        <v>4</v>
      </c>
      <c r="K50" s="3">
        <f t="shared" si="3"/>
        <v>2023</v>
      </c>
      <c r="L50" s="3" t="str">
        <f t="shared" si="4"/>
        <v>April</v>
      </c>
      <c r="M50" s="3" t="str">
        <f>VLOOKUP(D50,Lookup_Practice!$A$2:$B$7,2,FALSE)</f>
        <v>Standard</v>
      </c>
      <c r="N50" s="3" t="str">
        <f t="array" ref="N50">INDEX(Lookup_Practice!$B$2:$B$7,MATCH(D50,Lookup_Practice!$A$2:$A$7,0))</f>
        <v>Standard</v>
      </c>
      <c r="O50" s="3" t="str">
        <f t="array" ref="O50">XLOOKUP(D50,Lookup_Practice!$A$2:$A$7,Lookup_Practice!$B$2:$B$7)</f>
        <v>Standard</v>
      </c>
    </row>
    <row r="51">
      <c r="A51" s="1">
        <v>12.0</v>
      </c>
      <c r="B51" s="1" t="s">
        <v>18</v>
      </c>
      <c r="C51" s="1" t="s">
        <v>29</v>
      </c>
      <c r="D51" s="1" t="s">
        <v>30</v>
      </c>
      <c r="E51" s="1" t="s">
        <v>17</v>
      </c>
      <c r="F51" s="1">
        <v>1164.0</v>
      </c>
      <c r="G51" s="1">
        <v>18.0</v>
      </c>
      <c r="H51" s="2">
        <v>45242.0</v>
      </c>
      <c r="I51" s="3" t="str">
        <f t="shared" si="1"/>
        <v>Child (0-17)</v>
      </c>
      <c r="J51" s="3">
        <f t="shared" si="2"/>
        <v>11</v>
      </c>
      <c r="K51" s="3">
        <f t="shared" si="3"/>
        <v>2023</v>
      </c>
      <c r="L51" s="3" t="str">
        <f t="shared" si="4"/>
        <v>November</v>
      </c>
      <c r="M51" s="3" t="str">
        <f>VLOOKUP(D51,Lookup_Practice!$A$2:$B$7,2,FALSE)</f>
        <v>Standard</v>
      </c>
      <c r="N51" s="3" t="str">
        <f t="array" ref="N51">INDEX(Lookup_Practice!$B$2:$B$7,MATCH(D51,Lookup_Practice!$A$2:$A$7,0))</f>
        <v>Standard</v>
      </c>
      <c r="O51" s="3" t="str">
        <f t="array" ref="O51">XLOOKUP(D51,Lookup_Practice!$A$2:$A$7,Lookup_Practice!$B$2:$B$7)</f>
        <v>Standard</v>
      </c>
    </row>
    <row r="52">
      <c r="A52" s="1">
        <v>51.0</v>
      </c>
      <c r="B52" s="1" t="s">
        <v>14</v>
      </c>
      <c r="C52" s="1" t="s">
        <v>27</v>
      </c>
      <c r="D52" s="1" t="s">
        <v>23</v>
      </c>
      <c r="E52" s="1" t="s">
        <v>24</v>
      </c>
      <c r="F52" s="1">
        <v>1136.0</v>
      </c>
      <c r="G52" s="1">
        <v>11.0</v>
      </c>
      <c r="H52" s="2">
        <v>45165.0</v>
      </c>
      <c r="I52" s="3" t="str">
        <f t="shared" si="1"/>
        <v>Middle Age (36-55)</v>
      </c>
      <c r="J52" s="3">
        <f t="shared" si="2"/>
        <v>8</v>
      </c>
      <c r="K52" s="3">
        <f t="shared" si="3"/>
        <v>2023</v>
      </c>
      <c r="L52" s="3" t="str">
        <f t="shared" si="4"/>
        <v>August</v>
      </c>
      <c r="M52" s="3" t="str">
        <f>VLOOKUP(D52,Lookup_Practice!$A$2:$B$7,2,FALSE)</f>
        <v>Standard</v>
      </c>
      <c r="N52" s="3" t="str">
        <f t="array" ref="N52">INDEX(Lookup_Practice!$B$2:$B$7,MATCH(D52,Lookup_Practice!$A$2:$A$7,0))</f>
        <v>Standard</v>
      </c>
      <c r="O52" s="3" t="str">
        <f t="array" ref="O52">XLOOKUP(D52,Lookup_Practice!$A$2:$A$7,Lookup_Practice!$B$2:$B$7)</f>
        <v>Standard</v>
      </c>
    </row>
    <row r="53">
      <c r="A53" s="1">
        <v>39.0</v>
      </c>
      <c r="B53" s="1" t="s">
        <v>14</v>
      </c>
      <c r="C53" s="1" t="s">
        <v>32</v>
      </c>
      <c r="D53" s="1" t="s">
        <v>26</v>
      </c>
      <c r="E53" s="1" t="s">
        <v>17</v>
      </c>
      <c r="F53" s="1">
        <v>440.0</v>
      </c>
      <c r="G53" s="1">
        <v>15.0</v>
      </c>
      <c r="H53" s="2">
        <v>44994.0</v>
      </c>
      <c r="I53" s="3" t="str">
        <f t="shared" si="1"/>
        <v>Middle Age (36-55)</v>
      </c>
      <c r="J53" s="3">
        <f t="shared" si="2"/>
        <v>3</v>
      </c>
      <c r="K53" s="3">
        <f t="shared" si="3"/>
        <v>2023</v>
      </c>
      <c r="L53" s="3" t="str">
        <f t="shared" si="4"/>
        <v>March</v>
      </c>
      <c r="M53" s="3" t="str">
        <f>VLOOKUP(D53,Lookup_Practice!$A$2:$B$7,2,FALSE)</f>
        <v>Premium</v>
      </c>
      <c r="N53" s="3" t="str">
        <f t="array" ref="N53">INDEX(Lookup_Practice!$B$2:$B$7,MATCH(D53,Lookup_Practice!$A$2:$A$7,0))</f>
        <v>Premium</v>
      </c>
      <c r="O53" s="3" t="str">
        <f t="array" ref="O53">XLOOKUP(D53,Lookup_Practice!$A$2:$A$7,Lookup_Practice!$B$2:$B$7)</f>
        <v>Premium</v>
      </c>
    </row>
    <row r="54">
      <c r="A54" s="1">
        <v>40.0</v>
      </c>
      <c r="B54" s="1" t="s">
        <v>14</v>
      </c>
      <c r="C54" s="1" t="s">
        <v>21</v>
      </c>
      <c r="D54" s="1" t="s">
        <v>30</v>
      </c>
      <c r="E54" s="1" t="s">
        <v>17</v>
      </c>
      <c r="F54" s="1">
        <v>916.0</v>
      </c>
      <c r="G54" s="1">
        <v>9.0</v>
      </c>
      <c r="H54" s="2">
        <v>45580.0</v>
      </c>
      <c r="I54" s="3" t="str">
        <f t="shared" si="1"/>
        <v>Middle Age (36-55)</v>
      </c>
      <c r="J54" s="3">
        <f t="shared" si="2"/>
        <v>10</v>
      </c>
      <c r="K54" s="3">
        <f t="shared" si="3"/>
        <v>2024</v>
      </c>
      <c r="L54" s="3" t="str">
        <f t="shared" si="4"/>
        <v>October</v>
      </c>
      <c r="M54" s="3" t="str">
        <f>VLOOKUP(D54,Lookup_Practice!$A$2:$B$7,2,FALSE)</f>
        <v>Standard</v>
      </c>
      <c r="N54" s="3" t="str">
        <f t="array" ref="N54">INDEX(Lookup_Practice!$B$2:$B$7,MATCH(D54,Lookup_Practice!$A$2:$A$7,0))</f>
        <v>Standard</v>
      </c>
      <c r="O54" s="3" t="str">
        <f t="array" ref="O54">XLOOKUP(D54,Lookup_Practice!$A$2:$A$7,Lookup_Practice!$B$2:$B$7)</f>
        <v>Standard</v>
      </c>
    </row>
    <row r="55">
      <c r="A55" s="1">
        <v>54.0</v>
      </c>
      <c r="B55" s="1" t="s">
        <v>14</v>
      </c>
      <c r="C55" s="1" t="s">
        <v>15</v>
      </c>
      <c r="D55" s="1" t="s">
        <v>30</v>
      </c>
      <c r="E55" s="1" t="s">
        <v>17</v>
      </c>
      <c r="F55" s="1">
        <v>1176.0</v>
      </c>
      <c r="G55" s="1">
        <v>17.0</v>
      </c>
      <c r="H55" s="2">
        <v>45459.0</v>
      </c>
      <c r="I55" s="3" t="str">
        <f t="shared" si="1"/>
        <v>Middle Age (36-55)</v>
      </c>
      <c r="J55" s="3">
        <f t="shared" si="2"/>
        <v>6</v>
      </c>
      <c r="K55" s="3">
        <f t="shared" si="3"/>
        <v>2024</v>
      </c>
      <c r="L55" s="3" t="str">
        <f t="shared" si="4"/>
        <v>June</v>
      </c>
      <c r="M55" s="3" t="str">
        <f>VLOOKUP(D55,Lookup_Practice!$A$2:$B$7,2,FALSE)</f>
        <v>Standard</v>
      </c>
      <c r="N55" s="3" t="str">
        <f t="array" ref="N55">INDEX(Lookup_Practice!$B$2:$B$7,MATCH(D55,Lookup_Practice!$A$2:$A$7,0))</f>
        <v>Standard</v>
      </c>
      <c r="O55" s="3" t="str">
        <f t="array" ref="O55">XLOOKUP(D55,Lookup_Practice!$A$2:$A$7,Lookup_Practice!$B$2:$B$7)</f>
        <v>Standard</v>
      </c>
    </row>
    <row r="56">
      <c r="A56" s="1">
        <v>8.0</v>
      </c>
      <c r="B56" s="1" t="s">
        <v>18</v>
      </c>
      <c r="C56" s="1" t="s">
        <v>21</v>
      </c>
      <c r="D56" s="1" t="s">
        <v>16</v>
      </c>
      <c r="E56" s="1" t="s">
        <v>17</v>
      </c>
      <c r="F56" s="1">
        <v>958.0</v>
      </c>
      <c r="G56" s="1">
        <v>12.0</v>
      </c>
      <c r="H56" s="2">
        <v>45315.0</v>
      </c>
      <c r="I56" s="3" t="str">
        <f t="shared" si="1"/>
        <v>Child (0-17)</v>
      </c>
      <c r="J56" s="3">
        <f t="shared" si="2"/>
        <v>1</v>
      </c>
      <c r="K56" s="3">
        <f t="shared" si="3"/>
        <v>2024</v>
      </c>
      <c r="L56" s="3" t="str">
        <f t="shared" si="4"/>
        <v>January</v>
      </c>
      <c r="M56" s="3" t="str">
        <f>VLOOKUP(D56,Lookup_Practice!$A$2:$B$7,2,FALSE)</f>
        <v>Premium</v>
      </c>
      <c r="N56" s="3" t="str">
        <f t="array" ref="N56">INDEX(Lookup_Practice!$B$2:$B$7,MATCH(D56,Lookup_Practice!$A$2:$A$7,0))</f>
        <v>Premium</v>
      </c>
      <c r="O56" s="3" t="str">
        <f t="array" ref="O56">XLOOKUP(D56,Lookup_Practice!$A$2:$A$7,Lookup_Practice!$B$2:$B$7)</f>
        <v>Premium</v>
      </c>
    </row>
    <row r="57">
      <c r="A57" s="1">
        <v>6.0</v>
      </c>
      <c r="B57" s="1" t="s">
        <v>18</v>
      </c>
      <c r="C57" s="1" t="s">
        <v>21</v>
      </c>
      <c r="D57" s="1" t="s">
        <v>20</v>
      </c>
      <c r="E57" s="1" t="s">
        <v>28</v>
      </c>
      <c r="F57" s="1">
        <v>1582.0</v>
      </c>
      <c r="G57" s="1">
        <v>7.0</v>
      </c>
      <c r="H57" s="2">
        <v>45485.0</v>
      </c>
      <c r="I57" s="3" t="str">
        <f t="shared" si="1"/>
        <v>Child (0-17)</v>
      </c>
      <c r="J57" s="3">
        <f t="shared" si="2"/>
        <v>7</v>
      </c>
      <c r="K57" s="3">
        <f t="shared" si="3"/>
        <v>2024</v>
      </c>
      <c r="L57" s="3" t="str">
        <f t="shared" si="4"/>
        <v>July</v>
      </c>
      <c r="M57" s="3" t="str">
        <f>VLOOKUP(D57,Lookup_Practice!$A$2:$B$7,2,FALSE)</f>
        <v>Standard</v>
      </c>
      <c r="N57" s="3" t="str">
        <f t="array" ref="N57">INDEX(Lookup_Practice!$B$2:$B$7,MATCH(D57,Lookup_Practice!$A$2:$A$7,0))</f>
        <v>Standard</v>
      </c>
      <c r="O57" s="3" t="str">
        <f t="array" ref="O57">XLOOKUP(D57,Lookup_Practice!$A$2:$A$7,Lookup_Practice!$B$2:$B$7)</f>
        <v>Standard</v>
      </c>
    </row>
    <row r="58">
      <c r="A58" s="1">
        <v>10.0</v>
      </c>
      <c r="B58" s="1" t="s">
        <v>18</v>
      </c>
      <c r="C58" s="1" t="s">
        <v>21</v>
      </c>
      <c r="D58" s="1" t="s">
        <v>16</v>
      </c>
      <c r="E58" s="1" t="s">
        <v>24</v>
      </c>
      <c r="F58" s="1">
        <v>940.0</v>
      </c>
      <c r="G58" s="1">
        <v>10.0</v>
      </c>
      <c r="H58" s="2">
        <v>45528.0</v>
      </c>
      <c r="I58" s="3" t="str">
        <f t="shared" si="1"/>
        <v>Child (0-17)</v>
      </c>
      <c r="J58" s="3">
        <f t="shared" si="2"/>
        <v>8</v>
      </c>
      <c r="K58" s="3">
        <f t="shared" si="3"/>
        <v>2024</v>
      </c>
      <c r="L58" s="3" t="str">
        <f t="shared" si="4"/>
        <v>August</v>
      </c>
      <c r="M58" s="3" t="str">
        <f>VLOOKUP(D58,Lookup_Practice!$A$2:$B$7,2,FALSE)</f>
        <v>Premium</v>
      </c>
      <c r="N58" s="3" t="str">
        <f t="array" ref="N58">INDEX(Lookup_Practice!$B$2:$B$7,MATCH(D58,Lookup_Practice!$A$2:$A$7,0))</f>
        <v>Premium</v>
      </c>
      <c r="O58" s="3" t="str">
        <f t="array" ref="O58">XLOOKUP(D58,Lookup_Practice!$A$2:$A$7,Lookup_Practice!$B$2:$B$7)</f>
        <v>Premium</v>
      </c>
    </row>
    <row r="59">
      <c r="A59" s="1">
        <v>58.0</v>
      </c>
      <c r="B59" s="1" t="s">
        <v>18</v>
      </c>
      <c r="C59" s="1" t="s">
        <v>25</v>
      </c>
      <c r="D59" s="1" t="s">
        <v>16</v>
      </c>
      <c r="E59" s="1" t="s">
        <v>17</v>
      </c>
      <c r="F59" s="1">
        <v>938.0</v>
      </c>
      <c r="G59" s="1">
        <v>10.0</v>
      </c>
      <c r="H59" s="2">
        <v>45619.0</v>
      </c>
      <c r="I59" s="3" t="str">
        <f t="shared" si="1"/>
        <v>Senior (56+)</v>
      </c>
      <c r="J59" s="3">
        <f t="shared" si="2"/>
        <v>11</v>
      </c>
      <c r="K59" s="3">
        <f t="shared" si="3"/>
        <v>2024</v>
      </c>
      <c r="L59" s="3" t="str">
        <f t="shared" si="4"/>
        <v>November</v>
      </c>
      <c r="M59" s="3" t="str">
        <f>VLOOKUP(D59,Lookup_Practice!$A$2:$B$7,2,FALSE)</f>
        <v>Premium</v>
      </c>
      <c r="N59" s="3" t="str">
        <f t="array" ref="N59">INDEX(Lookup_Practice!$B$2:$B$7,MATCH(D59,Lookup_Practice!$A$2:$A$7,0))</f>
        <v>Premium</v>
      </c>
      <c r="O59" s="3" t="str">
        <f t="array" ref="O59">XLOOKUP(D59,Lookup_Practice!$A$2:$A$7,Lookup_Practice!$B$2:$B$7)</f>
        <v>Premium</v>
      </c>
    </row>
    <row r="60">
      <c r="A60" s="1">
        <v>8.0</v>
      </c>
      <c r="B60" s="1" t="s">
        <v>14</v>
      </c>
      <c r="C60" s="1" t="s">
        <v>15</v>
      </c>
      <c r="D60" s="1" t="s">
        <v>22</v>
      </c>
      <c r="E60" s="1" t="s">
        <v>28</v>
      </c>
      <c r="F60" s="1">
        <v>891.0</v>
      </c>
      <c r="G60" s="1">
        <v>13.0</v>
      </c>
      <c r="H60" s="2">
        <v>45152.0</v>
      </c>
      <c r="I60" s="3" t="str">
        <f t="shared" si="1"/>
        <v>Child (0-17)</v>
      </c>
      <c r="J60" s="3">
        <f t="shared" si="2"/>
        <v>8</v>
      </c>
      <c r="K60" s="3">
        <f t="shared" si="3"/>
        <v>2023</v>
      </c>
      <c r="L60" s="3" t="str">
        <f t="shared" si="4"/>
        <v>August</v>
      </c>
      <c r="M60" s="3" t="str">
        <f>VLOOKUP(D60,Lookup_Practice!$A$2:$B$7,2,FALSE)</f>
        <v>Basic</v>
      </c>
      <c r="N60" s="3" t="str">
        <f t="array" ref="N60">INDEX(Lookup_Practice!$B$2:$B$7,MATCH(D60,Lookup_Practice!$A$2:$A$7,0))</f>
        <v>Basic</v>
      </c>
      <c r="O60" s="3" t="str">
        <f t="array" ref="O60">XLOOKUP(D60,Lookup_Practice!$A$2:$A$7,Lookup_Practice!$B$2:$B$7)</f>
        <v>Basic</v>
      </c>
    </row>
    <row r="61">
      <c r="A61" s="1">
        <v>58.0</v>
      </c>
      <c r="B61" s="1" t="s">
        <v>14</v>
      </c>
      <c r="C61" s="1" t="s">
        <v>21</v>
      </c>
      <c r="D61" s="1" t="s">
        <v>26</v>
      </c>
      <c r="E61" s="1" t="s">
        <v>17</v>
      </c>
      <c r="F61" s="1">
        <v>666.0</v>
      </c>
      <c r="G61" s="1">
        <v>19.0</v>
      </c>
      <c r="H61" s="2">
        <v>45364.0</v>
      </c>
      <c r="I61" s="3" t="str">
        <f t="shared" si="1"/>
        <v>Senior (56+)</v>
      </c>
      <c r="J61" s="3">
        <f t="shared" si="2"/>
        <v>3</v>
      </c>
      <c r="K61" s="3">
        <f t="shared" si="3"/>
        <v>2024</v>
      </c>
      <c r="L61" s="3" t="str">
        <f t="shared" si="4"/>
        <v>March</v>
      </c>
      <c r="M61" s="3" t="str">
        <f>VLOOKUP(D61,Lookup_Practice!$A$2:$B$7,2,FALSE)</f>
        <v>Premium</v>
      </c>
      <c r="N61" s="3" t="str">
        <f t="array" ref="N61">INDEX(Lookup_Practice!$B$2:$B$7,MATCH(D61,Lookup_Practice!$A$2:$A$7,0))</f>
        <v>Premium</v>
      </c>
      <c r="O61" s="3" t="str">
        <f t="array" ref="O61">XLOOKUP(D61,Lookup_Practice!$A$2:$A$7,Lookup_Practice!$B$2:$B$7)</f>
        <v>Premium</v>
      </c>
    </row>
    <row r="62">
      <c r="A62" s="1">
        <v>67.0</v>
      </c>
      <c r="B62" s="1" t="s">
        <v>14</v>
      </c>
      <c r="C62" s="1" t="s">
        <v>21</v>
      </c>
      <c r="D62" s="1" t="s">
        <v>20</v>
      </c>
      <c r="E62" s="1" t="s">
        <v>17</v>
      </c>
      <c r="F62" s="1">
        <v>1546.0</v>
      </c>
      <c r="G62" s="1">
        <v>11.0</v>
      </c>
      <c r="H62" s="2">
        <v>45590.0</v>
      </c>
      <c r="I62" s="3" t="str">
        <f t="shared" si="1"/>
        <v>Senior (56+)</v>
      </c>
      <c r="J62" s="3">
        <f t="shared" si="2"/>
        <v>10</v>
      </c>
      <c r="K62" s="3">
        <f t="shared" si="3"/>
        <v>2024</v>
      </c>
      <c r="L62" s="3" t="str">
        <f t="shared" si="4"/>
        <v>October</v>
      </c>
      <c r="M62" s="3" t="str">
        <f>VLOOKUP(D62,Lookup_Practice!$A$2:$B$7,2,FALSE)</f>
        <v>Standard</v>
      </c>
      <c r="N62" s="3" t="str">
        <f t="array" ref="N62">INDEX(Lookup_Practice!$B$2:$B$7,MATCH(D62,Lookup_Practice!$A$2:$A$7,0))</f>
        <v>Standard</v>
      </c>
      <c r="O62" s="3" t="str">
        <f t="array" ref="O62">XLOOKUP(D62,Lookup_Practice!$A$2:$A$7,Lookup_Practice!$B$2:$B$7)</f>
        <v>Standard</v>
      </c>
    </row>
    <row r="63">
      <c r="A63" s="1">
        <v>22.0</v>
      </c>
      <c r="B63" s="1" t="s">
        <v>18</v>
      </c>
      <c r="C63" s="1" t="s">
        <v>15</v>
      </c>
      <c r="D63" s="1" t="s">
        <v>23</v>
      </c>
      <c r="E63" s="1" t="s">
        <v>17</v>
      </c>
      <c r="F63" s="1">
        <v>1226.0</v>
      </c>
      <c r="G63" s="1">
        <v>13.0</v>
      </c>
      <c r="H63" s="2">
        <v>45293.0</v>
      </c>
      <c r="I63" s="3" t="str">
        <f t="shared" si="1"/>
        <v>Young Adult (18-35)</v>
      </c>
      <c r="J63" s="3">
        <f t="shared" si="2"/>
        <v>1</v>
      </c>
      <c r="K63" s="3">
        <f t="shared" si="3"/>
        <v>2024</v>
      </c>
      <c r="L63" s="3" t="str">
        <f t="shared" si="4"/>
        <v>January</v>
      </c>
      <c r="M63" s="3" t="str">
        <f>VLOOKUP(D63,Lookup_Practice!$A$2:$B$7,2,FALSE)</f>
        <v>Standard</v>
      </c>
      <c r="N63" s="3" t="str">
        <f t="array" ref="N63">INDEX(Lookup_Practice!$B$2:$B$7,MATCH(D63,Lookup_Practice!$A$2:$A$7,0))</f>
        <v>Standard</v>
      </c>
      <c r="O63" s="3" t="str">
        <f t="array" ref="O63">XLOOKUP(D63,Lookup_Practice!$A$2:$A$7,Lookup_Practice!$B$2:$B$7)</f>
        <v>Standard</v>
      </c>
    </row>
    <row r="64">
      <c r="A64" s="1">
        <v>48.0</v>
      </c>
      <c r="B64" s="1" t="s">
        <v>14</v>
      </c>
      <c r="C64" s="1" t="s">
        <v>21</v>
      </c>
      <c r="D64" s="1" t="s">
        <v>23</v>
      </c>
      <c r="E64" s="1" t="s">
        <v>17</v>
      </c>
      <c r="F64" s="1">
        <v>1145.0</v>
      </c>
      <c r="G64" s="1">
        <v>8.0</v>
      </c>
      <c r="H64" s="2">
        <v>45538.0</v>
      </c>
      <c r="I64" s="3" t="str">
        <f t="shared" si="1"/>
        <v>Middle Age (36-55)</v>
      </c>
      <c r="J64" s="3">
        <f t="shared" si="2"/>
        <v>9</v>
      </c>
      <c r="K64" s="3">
        <f t="shared" si="3"/>
        <v>2024</v>
      </c>
      <c r="L64" s="3" t="str">
        <f t="shared" si="4"/>
        <v>September</v>
      </c>
      <c r="M64" s="3" t="str">
        <f>VLOOKUP(D64,Lookup_Practice!$A$2:$B$7,2,FALSE)</f>
        <v>Standard</v>
      </c>
      <c r="N64" s="3" t="str">
        <f t="array" ref="N64">INDEX(Lookup_Practice!$B$2:$B$7,MATCH(D64,Lookup_Practice!$A$2:$A$7,0))</f>
        <v>Standard</v>
      </c>
      <c r="O64" s="3" t="str">
        <f t="array" ref="O64">XLOOKUP(D64,Lookup_Practice!$A$2:$A$7,Lookup_Practice!$B$2:$B$7)</f>
        <v>Standard</v>
      </c>
    </row>
    <row r="65">
      <c r="A65" s="1">
        <v>38.0</v>
      </c>
      <c r="B65" s="1" t="s">
        <v>18</v>
      </c>
      <c r="C65" s="1" t="s">
        <v>15</v>
      </c>
      <c r="D65" s="1" t="s">
        <v>30</v>
      </c>
      <c r="E65" s="1" t="s">
        <v>17</v>
      </c>
      <c r="F65" s="1">
        <v>944.0</v>
      </c>
      <c r="G65" s="1">
        <v>8.0</v>
      </c>
      <c r="H65" s="2">
        <v>45103.0</v>
      </c>
      <c r="I65" s="3" t="str">
        <f t="shared" si="1"/>
        <v>Middle Age (36-55)</v>
      </c>
      <c r="J65" s="3">
        <f t="shared" si="2"/>
        <v>6</v>
      </c>
      <c r="K65" s="3">
        <f t="shared" si="3"/>
        <v>2023</v>
      </c>
      <c r="L65" s="3" t="str">
        <f t="shared" si="4"/>
        <v>June</v>
      </c>
      <c r="M65" s="3" t="str">
        <f>VLOOKUP(D65,Lookup_Practice!$A$2:$B$7,2,FALSE)</f>
        <v>Standard</v>
      </c>
      <c r="N65" s="3" t="str">
        <f t="array" ref="N65">INDEX(Lookup_Practice!$B$2:$B$7,MATCH(D65,Lookup_Practice!$A$2:$A$7,0))</f>
        <v>Standard</v>
      </c>
      <c r="O65" s="3" t="str">
        <f t="array" ref="O65">XLOOKUP(D65,Lookup_Practice!$A$2:$A$7,Lookup_Practice!$B$2:$B$7)</f>
        <v>Standard</v>
      </c>
    </row>
    <row r="66">
      <c r="A66" s="1">
        <v>78.0</v>
      </c>
      <c r="B66" s="1" t="s">
        <v>18</v>
      </c>
      <c r="C66" s="1" t="s">
        <v>21</v>
      </c>
      <c r="D66" s="1" t="s">
        <v>30</v>
      </c>
      <c r="E66" s="1" t="s">
        <v>28</v>
      </c>
      <c r="F66" s="1">
        <v>900.0</v>
      </c>
      <c r="G66" s="1">
        <v>4.0</v>
      </c>
      <c r="H66" s="2">
        <v>45254.0</v>
      </c>
      <c r="I66" s="3" t="str">
        <f t="shared" si="1"/>
        <v>Senior (56+)</v>
      </c>
      <c r="J66" s="3">
        <f t="shared" si="2"/>
        <v>11</v>
      </c>
      <c r="K66" s="3">
        <f t="shared" si="3"/>
        <v>2023</v>
      </c>
      <c r="L66" s="3" t="str">
        <f t="shared" si="4"/>
        <v>November</v>
      </c>
      <c r="M66" s="3" t="str">
        <f>VLOOKUP(D66,Lookup_Practice!$A$2:$B$7,2,FALSE)</f>
        <v>Standard</v>
      </c>
      <c r="N66" s="3" t="str">
        <f t="array" ref="N66">INDEX(Lookup_Practice!$B$2:$B$7,MATCH(D66,Lookup_Practice!$A$2:$A$7,0))</f>
        <v>Standard</v>
      </c>
      <c r="O66" s="3" t="str">
        <f t="array" ref="O66">XLOOKUP(D66,Lookup_Practice!$A$2:$A$7,Lookup_Practice!$B$2:$B$7)</f>
        <v>Standard</v>
      </c>
    </row>
    <row r="67">
      <c r="A67" s="1">
        <v>66.0</v>
      </c>
      <c r="B67" s="1" t="s">
        <v>14</v>
      </c>
      <c r="C67" s="1" t="s">
        <v>21</v>
      </c>
      <c r="D67" s="1" t="s">
        <v>23</v>
      </c>
      <c r="E67" s="1" t="s">
        <v>17</v>
      </c>
      <c r="F67" s="1">
        <v>1267.0</v>
      </c>
      <c r="G67" s="1">
        <v>15.0</v>
      </c>
      <c r="H67" s="2">
        <v>45557.0</v>
      </c>
      <c r="I67" s="3" t="str">
        <f t="shared" si="1"/>
        <v>Senior (56+)</v>
      </c>
      <c r="J67" s="3">
        <f t="shared" si="2"/>
        <v>9</v>
      </c>
      <c r="K67" s="3">
        <f t="shared" si="3"/>
        <v>2024</v>
      </c>
      <c r="L67" s="3" t="str">
        <f t="shared" si="4"/>
        <v>September</v>
      </c>
      <c r="M67" s="3" t="str">
        <f>VLOOKUP(D67,Lookup_Practice!$A$2:$B$7,2,FALSE)</f>
        <v>Standard</v>
      </c>
      <c r="N67" s="3" t="str">
        <f t="array" ref="N67">INDEX(Lookup_Practice!$B$2:$B$7,MATCH(D67,Lookup_Practice!$A$2:$A$7,0))</f>
        <v>Standard</v>
      </c>
      <c r="O67" s="3" t="str">
        <f t="array" ref="O67">XLOOKUP(D67,Lookup_Practice!$A$2:$A$7,Lookup_Practice!$B$2:$B$7)</f>
        <v>Standard</v>
      </c>
    </row>
    <row r="68">
      <c r="A68" s="1">
        <v>18.0</v>
      </c>
      <c r="B68" s="1" t="s">
        <v>14</v>
      </c>
      <c r="C68" s="1" t="s">
        <v>15</v>
      </c>
      <c r="D68" s="1" t="s">
        <v>30</v>
      </c>
      <c r="E68" s="1" t="s">
        <v>28</v>
      </c>
      <c r="F68" s="1">
        <v>1007.0</v>
      </c>
      <c r="G68" s="1">
        <v>11.0</v>
      </c>
      <c r="H68" s="2">
        <v>45117.0</v>
      </c>
      <c r="I68" s="3" t="str">
        <f t="shared" si="1"/>
        <v>Young Adult (18-35)</v>
      </c>
      <c r="J68" s="3">
        <f t="shared" si="2"/>
        <v>7</v>
      </c>
      <c r="K68" s="3">
        <f t="shared" si="3"/>
        <v>2023</v>
      </c>
      <c r="L68" s="3" t="str">
        <f t="shared" si="4"/>
        <v>July</v>
      </c>
      <c r="M68" s="3" t="str">
        <f>VLOOKUP(D68,Lookup_Practice!$A$2:$B$7,2,FALSE)</f>
        <v>Standard</v>
      </c>
      <c r="N68" s="3" t="str">
        <f t="array" ref="N68">INDEX(Lookup_Practice!$B$2:$B$7,MATCH(D68,Lookup_Practice!$A$2:$A$7,0))</f>
        <v>Standard</v>
      </c>
      <c r="O68" s="3" t="str">
        <f t="array" ref="O68">XLOOKUP(D68,Lookup_Practice!$A$2:$A$7,Lookup_Practice!$B$2:$B$7)</f>
        <v>Standard</v>
      </c>
    </row>
    <row r="69">
      <c r="A69" s="1">
        <v>52.0</v>
      </c>
      <c r="B69" s="1" t="s">
        <v>18</v>
      </c>
      <c r="C69" s="1" t="s">
        <v>25</v>
      </c>
      <c r="D69" s="1" t="s">
        <v>26</v>
      </c>
      <c r="E69" s="1" t="s">
        <v>17</v>
      </c>
      <c r="F69" s="1">
        <v>418.0</v>
      </c>
      <c r="G69" s="1">
        <v>11.0</v>
      </c>
      <c r="H69" s="2">
        <v>44935.0</v>
      </c>
      <c r="I69" s="3" t="str">
        <f t="shared" si="1"/>
        <v>Middle Age (36-55)</v>
      </c>
      <c r="J69" s="3">
        <f t="shared" si="2"/>
        <v>1</v>
      </c>
      <c r="K69" s="3">
        <f t="shared" si="3"/>
        <v>2023</v>
      </c>
      <c r="L69" s="3" t="str">
        <f t="shared" si="4"/>
        <v>January</v>
      </c>
      <c r="M69" s="3" t="str">
        <f>VLOOKUP(D69,Lookup_Practice!$A$2:$B$7,2,FALSE)</f>
        <v>Premium</v>
      </c>
      <c r="N69" s="3" t="str">
        <f t="array" ref="N69">INDEX(Lookup_Practice!$B$2:$B$7,MATCH(D69,Lookup_Practice!$A$2:$A$7,0))</f>
        <v>Premium</v>
      </c>
      <c r="O69" s="3" t="str">
        <f t="array" ref="O69">XLOOKUP(D69,Lookup_Practice!$A$2:$A$7,Lookup_Practice!$B$2:$B$7)</f>
        <v>Premium</v>
      </c>
    </row>
    <row r="70">
      <c r="A70" s="1">
        <v>19.0</v>
      </c>
      <c r="B70" s="1" t="s">
        <v>18</v>
      </c>
      <c r="C70" s="1" t="s">
        <v>21</v>
      </c>
      <c r="D70" s="1" t="s">
        <v>16</v>
      </c>
      <c r="E70" s="1" t="s">
        <v>17</v>
      </c>
      <c r="F70" s="1">
        <v>971.0</v>
      </c>
      <c r="G70" s="1">
        <v>1.0</v>
      </c>
      <c r="H70" s="2">
        <v>45652.0</v>
      </c>
      <c r="I70" s="3" t="str">
        <f t="shared" si="1"/>
        <v>Young Adult (18-35)</v>
      </c>
      <c r="J70" s="3">
        <f t="shared" si="2"/>
        <v>12</v>
      </c>
      <c r="K70" s="3">
        <f t="shared" si="3"/>
        <v>2024</v>
      </c>
      <c r="L70" s="3" t="str">
        <f t="shared" si="4"/>
        <v>December</v>
      </c>
      <c r="M70" s="3" t="str">
        <f>VLOOKUP(D70,Lookup_Practice!$A$2:$B$7,2,FALSE)</f>
        <v>Premium</v>
      </c>
      <c r="N70" s="3" t="str">
        <f t="array" ref="N70">INDEX(Lookup_Practice!$B$2:$B$7,MATCH(D70,Lookup_Practice!$A$2:$A$7,0))</f>
        <v>Premium</v>
      </c>
      <c r="O70" s="3" t="str">
        <f t="array" ref="O70">XLOOKUP(D70,Lookup_Practice!$A$2:$A$7,Lookup_Practice!$B$2:$B$7)</f>
        <v>Premium</v>
      </c>
    </row>
    <row r="71">
      <c r="A71" s="1">
        <v>76.0</v>
      </c>
      <c r="B71" s="1" t="s">
        <v>18</v>
      </c>
      <c r="C71" s="1" t="s">
        <v>21</v>
      </c>
      <c r="D71" s="1" t="s">
        <v>30</v>
      </c>
      <c r="E71" s="1" t="s">
        <v>17</v>
      </c>
      <c r="F71" s="1">
        <v>1008.0</v>
      </c>
      <c r="G71" s="1">
        <v>17.0</v>
      </c>
      <c r="H71" s="2">
        <v>45646.0</v>
      </c>
      <c r="I71" s="3" t="str">
        <f t="shared" si="1"/>
        <v>Senior (56+)</v>
      </c>
      <c r="J71" s="3">
        <f t="shared" si="2"/>
        <v>12</v>
      </c>
      <c r="K71" s="3">
        <f t="shared" si="3"/>
        <v>2024</v>
      </c>
      <c r="L71" s="3" t="str">
        <f t="shared" si="4"/>
        <v>December</v>
      </c>
      <c r="M71" s="3" t="str">
        <f>VLOOKUP(D71,Lookup_Practice!$A$2:$B$7,2,FALSE)</f>
        <v>Standard</v>
      </c>
      <c r="N71" s="3" t="str">
        <f t="array" ref="N71">INDEX(Lookup_Practice!$B$2:$B$7,MATCH(D71,Lookup_Practice!$A$2:$A$7,0))</f>
        <v>Standard</v>
      </c>
      <c r="O71" s="3" t="str">
        <f t="array" ref="O71">XLOOKUP(D71,Lookup_Practice!$A$2:$A$7,Lookup_Practice!$B$2:$B$7)</f>
        <v>Standard</v>
      </c>
    </row>
    <row r="72">
      <c r="A72" s="1">
        <v>66.0</v>
      </c>
      <c r="B72" s="1" t="s">
        <v>18</v>
      </c>
      <c r="C72" s="1" t="s">
        <v>21</v>
      </c>
      <c r="D72" s="1" t="s">
        <v>22</v>
      </c>
      <c r="E72" s="1" t="s">
        <v>17</v>
      </c>
      <c r="F72" s="1">
        <v>967.0</v>
      </c>
      <c r="G72" s="1">
        <v>15.0</v>
      </c>
      <c r="H72" s="2">
        <v>45299.0</v>
      </c>
      <c r="I72" s="3" t="str">
        <f t="shared" si="1"/>
        <v>Senior (56+)</v>
      </c>
      <c r="J72" s="3">
        <f t="shared" si="2"/>
        <v>1</v>
      </c>
      <c r="K72" s="3">
        <f t="shared" si="3"/>
        <v>2024</v>
      </c>
      <c r="L72" s="3" t="str">
        <f t="shared" si="4"/>
        <v>January</v>
      </c>
      <c r="M72" s="3" t="str">
        <f>VLOOKUP(D72,Lookup_Practice!$A$2:$B$7,2,FALSE)</f>
        <v>Basic</v>
      </c>
      <c r="N72" s="3" t="str">
        <f t="array" ref="N72">INDEX(Lookup_Practice!$B$2:$B$7,MATCH(D72,Lookup_Practice!$A$2:$A$7,0))</f>
        <v>Basic</v>
      </c>
      <c r="O72" s="3" t="str">
        <f t="array" ref="O72">XLOOKUP(D72,Lookup_Practice!$A$2:$A$7,Lookup_Practice!$B$2:$B$7)</f>
        <v>Basic</v>
      </c>
    </row>
    <row r="73">
      <c r="A73" s="1">
        <v>44.0</v>
      </c>
      <c r="B73" s="1" t="s">
        <v>14</v>
      </c>
      <c r="C73" s="1" t="s">
        <v>27</v>
      </c>
      <c r="D73" s="1" t="s">
        <v>30</v>
      </c>
      <c r="E73" s="1" t="s">
        <v>17</v>
      </c>
      <c r="F73" s="1">
        <v>1139.0</v>
      </c>
      <c r="G73" s="1">
        <v>20.0</v>
      </c>
      <c r="H73" s="2">
        <v>45453.0</v>
      </c>
      <c r="I73" s="3" t="str">
        <f t="shared" si="1"/>
        <v>Middle Age (36-55)</v>
      </c>
      <c r="J73" s="3">
        <f t="shared" si="2"/>
        <v>6</v>
      </c>
      <c r="K73" s="3">
        <f t="shared" si="3"/>
        <v>2024</v>
      </c>
      <c r="L73" s="3" t="str">
        <f t="shared" si="4"/>
        <v>June</v>
      </c>
      <c r="M73" s="3" t="str">
        <f>VLOOKUP(D73,Lookup_Practice!$A$2:$B$7,2,FALSE)</f>
        <v>Standard</v>
      </c>
      <c r="N73" s="3" t="str">
        <f t="array" ref="N73">INDEX(Lookup_Practice!$B$2:$B$7,MATCH(D73,Lookup_Practice!$A$2:$A$7,0))</f>
        <v>Standard</v>
      </c>
      <c r="O73" s="3" t="str">
        <f t="array" ref="O73">XLOOKUP(D73,Lookup_Practice!$A$2:$A$7,Lookup_Practice!$B$2:$B$7)</f>
        <v>Standard</v>
      </c>
    </row>
    <row r="74">
      <c r="A74" s="1">
        <v>57.0</v>
      </c>
      <c r="B74" s="1" t="s">
        <v>18</v>
      </c>
      <c r="C74" s="1" t="s">
        <v>15</v>
      </c>
      <c r="D74" s="1" t="s">
        <v>20</v>
      </c>
      <c r="E74" s="1" t="s">
        <v>28</v>
      </c>
      <c r="F74" s="1">
        <v>1489.0</v>
      </c>
      <c r="G74" s="1">
        <v>6.0</v>
      </c>
      <c r="H74" s="2">
        <v>45431.0</v>
      </c>
      <c r="I74" s="3" t="str">
        <f t="shared" si="1"/>
        <v>Senior (56+)</v>
      </c>
      <c r="J74" s="3">
        <f t="shared" si="2"/>
        <v>5</v>
      </c>
      <c r="K74" s="3">
        <f t="shared" si="3"/>
        <v>2024</v>
      </c>
      <c r="L74" s="3" t="str">
        <f t="shared" si="4"/>
        <v>May</v>
      </c>
      <c r="M74" s="3" t="str">
        <f>VLOOKUP(D74,Lookup_Practice!$A$2:$B$7,2,FALSE)</f>
        <v>Standard</v>
      </c>
      <c r="N74" s="3" t="str">
        <f t="array" ref="N74">INDEX(Lookup_Practice!$B$2:$B$7,MATCH(D74,Lookup_Practice!$A$2:$A$7,0))</f>
        <v>Standard</v>
      </c>
      <c r="O74" s="3" t="str">
        <f t="array" ref="O74">XLOOKUP(D74,Lookup_Practice!$A$2:$A$7,Lookup_Practice!$B$2:$B$7)</f>
        <v>Standard</v>
      </c>
    </row>
    <row r="75">
      <c r="A75" s="1">
        <v>28.0</v>
      </c>
      <c r="B75" s="1" t="s">
        <v>14</v>
      </c>
      <c r="C75" s="1" t="s">
        <v>25</v>
      </c>
      <c r="D75" s="1" t="s">
        <v>26</v>
      </c>
      <c r="E75" s="1" t="s">
        <v>17</v>
      </c>
      <c r="F75" s="1">
        <v>502.0</v>
      </c>
      <c r="G75" s="1">
        <v>15.0</v>
      </c>
      <c r="H75" s="2">
        <v>45172.0</v>
      </c>
      <c r="I75" s="3" t="str">
        <f t="shared" si="1"/>
        <v>Young Adult (18-35)</v>
      </c>
      <c r="J75" s="3">
        <f t="shared" si="2"/>
        <v>9</v>
      </c>
      <c r="K75" s="3">
        <f t="shared" si="3"/>
        <v>2023</v>
      </c>
      <c r="L75" s="3" t="str">
        <f t="shared" si="4"/>
        <v>September</v>
      </c>
      <c r="M75" s="3" t="str">
        <f>VLOOKUP(D75,Lookup_Practice!$A$2:$B$7,2,FALSE)</f>
        <v>Premium</v>
      </c>
      <c r="N75" s="3" t="str">
        <f t="array" ref="N75">INDEX(Lookup_Practice!$B$2:$B$7,MATCH(D75,Lookup_Practice!$A$2:$A$7,0))</f>
        <v>Premium</v>
      </c>
      <c r="O75" s="3" t="str">
        <f t="array" ref="O75">XLOOKUP(D75,Lookup_Practice!$A$2:$A$7,Lookup_Practice!$B$2:$B$7)</f>
        <v>Premium</v>
      </c>
    </row>
    <row r="76">
      <c r="A76" s="1">
        <v>30.0</v>
      </c>
      <c r="B76" s="1" t="s">
        <v>18</v>
      </c>
      <c r="C76" s="1" t="s">
        <v>27</v>
      </c>
      <c r="D76" s="1" t="s">
        <v>20</v>
      </c>
      <c r="E76" s="1" t="s">
        <v>17</v>
      </c>
      <c r="F76" s="1">
        <v>1649.0</v>
      </c>
      <c r="G76" s="1">
        <v>9.0</v>
      </c>
      <c r="H76" s="2">
        <v>45346.0</v>
      </c>
      <c r="I76" s="3" t="str">
        <f t="shared" si="1"/>
        <v>Young Adult (18-35)</v>
      </c>
      <c r="J76" s="3">
        <f t="shared" si="2"/>
        <v>2</v>
      </c>
      <c r="K76" s="3">
        <f t="shared" si="3"/>
        <v>2024</v>
      </c>
      <c r="L76" s="3" t="str">
        <f t="shared" si="4"/>
        <v>February</v>
      </c>
      <c r="M76" s="3" t="str">
        <f>VLOOKUP(D76,Lookup_Practice!$A$2:$B$7,2,FALSE)</f>
        <v>Standard</v>
      </c>
      <c r="N76" s="3" t="str">
        <f t="array" ref="N76">INDEX(Lookup_Practice!$B$2:$B$7,MATCH(D76,Lookup_Practice!$A$2:$A$7,0))</f>
        <v>Standard</v>
      </c>
      <c r="O76" s="3" t="str">
        <f t="array" ref="O76">XLOOKUP(D76,Lookup_Practice!$A$2:$A$7,Lookup_Practice!$B$2:$B$7)</f>
        <v>Standard</v>
      </c>
    </row>
    <row r="77">
      <c r="A77" s="1">
        <v>64.0</v>
      </c>
      <c r="B77" s="1" t="s">
        <v>18</v>
      </c>
      <c r="C77" s="1" t="s">
        <v>21</v>
      </c>
      <c r="D77" s="1" t="s">
        <v>20</v>
      </c>
      <c r="E77" s="1" t="s">
        <v>17</v>
      </c>
      <c r="F77" s="1">
        <v>1407.0</v>
      </c>
      <c r="G77" s="1">
        <v>14.0</v>
      </c>
      <c r="H77" s="2">
        <v>45509.0</v>
      </c>
      <c r="I77" s="3" t="str">
        <f t="shared" si="1"/>
        <v>Senior (56+)</v>
      </c>
      <c r="J77" s="3">
        <f t="shared" si="2"/>
        <v>8</v>
      </c>
      <c r="K77" s="3">
        <f t="shared" si="3"/>
        <v>2024</v>
      </c>
      <c r="L77" s="3" t="str">
        <f t="shared" si="4"/>
        <v>August</v>
      </c>
      <c r="M77" s="3" t="str">
        <f>VLOOKUP(D77,Lookup_Practice!$A$2:$B$7,2,FALSE)</f>
        <v>Standard</v>
      </c>
      <c r="N77" s="3" t="str">
        <f t="array" ref="N77">INDEX(Lookup_Practice!$B$2:$B$7,MATCH(D77,Lookup_Practice!$A$2:$A$7,0))</f>
        <v>Standard</v>
      </c>
      <c r="O77" s="3" t="str">
        <f t="array" ref="O77">XLOOKUP(D77,Lookup_Practice!$A$2:$A$7,Lookup_Practice!$B$2:$B$7)</f>
        <v>Standard</v>
      </c>
    </row>
    <row r="78">
      <c r="A78" s="1">
        <v>45.0</v>
      </c>
      <c r="B78" s="1" t="s">
        <v>18</v>
      </c>
      <c r="C78" s="1" t="s">
        <v>19</v>
      </c>
      <c r="D78" s="1" t="s">
        <v>22</v>
      </c>
      <c r="E78" s="1" t="s">
        <v>17</v>
      </c>
      <c r="F78" s="1">
        <v>852.0</v>
      </c>
      <c r="G78" s="1">
        <v>18.0</v>
      </c>
      <c r="H78" s="2">
        <v>45599.0</v>
      </c>
      <c r="I78" s="3" t="str">
        <f t="shared" si="1"/>
        <v>Middle Age (36-55)</v>
      </c>
      <c r="J78" s="3">
        <f t="shared" si="2"/>
        <v>11</v>
      </c>
      <c r="K78" s="3">
        <f t="shared" si="3"/>
        <v>2024</v>
      </c>
      <c r="L78" s="3" t="str">
        <f t="shared" si="4"/>
        <v>November</v>
      </c>
      <c r="M78" s="3" t="str">
        <f>VLOOKUP(D78,Lookup_Practice!$A$2:$B$7,2,FALSE)</f>
        <v>Basic</v>
      </c>
      <c r="N78" s="3" t="str">
        <f t="array" ref="N78">INDEX(Lookup_Practice!$B$2:$B$7,MATCH(D78,Lookup_Practice!$A$2:$A$7,0))</f>
        <v>Basic</v>
      </c>
      <c r="O78" s="3" t="str">
        <f t="array" ref="O78">XLOOKUP(D78,Lookup_Practice!$A$2:$A$7,Lookup_Practice!$B$2:$B$7)</f>
        <v>Basic</v>
      </c>
    </row>
    <row r="79">
      <c r="A79" s="1">
        <v>33.0</v>
      </c>
      <c r="B79" s="1" t="s">
        <v>18</v>
      </c>
      <c r="C79" s="1" t="s">
        <v>25</v>
      </c>
      <c r="D79" s="1" t="s">
        <v>26</v>
      </c>
      <c r="E79" s="1" t="s">
        <v>17</v>
      </c>
      <c r="F79" s="1">
        <v>573.0</v>
      </c>
      <c r="G79" s="1">
        <v>17.0</v>
      </c>
      <c r="H79" s="2">
        <v>45072.0</v>
      </c>
      <c r="I79" s="3" t="str">
        <f t="shared" si="1"/>
        <v>Young Adult (18-35)</v>
      </c>
      <c r="J79" s="3">
        <f t="shared" si="2"/>
        <v>5</v>
      </c>
      <c r="K79" s="3">
        <f t="shared" si="3"/>
        <v>2023</v>
      </c>
      <c r="L79" s="3" t="str">
        <f t="shared" si="4"/>
        <v>May</v>
      </c>
      <c r="M79" s="3" t="str">
        <f>VLOOKUP(D79,Lookup_Practice!$A$2:$B$7,2,FALSE)</f>
        <v>Premium</v>
      </c>
      <c r="N79" s="3" t="str">
        <f t="array" ref="N79">INDEX(Lookup_Practice!$B$2:$B$7,MATCH(D79,Lookup_Practice!$A$2:$A$7,0))</f>
        <v>Premium</v>
      </c>
      <c r="O79" s="3" t="str">
        <f t="array" ref="O79">XLOOKUP(D79,Lookup_Practice!$A$2:$A$7,Lookup_Practice!$B$2:$B$7)</f>
        <v>Premium</v>
      </c>
    </row>
    <row r="80">
      <c r="A80" s="1">
        <v>19.0</v>
      </c>
      <c r="B80" s="1" t="s">
        <v>18</v>
      </c>
      <c r="C80" s="1" t="s">
        <v>21</v>
      </c>
      <c r="D80" s="1" t="s">
        <v>26</v>
      </c>
      <c r="E80" s="1" t="s">
        <v>17</v>
      </c>
      <c r="F80" s="1">
        <v>557.0</v>
      </c>
      <c r="G80" s="1">
        <v>18.0</v>
      </c>
      <c r="H80" s="2">
        <v>45349.0</v>
      </c>
      <c r="I80" s="3" t="str">
        <f t="shared" si="1"/>
        <v>Young Adult (18-35)</v>
      </c>
      <c r="J80" s="3">
        <f t="shared" si="2"/>
        <v>2</v>
      </c>
      <c r="K80" s="3">
        <f t="shared" si="3"/>
        <v>2024</v>
      </c>
      <c r="L80" s="3" t="str">
        <f t="shared" si="4"/>
        <v>February</v>
      </c>
      <c r="M80" s="3" t="str">
        <f>VLOOKUP(D80,Lookup_Practice!$A$2:$B$7,2,FALSE)</f>
        <v>Premium</v>
      </c>
      <c r="N80" s="3" t="str">
        <f t="array" ref="N80">INDEX(Lookup_Practice!$B$2:$B$7,MATCH(D80,Lookup_Practice!$A$2:$A$7,0))</f>
        <v>Premium</v>
      </c>
      <c r="O80" s="3" t="str">
        <f t="array" ref="O80">XLOOKUP(D80,Lookup_Practice!$A$2:$A$7,Lookup_Practice!$B$2:$B$7)</f>
        <v>Premium</v>
      </c>
    </row>
    <row r="81">
      <c r="A81" s="1">
        <v>49.0</v>
      </c>
      <c r="B81" s="1" t="s">
        <v>18</v>
      </c>
      <c r="C81" s="1" t="s">
        <v>15</v>
      </c>
      <c r="D81" s="1" t="s">
        <v>26</v>
      </c>
      <c r="E81" s="1" t="s">
        <v>17</v>
      </c>
      <c r="F81" s="1">
        <v>614.0</v>
      </c>
      <c r="G81" s="1">
        <v>5.0</v>
      </c>
      <c r="H81" s="2">
        <v>45581.0</v>
      </c>
      <c r="I81" s="3" t="str">
        <f t="shared" si="1"/>
        <v>Middle Age (36-55)</v>
      </c>
      <c r="J81" s="3">
        <f t="shared" si="2"/>
        <v>10</v>
      </c>
      <c r="K81" s="3">
        <f t="shared" si="3"/>
        <v>2024</v>
      </c>
      <c r="L81" s="3" t="str">
        <f t="shared" si="4"/>
        <v>October</v>
      </c>
      <c r="M81" s="3" t="str">
        <f>VLOOKUP(D81,Lookup_Practice!$A$2:$B$7,2,FALSE)</f>
        <v>Premium</v>
      </c>
      <c r="N81" s="3" t="str">
        <f t="array" ref="N81">INDEX(Lookup_Practice!$B$2:$B$7,MATCH(D81,Lookup_Practice!$A$2:$A$7,0))</f>
        <v>Premium</v>
      </c>
      <c r="O81" s="3" t="str">
        <f t="array" ref="O81">XLOOKUP(D81,Lookup_Practice!$A$2:$A$7,Lookup_Practice!$B$2:$B$7)</f>
        <v>Premium</v>
      </c>
    </row>
    <row r="82">
      <c r="A82" s="1">
        <v>69.0</v>
      </c>
      <c r="B82" s="1" t="s">
        <v>14</v>
      </c>
      <c r="C82" s="1" t="s">
        <v>31</v>
      </c>
      <c r="D82" s="1" t="s">
        <v>26</v>
      </c>
      <c r="E82" s="1" t="s">
        <v>17</v>
      </c>
      <c r="F82" s="1">
        <v>576.0</v>
      </c>
      <c r="G82" s="1">
        <v>20.0</v>
      </c>
      <c r="H82" s="2">
        <v>45613.0</v>
      </c>
      <c r="I82" s="3" t="str">
        <f t="shared" si="1"/>
        <v>Senior (56+)</v>
      </c>
      <c r="J82" s="3">
        <f t="shared" si="2"/>
        <v>11</v>
      </c>
      <c r="K82" s="3">
        <f t="shared" si="3"/>
        <v>2024</v>
      </c>
      <c r="L82" s="3" t="str">
        <f t="shared" si="4"/>
        <v>November</v>
      </c>
      <c r="M82" s="3" t="str">
        <f>VLOOKUP(D82,Lookup_Practice!$A$2:$B$7,2,FALSE)</f>
        <v>Premium</v>
      </c>
      <c r="N82" s="3" t="str">
        <f t="array" ref="N82">INDEX(Lookup_Practice!$B$2:$B$7,MATCH(D82,Lookup_Practice!$A$2:$A$7,0))</f>
        <v>Premium</v>
      </c>
      <c r="O82" s="3" t="str">
        <f t="array" ref="O82">XLOOKUP(D82,Lookup_Practice!$A$2:$A$7,Lookup_Practice!$B$2:$B$7)</f>
        <v>Premium</v>
      </c>
    </row>
    <row r="83">
      <c r="A83" s="1">
        <v>75.0</v>
      </c>
      <c r="B83" s="1" t="s">
        <v>18</v>
      </c>
      <c r="C83" s="1" t="s">
        <v>15</v>
      </c>
      <c r="D83" s="1" t="s">
        <v>26</v>
      </c>
      <c r="E83" s="1" t="s">
        <v>17</v>
      </c>
      <c r="F83" s="1">
        <v>574.0</v>
      </c>
      <c r="G83" s="1">
        <v>20.0</v>
      </c>
      <c r="H83" s="2">
        <v>45245.0</v>
      </c>
      <c r="I83" s="3" t="str">
        <f t="shared" si="1"/>
        <v>Senior (56+)</v>
      </c>
      <c r="J83" s="3">
        <f t="shared" si="2"/>
        <v>11</v>
      </c>
      <c r="K83" s="3">
        <f t="shared" si="3"/>
        <v>2023</v>
      </c>
      <c r="L83" s="3" t="str">
        <f t="shared" si="4"/>
        <v>November</v>
      </c>
      <c r="M83" s="3" t="str">
        <f>VLOOKUP(D83,Lookup_Practice!$A$2:$B$7,2,FALSE)</f>
        <v>Premium</v>
      </c>
      <c r="N83" s="3" t="str">
        <f t="array" ref="N83">INDEX(Lookup_Practice!$B$2:$B$7,MATCH(D83,Lookup_Practice!$A$2:$A$7,0))</f>
        <v>Premium</v>
      </c>
      <c r="O83" s="3" t="str">
        <f t="array" ref="O83">XLOOKUP(D83,Lookup_Practice!$A$2:$A$7,Lookup_Practice!$B$2:$B$7)</f>
        <v>Premium</v>
      </c>
    </row>
    <row r="84">
      <c r="A84" s="1">
        <v>13.0</v>
      </c>
      <c r="B84" s="1" t="s">
        <v>14</v>
      </c>
      <c r="C84" s="1" t="s">
        <v>32</v>
      </c>
      <c r="D84" s="1" t="s">
        <v>22</v>
      </c>
      <c r="E84" s="1" t="s">
        <v>17</v>
      </c>
      <c r="F84" s="1">
        <v>845.0</v>
      </c>
      <c r="G84" s="1">
        <v>9.0</v>
      </c>
      <c r="H84" s="2">
        <v>45629.0</v>
      </c>
      <c r="I84" s="3" t="str">
        <f t="shared" si="1"/>
        <v>Child (0-17)</v>
      </c>
      <c r="J84" s="3">
        <f t="shared" si="2"/>
        <v>12</v>
      </c>
      <c r="K84" s="3">
        <f t="shared" si="3"/>
        <v>2024</v>
      </c>
      <c r="L84" s="3" t="str">
        <f t="shared" si="4"/>
        <v>December</v>
      </c>
      <c r="M84" s="3" t="str">
        <f>VLOOKUP(D84,Lookup_Practice!$A$2:$B$7,2,FALSE)</f>
        <v>Basic</v>
      </c>
      <c r="N84" s="3" t="str">
        <f t="array" ref="N84">INDEX(Lookup_Practice!$B$2:$B$7,MATCH(D84,Lookup_Practice!$A$2:$A$7,0))</f>
        <v>Basic</v>
      </c>
      <c r="O84" s="3" t="str">
        <f t="array" ref="O84">XLOOKUP(D84,Lookup_Practice!$A$2:$A$7,Lookup_Practice!$B$2:$B$7)</f>
        <v>Basic</v>
      </c>
    </row>
    <row r="85">
      <c r="A85" s="1">
        <v>5.0</v>
      </c>
      <c r="B85" s="1" t="s">
        <v>18</v>
      </c>
      <c r="C85" s="1" t="s">
        <v>15</v>
      </c>
      <c r="D85" s="1" t="s">
        <v>30</v>
      </c>
      <c r="E85" s="1" t="s">
        <v>17</v>
      </c>
      <c r="F85" s="1">
        <v>1060.0</v>
      </c>
      <c r="G85" s="1">
        <v>11.0</v>
      </c>
      <c r="H85" s="2">
        <v>45455.0</v>
      </c>
      <c r="I85" s="3" t="str">
        <f t="shared" si="1"/>
        <v>Child (0-17)</v>
      </c>
      <c r="J85" s="3">
        <f t="shared" si="2"/>
        <v>6</v>
      </c>
      <c r="K85" s="3">
        <f t="shared" si="3"/>
        <v>2024</v>
      </c>
      <c r="L85" s="3" t="str">
        <f t="shared" si="4"/>
        <v>June</v>
      </c>
      <c r="M85" s="3" t="str">
        <f>VLOOKUP(D85,Lookup_Practice!$A$2:$B$7,2,FALSE)</f>
        <v>Standard</v>
      </c>
      <c r="N85" s="3" t="str">
        <f t="array" ref="N85">INDEX(Lookup_Practice!$B$2:$B$7,MATCH(D85,Lookup_Practice!$A$2:$A$7,0))</f>
        <v>Standard</v>
      </c>
      <c r="O85" s="3" t="str">
        <f t="array" ref="O85">XLOOKUP(D85,Lookup_Practice!$A$2:$A$7,Lookup_Practice!$B$2:$B$7)</f>
        <v>Standard</v>
      </c>
    </row>
    <row r="86">
      <c r="A86" s="1">
        <v>12.0</v>
      </c>
      <c r="B86" s="1" t="s">
        <v>14</v>
      </c>
      <c r="C86" s="1" t="s">
        <v>29</v>
      </c>
      <c r="D86" s="1" t="s">
        <v>20</v>
      </c>
      <c r="E86" s="1" t="s">
        <v>17</v>
      </c>
      <c r="F86" s="1">
        <v>1526.0</v>
      </c>
      <c r="G86" s="1">
        <v>1.0</v>
      </c>
      <c r="H86" s="2">
        <v>45574.0</v>
      </c>
      <c r="I86" s="3" t="str">
        <f t="shared" si="1"/>
        <v>Child (0-17)</v>
      </c>
      <c r="J86" s="3">
        <f t="shared" si="2"/>
        <v>10</v>
      </c>
      <c r="K86" s="3">
        <f t="shared" si="3"/>
        <v>2024</v>
      </c>
      <c r="L86" s="3" t="str">
        <f t="shared" si="4"/>
        <v>October</v>
      </c>
      <c r="M86" s="3" t="str">
        <f>VLOOKUP(D86,Lookup_Practice!$A$2:$B$7,2,FALSE)</f>
        <v>Standard</v>
      </c>
      <c r="N86" s="3" t="str">
        <f t="array" ref="N86">INDEX(Lookup_Practice!$B$2:$B$7,MATCH(D86,Lookup_Practice!$A$2:$A$7,0))</f>
        <v>Standard</v>
      </c>
      <c r="O86" s="3" t="str">
        <f t="array" ref="O86">XLOOKUP(D86,Lookup_Practice!$A$2:$A$7,Lookup_Practice!$B$2:$B$7)</f>
        <v>Standard</v>
      </c>
    </row>
    <row r="87">
      <c r="A87" s="1">
        <v>67.0</v>
      </c>
      <c r="B87" s="1" t="s">
        <v>14</v>
      </c>
      <c r="C87" s="1" t="s">
        <v>15</v>
      </c>
      <c r="D87" s="1" t="s">
        <v>26</v>
      </c>
      <c r="E87" s="1" t="s">
        <v>28</v>
      </c>
      <c r="F87" s="1">
        <v>481.0</v>
      </c>
      <c r="G87" s="1">
        <v>18.0</v>
      </c>
      <c r="H87" s="2">
        <v>45159.0</v>
      </c>
      <c r="I87" s="3" t="str">
        <f t="shared" si="1"/>
        <v>Senior (56+)</v>
      </c>
      <c r="J87" s="3">
        <f t="shared" si="2"/>
        <v>8</v>
      </c>
      <c r="K87" s="3">
        <f t="shared" si="3"/>
        <v>2023</v>
      </c>
      <c r="L87" s="3" t="str">
        <f t="shared" si="4"/>
        <v>August</v>
      </c>
      <c r="M87" s="3" t="str">
        <f>VLOOKUP(D87,Lookup_Practice!$A$2:$B$7,2,FALSE)</f>
        <v>Premium</v>
      </c>
      <c r="N87" s="3" t="str">
        <f t="array" ref="N87">INDEX(Lookup_Practice!$B$2:$B$7,MATCH(D87,Lookup_Practice!$A$2:$A$7,0))</f>
        <v>Premium</v>
      </c>
      <c r="O87" s="3" t="str">
        <f t="array" ref="O87">XLOOKUP(D87,Lookup_Practice!$A$2:$A$7,Lookup_Practice!$B$2:$B$7)</f>
        <v>Premium</v>
      </c>
    </row>
    <row r="88">
      <c r="A88" s="1">
        <v>15.0</v>
      </c>
      <c r="B88" s="1" t="s">
        <v>14</v>
      </c>
      <c r="C88" s="1" t="s">
        <v>31</v>
      </c>
      <c r="D88" s="1" t="s">
        <v>30</v>
      </c>
      <c r="E88" s="1" t="s">
        <v>17</v>
      </c>
      <c r="F88" s="1">
        <v>1046.0</v>
      </c>
      <c r="G88" s="1">
        <v>6.0</v>
      </c>
      <c r="H88" s="2">
        <v>45394.0</v>
      </c>
      <c r="I88" s="3" t="str">
        <f t="shared" si="1"/>
        <v>Child (0-17)</v>
      </c>
      <c r="J88" s="3">
        <f t="shared" si="2"/>
        <v>4</v>
      </c>
      <c r="K88" s="3">
        <f t="shared" si="3"/>
        <v>2024</v>
      </c>
      <c r="L88" s="3" t="str">
        <f t="shared" si="4"/>
        <v>April</v>
      </c>
      <c r="M88" s="3" t="str">
        <f>VLOOKUP(D88,Lookup_Practice!$A$2:$B$7,2,FALSE)</f>
        <v>Standard</v>
      </c>
      <c r="N88" s="3" t="str">
        <f t="array" ref="N88">INDEX(Lookup_Practice!$B$2:$B$7,MATCH(D88,Lookup_Practice!$A$2:$A$7,0))</f>
        <v>Standard</v>
      </c>
      <c r="O88" s="3" t="str">
        <f t="array" ref="O88">XLOOKUP(D88,Lookup_Practice!$A$2:$A$7,Lookup_Practice!$B$2:$B$7)</f>
        <v>Standard</v>
      </c>
    </row>
    <row r="89">
      <c r="A89" s="1">
        <v>12.0</v>
      </c>
      <c r="B89" s="1" t="s">
        <v>14</v>
      </c>
      <c r="C89" s="1" t="s">
        <v>25</v>
      </c>
      <c r="D89" s="1" t="s">
        <v>30</v>
      </c>
      <c r="E89" s="1" t="s">
        <v>17</v>
      </c>
      <c r="F89" s="1">
        <v>1138.0</v>
      </c>
      <c r="G89" s="1">
        <v>2.0</v>
      </c>
      <c r="H89" s="2">
        <v>45348.0</v>
      </c>
      <c r="I89" s="3" t="str">
        <f t="shared" si="1"/>
        <v>Child (0-17)</v>
      </c>
      <c r="J89" s="3">
        <f t="shared" si="2"/>
        <v>2</v>
      </c>
      <c r="K89" s="3">
        <f t="shared" si="3"/>
        <v>2024</v>
      </c>
      <c r="L89" s="3" t="str">
        <f t="shared" si="4"/>
        <v>February</v>
      </c>
      <c r="M89" s="3" t="str">
        <f>VLOOKUP(D89,Lookup_Practice!$A$2:$B$7,2,FALSE)</f>
        <v>Standard</v>
      </c>
      <c r="N89" s="3" t="str">
        <f t="array" ref="N89">INDEX(Lookup_Practice!$B$2:$B$7,MATCH(D89,Lookup_Practice!$A$2:$A$7,0))</f>
        <v>Standard</v>
      </c>
      <c r="O89" s="3" t="str">
        <f t="array" ref="O89">XLOOKUP(D89,Lookup_Practice!$A$2:$A$7,Lookup_Practice!$B$2:$B$7)</f>
        <v>Standard</v>
      </c>
    </row>
    <row r="90">
      <c r="A90" s="1">
        <v>39.0</v>
      </c>
      <c r="B90" s="1" t="s">
        <v>18</v>
      </c>
      <c r="C90" s="1" t="s">
        <v>21</v>
      </c>
      <c r="D90" s="1" t="s">
        <v>20</v>
      </c>
      <c r="E90" s="1" t="s">
        <v>17</v>
      </c>
      <c r="F90" s="1">
        <v>1483.0</v>
      </c>
      <c r="G90" s="1">
        <v>15.0</v>
      </c>
      <c r="H90" s="2">
        <v>45641.0</v>
      </c>
      <c r="I90" s="3" t="str">
        <f t="shared" si="1"/>
        <v>Middle Age (36-55)</v>
      </c>
      <c r="J90" s="3">
        <f t="shared" si="2"/>
        <v>12</v>
      </c>
      <c r="K90" s="3">
        <f t="shared" si="3"/>
        <v>2024</v>
      </c>
      <c r="L90" s="3" t="str">
        <f t="shared" si="4"/>
        <v>December</v>
      </c>
      <c r="M90" s="3" t="str">
        <f>VLOOKUP(D90,Lookup_Practice!$A$2:$B$7,2,FALSE)</f>
        <v>Standard</v>
      </c>
      <c r="N90" s="3" t="str">
        <f t="array" ref="N90">INDEX(Lookup_Practice!$B$2:$B$7,MATCH(D90,Lookup_Practice!$A$2:$A$7,0))</f>
        <v>Standard</v>
      </c>
      <c r="O90" s="3" t="str">
        <f t="array" ref="O90">XLOOKUP(D90,Lookup_Practice!$A$2:$A$7,Lookup_Practice!$B$2:$B$7)</f>
        <v>Standard</v>
      </c>
    </row>
    <row r="91">
      <c r="A91" s="1">
        <v>39.0</v>
      </c>
      <c r="B91" s="1" t="s">
        <v>14</v>
      </c>
      <c r="C91" s="1" t="s">
        <v>21</v>
      </c>
      <c r="D91" s="1" t="s">
        <v>22</v>
      </c>
      <c r="E91" s="1" t="s">
        <v>28</v>
      </c>
      <c r="F91" s="1">
        <v>812.0</v>
      </c>
      <c r="G91" s="1">
        <v>14.0</v>
      </c>
      <c r="H91" s="2">
        <v>45232.0</v>
      </c>
      <c r="I91" s="3" t="str">
        <f t="shared" si="1"/>
        <v>Middle Age (36-55)</v>
      </c>
      <c r="J91" s="3">
        <f t="shared" si="2"/>
        <v>11</v>
      </c>
      <c r="K91" s="3">
        <f t="shared" si="3"/>
        <v>2023</v>
      </c>
      <c r="L91" s="3" t="str">
        <f t="shared" si="4"/>
        <v>November</v>
      </c>
      <c r="M91" s="3" t="str">
        <f>VLOOKUP(D91,Lookup_Practice!$A$2:$B$7,2,FALSE)</f>
        <v>Basic</v>
      </c>
      <c r="N91" s="3" t="str">
        <f t="array" ref="N91">INDEX(Lookup_Practice!$B$2:$B$7,MATCH(D91,Lookup_Practice!$A$2:$A$7,0))</f>
        <v>Basic</v>
      </c>
      <c r="O91" s="3" t="str">
        <f t="array" ref="O91">XLOOKUP(D91,Lookup_Practice!$A$2:$A$7,Lookup_Practice!$B$2:$B$7)</f>
        <v>Basic</v>
      </c>
    </row>
    <row r="92">
      <c r="A92" s="1">
        <v>37.0</v>
      </c>
      <c r="B92" s="1" t="s">
        <v>18</v>
      </c>
      <c r="C92" s="1" t="s">
        <v>21</v>
      </c>
      <c r="D92" s="1" t="s">
        <v>23</v>
      </c>
      <c r="E92" s="1" t="s">
        <v>17</v>
      </c>
      <c r="F92" s="1">
        <v>1324.0</v>
      </c>
      <c r="G92" s="1">
        <v>5.0</v>
      </c>
      <c r="H92" s="2">
        <v>45435.0</v>
      </c>
      <c r="I92" s="3" t="str">
        <f t="shared" si="1"/>
        <v>Middle Age (36-55)</v>
      </c>
      <c r="J92" s="3">
        <f t="shared" si="2"/>
        <v>5</v>
      </c>
      <c r="K92" s="3">
        <f t="shared" si="3"/>
        <v>2024</v>
      </c>
      <c r="L92" s="3" t="str">
        <f t="shared" si="4"/>
        <v>May</v>
      </c>
      <c r="M92" s="3" t="str">
        <f>VLOOKUP(D92,Lookup_Practice!$A$2:$B$7,2,FALSE)</f>
        <v>Standard</v>
      </c>
      <c r="N92" s="3" t="str">
        <f t="array" ref="N92">INDEX(Lookup_Practice!$B$2:$B$7,MATCH(D92,Lookup_Practice!$A$2:$A$7,0))</f>
        <v>Standard</v>
      </c>
      <c r="O92" s="3" t="str">
        <f t="array" ref="O92">XLOOKUP(D92,Lookup_Practice!$A$2:$A$7,Lookup_Practice!$B$2:$B$7)</f>
        <v>Standard</v>
      </c>
    </row>
    <row r="93">
      <c r="A93" s="1">
        <v>9.0</v>
      </c>
      <c r="B93" s="1" t="s">
        <v>14</v>
      </c>
      <c r="C93" s="1" t="s">
        <v>21</v>
      </c>
      <c r="D93" s="1" t="s">
        <v>23</v>
      </c>
      <c r="E93" s="1" t="s">
        <v>17</v>
      </c>
      <c r="F93" s="1">
        <v>1342.0</v>
      </c>
      <c r="G93" s="1">
        <v>6.0</v>
      </c>
      <c r="H93" s="2">
        <v>45644.0</v>
      </c>
      <c r="I93" s="3" t="str">
        <f t="shared" si="1"/>
        <v>Child (0-17)</v>
      </c>
      <c r="J93" s="3">
        <f t="shared" si="2"/>
        <v>12</v>
      </c>
      <c r="K93" s="3">
        <f t="shared" si="3"/>
        <v>2024</v>
      </c>
      <c r="L93" s="3" t="str">
        <f t="shared" si="4"/>
        <v>December</v>
      </c>
      <c r="M93" s="3" t="str">
        <f>VLOOKUP(D93,Lookup_Practice!$A$2:$B$7,2,FALSE)</f>
        <v>Standard</v>
      </c>
      <c r="N93" s="3" t="str">
        <f t="array" ref="N93">INDEX(Lookup_Practice!$B$2:$B$7,MATCH(D93,Lookup_Practice!$A$2:$A$7,0))</f>
        <v>Standard</v>
      </c>
      <c r="O93" s="3" t="str">
        <f t="array" ref="O93">XLOOKUP(D93,Lookup_Practice!$A$2:$A$7,Lookup_Practice!$B$2:$B$7)</f>
        <v>Standard</v>
      </c>
    </row>
    <row r="94">
      <c r="A94" s="1">
        <v>45.0</v>
      </c>
      <c r="B94" s="1" t="s">
        <v>18</v>
      </c>
      <c r="C94" s="1" t="s">
        <v>21</v>
      </c>
      <c r="D94" s="1" t="s">
        <v>30</v>
      </c>
      <c r="E94" s="1" t="s">
        <v>24</v>
      </c>
      <c r="F94" s="1">
        <v>1042.0</v>
      </c>
      <c r="G94" s="1">
        <v>6.0</v>
      </c>
      <c r="H94" s="2">
        <v>45342.0</v>
      </c>
      <c r="I94" s="3" t="str">
        <f t="shared" si="1"/>
        <v>Middle Age (36-55)</v>
      </c>
      <c r="J94" s="3">
        <f t="shared" si="2"/>
        <v>2</v>
      </c>
      <c r="K94" s="3">
        <f t="shared" si="3"/>
        <v>2024</v>
      </c>
      <c r="L94" s="3" t="str">
        <f t="shared" si="4"/>
        <v>February</v>
      </c>
      <c r="M94" s="3" t="str">
        <f>VLOOKUP(D94,Lookup_Practice!$A$2:$B$7,2,FALSE)</f>
        <v>Standard</v>
      </c>
      <c r="N94" s="3" t="str">
        <f t="array" ref="N94">INDEX(Lookup_Practice!$B$2:$B$7,MATCH(D94,Lookup_Practice!$A$2:$A$7,0))</f>
        <v>Standard</v>
      </c>
      <c r="O94" s="3" t="str">
        <f t="array" ref="O94">XLOOKUP(D94,Lookup_Practice!$A$2:$A$7,Lookup_Practice!$B$2:$B$7)</f>
        <v>Standard</v>
      </c>
    </row>
    <row r="95">
      <c r="A95" s="1">
        <v>32.0</v>
      </c>
      <c r="B95" s="1" t="s">
        <v>18</v>
      </c>
      <c r="C95" s="1" t="s">
        <v>29</v>
      </c>
      <c r="D95" s="1" t="s">
        <v>16</v>
      </c>
      <c r="E95" s="1" t="s">
        <v>17</v>
      </c>
      <c r="F95" s="1">
        <v>940.0</v>
      </c>
      <c r="G95" s="1">
        <v>18.0</v>
      </c>
      <c r="H95" s="2">
        <v>44969.0</v>
      </c>
      <c r="I95" s="3" t="str">
        <f t="shared" si="1"/>
        <v>Young Adult (18-35)</v>
      </c>
      <c r="J95" s="3">
        <f t="shared" si="2"/>
        <v>2</v>
      </c>
      <c r="K95" s="3">
        <f t="shared" si="3"/>
        <v>2023</v>
      </c>
      <c r="L95" s="3" t="str">
        <f t="shared" si="4"/>
        <v>February</v>
      </c>
      <c r="M95" s="3" t="str">
        <f>VLOOKUP(D95,Lookup_Practice!$A$2:$B$7,2,FALSE)</f>
        <v>Premium</v>
      </c>
      <c r="N95" s="3" t="str">
        <f t="array" ref="N95">INDEX(Lookup_Practice!$B$2:$B$7,MATCH(D95,Lookup_Practice!$A$2:$A$7,0))</f>
        <v>Premium</v>
      </c>
      <c r="O95" s="3" t="str">
        <f t="array" ref="O95">XLOOKUP(D95,Lookup_Practice!$A$2:$A$7,Lookup_Practice!$B$2:$B$7)</f>
        <v>Premium</v>
      </c>
    </row>
    <row r="96">
      <c r="A96" s="1">
        <v>11.0</v>
      </c>
      <c r="B96" s="1" t="s">
        <v>14</v>
      </c>
      <c r="C96" s="1" t="s">
        <v>15</v>
      </c>
      <c r="D96" s="1" t="s">
        <v>16</v>
      </c>
      <c r="E96" s="1" t="s">
        <v>17</v>
      </c>
      <c r="F96" s="1">
        <v>1157.0</v>
      </c>
      <c r="G96" s="1">
        <v>14.0</v>
      </c>
      <c r="H96" s="2">
        <v>45100.0</v>
      </c>
      <c r="I96" s="3" t="str">
        <f t="shared" si="1"/>
        <v>Child (0-17)</v>
      </c>
      <c r="J96" s="3">
        <f t="shared" si="2"/>
        <v>6</v>
      </c>
      <c r="K96" s="3">
        <f t="shared" si="3"/>
        <v>2023</v>
      </c>
      <c r="L96" s="3" t="str">
        <f t="shared" si="4"/>
        <v>June</v>
      </c>
      <c r="M96" s="3" t="str">
        <f>VLOOKUP(D96,Lookup_Practice!$A$2:$B$7,2,FALSE)</f>
        <v>Premium</v>
      </c>
      <c r="N96" s="3" t="str">
        <f t="array" ref="N96">INDEX(Lookup_Practice!$B$2:$B$7,MATCH(D96,Lookup_Practice!$A$2:$A$7,0))</f>
        <v>Premium</v>
      </c>
      <c r="O96" s="3" t="str">
        <f t="array" ref="O96">XLOOKUP(D96,Lookup_Practice!$A$2:$A$7,Lookup_Practice!$B$2:$B$7)</f>
        <v>Premium</v>
      </c>
    </row>
    <row r="97">
      <c r="A97" s="1">
        <v>77.0</v>
      </c>
      <c r="B97" s="1" t="s">
        <v>14</v>
      </c>
      <c r="C97" s="1" t="s">
        <v>29</v>
      </c>
      <c r="D97" s="1" t="s">
        <v>20</v>
      </c>
      <c r="E97" s="1" t="s">
        <v>17</v>
      </c>
      <c r="F97" s="1">
        <v>1684.0</v>
      </c>
      <c r="G97" s="1">
        <v>10.0</v>
      </c>
      <c r="H97" s="2">
        <v>45600.0</v>
      </c>
      <c r="I97" s="3" t="str">
        <f t="shared" si="1"/>
        <v>Senior (56+)</v>
      </c>
      <c r="J97" s="3">
        <f t="shared" si="2"/>
        <v>11</v>
      </c>
      <c r="K97" s="3">
        <f t="shared" si="3"/>
        <v>2024</v>
      </c>
      <c r="L97" s="3" t="str">
        <f t="shared" si="4"/>
        <v>November</v>
      </c>
      <c r="M97" s="3" t="str">
        <f>VLOOKUP(D97,Lookup_Practice!$A$2:$B$7,2,FALSE)</f>
        <v>Standard</v>
      </c>
      <c r="N97" s="3" t="str">
        <f t="array" ref="N97">INDEX(Lookup_Practice!$B$2:$B$7,MATCH(D97,Lookup_Practice!$A$2:$A$7,0))</f>
        <v>Standard</v>
      </c>
      <c r="O97" s="3" t="str">
        <f t="array" ref="O97">XLOOKUP(D97,Lookup_Practice!$A$2:$A$7,Lookup_Practice!$B$2:$B$7)</f>
        <v>Standard</v>
      </c>
    </row>
    <row r="98">
      <c r="A98" s="1">
        <v>76.0</v>
      </c>
      <c r="B98" s="1" t="s">
        <v>14</v>
      </c>
      <c r="C98" s="1" t="s">
        <v>27</v>
      </c>
      <c r="D98" s="1" t="s">
        <v>23</v>
      </c>
      <c r="E98" s="1" t="s">
        <v>17</v>
      </c>
      <c r="F98" s="1">
        <v>1204.0</v>
      </c>
      <c r="G98" s="1">
        <v>14.0</v>
      </c>
      <c r="H98" s="2">
        <v>45222.0</v>
      </c>
      <c r="I98" s="3" t="str">
        <f t="shared" si="1"/>
        <v>Senior (56+)</v>
      </c>
      <c r="J98" s="3">
        <f t="shared" si="2"/>
        <v>10</v>
      </c>
      <c r="K98" s="3">
        <f t="shared" si="3"/>
        <v>2023</v>
      </c>
      <c r="L98" s="3" t="str">
        <f t="shared" si="4"/>
        <v>October</v>
      </c>
      <c r="M98" s="3" t="str">
        <f>VLOOKUP(D98,Lookup_Practice!$A$2:$B$7,2,FALSE)</f>
        <v>Standard</v>
      </c>
      <c r="N98" s="3" t="str">
        <f t="array" ref="N98">INDEX(Lookup_Practice!$B$2:$B$7,MATCH(D98,Lookup_Practice!$A$2:$A$7,0))</f>
        <v>Standard</v>
      </c>
      <c r="O98" s="3" t="str">
        <f t="array" ref="O98">XLOOKUP(D98,Lookup_Practice!$A$2:$A$7,Lookup_Practice!$B$2:$B$7)</f>
        <v>Standard</v>
      </c>
    </row>
    <row r="99">
      <c r="A99" s="1">
        <v>16.0</v>
      </c>
      <c r="B99" s="1" t="s">
        <v>14</v>
      </c>
      <c r="C99" s="1" t="s">
        <v>25</v>
      </c>
      <c r="D99" s="1" t="s">
        <v>30</v>
      </c>
      <c r="E99" s="1" t="s">
        <v>28</v>
      </c>
      <c r="F99" s="1">
        <v>1101.0</v>
      </c>
      <c r="G99" s="1">
        <v>13.0</v>
      </c>
      <c r="H99" s="2">
        <v>45185.0</v>
      </c>
      <c r="I99" s="3" t="str">
        <f t="shared" si="1"/>
        <v>Child (0-17)</v>
      </c>
      <c r="J99" s="3">
        <f t="shared" si="2"/>
        <v>9</v>
      </c>
      <c r="K99" s="3">
        <f t="shared" si="3"/>
        <v>2023</v>
      </c>
      <c r="L99" s="3" t="str">
        <f t="shared" si="4"/>
        <v>September</v>
      </c>
      <c r="M99" s="3" t="str">
        <f>VLOOKUP(D99,Lookup_Practice!$A$2:$B$7,2,FALSE)</f>
        <v>Standard</v>
      </c>
      <c r="N99" s="3" t="str">
        <f t="array" ref="N99">INDEX(Lookup_Practice!$B$2:$B$7,MATCH(D99,Lookup_Practice!$A$2:$A$7,0))</f>
        <v>Standard</v>
      </c>
      <c r="O99" s="3" t="str">
        <f t="array" ref="O99">XLOOKUP(D99,Lookup_Practice!$A$2:$A$7,Lookup_Practice!$B$2:$B$7)</f>
        <v>Standard</v>
      </c>
    </row>
    <row r="100">
      <c r="A100" s="1">
        <v>38.0</v>
      </c>
      <c r="B100" s="1" t="s">
        <v>14</v>
      </c>
      <c r="C100" s="1" t="s">
        <v>29</v>
      </c>
      <c r="D100" s="1" t="s">
        <v>22</v>
      </c>
      <c r="E100" s="1" t="s">
        <v>24</v>
      </c>
      <c r="F100" s="1">
        <v>965.0</v>
      </c>
      <c r="G100" s="1">
        <v>3.0</v>
      </c>
      <c r="H100" s="2">
        <v>45039.0</v>
      </c>
      <c r="I100" s="3" t="str">
        <f t="shared" si="1"/>
        <v>Middle Age (36-55)</v>
      </c>
      <c r="J100" s="3">
        <f t="shared" si="2"/>
        <v>4</v>
      </c>
      <c r="K100" s="3">
        <f t="shared" si="3"/>
        <v>2023</v>
      </c>
      <c r="L100" s="3" t="str">
        <f t="shared" si="4"/>
        <v>April</v>
      </c>
      <c r="M100" s="3" t="str">
        <f>VLOOKUP(D100,Lookup_Practice!$A$2:$B$7,2,FALSE)</f>
        <v>Basic</v>
      </c>
      <c r="N100" s="3" t="str">
        <f t="array" ref="N100">INDEX(Lookup_Practice!$B$2:$B$7,MATCH(D100,Lookup_Practice!$A$2:$A$7,0))</f>
        <v>Basic</v>
      </c>
      <c r="O100" s="3" t="str">
        <f t="array" ref="O100">XLOOKUP(D100,Lookup_Practice!$A$2:$A$7,Lookup_Practice!$B$2:$B$7)</f>
        <v>Basic</v>
      </c>
    </row>
    <row r="101">
      <c r="A101" s="1">
        <v>37.0</v>
      </c>
      <c r="B101" s="1" t="s">
        <v>18</v>
      </c>
      <c r="C101" s="1" t="s">
        <v>29</v>
      </c>
      <c r="D101" s="1" t="s">
        <v>23</v>
      </c>
      <c r="E101" s="1" t="s">
        <v>17</v>
      </c>
      <c r="F101" s="1">
        <v>1309.0</v>
      </c>
      <c r="G101" s="1">
        <v>6.0</v>
      </c>
      <c r="H101" s="2">
        <v>45459.0</v>
      </c>
      <c r="I101" s="3" t="str">
        <f t="shared" si="1"/>
        <v>Middle Age (36-55)</v>
      </c>
      <c r="J101" s="3">
        <f t="shared" si="2"/>
        <v>6</v>
      </c>
      <c r="K101" s="3">
        <f t="shared" si="3"/>
        <v>2024</v>
      </c>
      <c r="L101" s="3" t="str">
        <f t="shared" si="4"/>
        <v>June</v>
      </c>
      <c r="M101" s="3" t="str">
        <f>VLOOKUP(D101,Lookup_Practice!$A$2:$B$7,2,FALSE)</f>
        <v>Standard</v>
      </c>
      <c r="N101" s="3" t="str">
        <f t="array" ref="N101">INDEX(Lookup_Practice!$B$2:$B$7,MATCH(D101,Lookup_Practice!$A$2:$A$7,0))</f>
        <v>Standard</v>
      </c>
      <c r="O101" s="3" t="str">
        <f t="array" ref="O101">XLOOKUP(D101,Lookup_Practice!$A$2:$A$7,Lookup_Practice!$B$2:$B$7)</f>
        <v>Standard</v>
      </c>
    </row>
    <row r="102">
      <c r="A102" s="1">
        <v>52.0</v>
      </c>
      <c r="B102" s="1" t="s">
        <v>18</v>
      </c>
      <c r="C102" s="1" t="s">
        <v>15</v>
      </c>
      <c r="D102" s="1" t="s">
        <v>30</v>
      </c>
      <c r="E102" s="1" t="s">
        <v>17</v>
      </c>
      <c r="F102" s="1">
        <v>950.0</v>
      </c>
      <c r="G102" s="1">
        <v>8.0</v>
      </c>
      <c r="H102" s="2">
        <v>45474.0</v>
      </c>
      <c r="I102" s="3" t="str">
        <f t="shared" si="1"/>
        <v>Middle Age (36-55)</v>
      </c>
      <c r="J102" s="3">
        <f t="shared" si="2"/>
        <v>7</v>
      </c>
      <c r="K102" s="3">
        <f t="shared" si="3"/>
        <v>2024</v>
      </c>
      <c r="L102" s="3" t="str">
        <f t="shared" si="4"/>
        <v>July</v>
      </c>
      <c r="M102" s="3" t="str">
        <f>VLOOKUP(D102,Lookup_Practice!$A$2:$B$7,2,FALSE)</f>
        <v>Standard</v>
      </c>
      <c r="N102" s="3" t="str">
        <f t="array" ref="N102">INDEX(Lookup_Practice!$B$2:$B$7,MATCH(D102,Lookup_Practice!$A$2:$A$7,0))</f>
        <v>Standard</v>
      </c>
      <c r="O102" s="3" t="str">
        <f t="array" ref="O102">XLOOKUP(D102,Lookup_Practice!$A$2:$A$7,Lookup_Practice!$B$2:$B$7)</f>
        <v>Standard</v>
      </c>
    </row>
    <row r="103">
      <c r="A103" s="1">
        <v>27.0</v>
      </c>
      <c r="B103" s="1" t="s">
        <v>18</v>
      </c>
      <c r="C103" s="1" t="s">
        <v>21</v>
      </c>
      <c r="D103" s="1" t="s">
        <v>30</v>
      </c>
      <c r="E103" s="1" t="s">
        <v>17</v>
      </c>
      <c r="F103" s="1">
        <v>1017.0</v>
      </c>
      <c r="G103" s="1">
        <v>12.0</v>
      </c>
      <c r="H103" s="2">
        <v>45252.0</v>
      </c>
      <c r="I103" s="3" t="str">
        <f t="shared" si="1"/>
        <v>Young Adult (18-35)</v>
      </c>
      <c r="J103" s="3">
        <f t="shared" si="2"/>
        <v>11</v>
      </c>
      <c r="K103" s="3">
        <f t="shared" si="3"/>
        <v>2023</v>
      </c>
      <c r="L103" s="3" t="str">
        <f t="shared" si="4"/>
        <v>November</v>
      </c>
      <c r="M103" s="3" t="str">
        <f>VLOOKUP(D103,Lookup_Practice!$A$2:$B$7,2,FALSE)</f>
        <v>Standard</v>
      </c>
      <c r="N103" s="3" t="str">
        <f t="array" ref="N103">INDEX(Lookup_Practice!$B$2:$B$7,MATCH(D103,Lookup_Practice!$A$2:$A$7,0))</f>
        <v>Standard</v>
      </c>
      <c r="O103" s="3" t="str">
        <f t="array" ref="O103">XLOOKUP(D103,Lookup_Practice!$A$2:$A$7,Lookup_Practice!$B$2:$B$7)</f>
        <v>Standard</v>
      </c>
    </row>
    <row r="104">
      <c r="A104" s="1">
        <v>66.0</v>
      </c>
      <c r="B104" s="1" t="s">
        <v>18</v>
      </c>
      <c r="C104" s="1" t="s">
        <v>21</v>
      </c>
      <c r="D104" s="1" t="s">
        <v>26</v>
      </c>
      <c r="E104" s="1" t="s">
        <v>17</v>
      </c>
      <c r="F104" s="1">
        <v>600.0</v>
      </c>
      <c r="G104" s="1">
        <v>13.0</v>
      </c>
      <c r="H104" s="2">
        <v>45102.0</v>
      </c>
      <c r="I104" s="3" t="str">
        <f t="shared" si="1"/>
        <v>Senior (56+)</v>
      </c>
      <c r="J104" s="3">
        <f t="shared" si="2"/>
        <v>6</v>
      </c>
      <c r="K104" s="3">
        <f t="shared" si="3"/>
        <v>2023</v>
      </c>
      <c r="L104" s="3" t="str">
        <f t="shared" si="4"/>
        <v>June</v>
      </c>
      <c r="M104" s="3" t="str">
        <f>VLOOKUP(D104,Lookup_Practice!$A$2:$B$7,2,FALSE)</f>
        <v>Premium</v>
      </c>
      <c r="N104" s="3" t="str">
        <f t="array" ref="N104">INDEX(Lookup_Practice!$B$2:$B$7,MATCH(D104,Lookup_Practice!$A$2:$A$7,0))</f>
        <v>Premium</v>
      </c>
      <c r="O104" s="3" t="str">
        <f t="array" ref="O104">XLOOKUP(D104,Lookup_Practice!$A$2:$A$7,Lookup_Practice!$B$2:$B$7)</f>
        <v>Premium</v>
      </c>
    </row>
    <row r="105">
      <c r="A105" s="1">
        <v>41.0</v>
      </c>
      <c r="B105" s="1" t="s">
        <v>14</v>
      </c>
      <c r="C105" s="1" t="s">
        <v>21</v>
      </c>
      <c r="D105" s="1" t="s">
        <v>22</v>
      </c>
      <c r="E105" s="1" t="s">
        <v>24</v>
      </c>
      <c r="F105" s="1">
        <v>738.0</v>
      </c>
      <c r="G105" s="1">
        <v>11.0</v>
      </c>
      <c r="H105" s="2">
        <v>45140.0</v>
      </c>
      <c r="I105" s="3" t="str">
        <f t="shared" si="1"/>
        <v>Middle Age (36-55)</v>
      </c>
      <c r="J105" s="3">
        <f t="shared" si="2"/>
        <v>8</v>
      </c>
      <c r="K105" s="3">
        <f t="shared" si="3"/>
        <v>2023</v>
      </c>
      <c r="L105" s="3" t="str">
        <f t="shared" si="4"/>
        <v>August</v>
      </c>
      <c r="M105" s="3" t="str">
        <f>VLOOKUP(D105,Lookup_Practice!$A$2:$B$7,2,FALSE)</f>
        <v>Basic</v>
      </c>
      <c r="N105" s="3" t="str">
        <f t="array" ref="N105">INDEX(Lookup_Practice!$B$2:$B$7,MATCH(D105,Lookup_Practice!$A$2:$A$7,0))</f>
        <v>Basic</v>
      </c>
      <c r="O105" s="3" t="str">
        <f t="array" ref="O105">XLOOKUP(D105,Lookup_Practice!$A$2:$A$7,Lookup_Practice!$B$2:$B$7)</f>
        <v>Basic</v>
      </c>
    </row>
    <row r="106">
      <c r="A106" s="1">
        <v>48.0</v>
      </c>
      <c r="B106" s="1" t="s">
        <v>18</v>
      </c>
      <c r="C106" s="1" t="s">
        <v>21</v>
      </c>
      <c r="D106" s="1" t="s">
        <v>26</v>
      </c>
      <c r="E106" s="1" t="s">
        <v>17</v>
      </c>
      <c r="F106" s="1">
        <v>427.0</v>
      </c>
      <c r="G106" s="1">
        <v>12.0</v>
      </c>
      <c r="H106" s="2">
        <v>45385.0</v>
      </c>
      <c r="I106" s="3" t="str">
        <f t="shared" si="1"/>
        <v>Middle Age (36-55)</v>
      </c>
      <c r="J106" s="3">
        <f t="shared" si="2"/>
        <v>4</v>
      </c>
      <c r="K106" s="3">
        <f t="shared" si="3"/>
        <v>2024</v>
      </c>
      <c r="L106" s="3" t="str">
        <f t="shared" si="4"/>
        <v>April</v>
      </c>
      <c r="M106" s="3" t="str">
        <f>VLOOKUP(D106,Lookup_Practice!$A$2:$B$7,2,FALSE)</f>
        <v>Premium</v>
      </c>
      <c r="N106" s="3" t="str">
        <f t="array" ref="N106">INDEX(Lookup_Practice!$B$2:$B$7,MATCH(D106,Lookup_Practice!$A$2:$A$7,0))</f>
        <v>Premium</v>
      </c>
      <c r="O106" s="3" t="str">
        <f t="array" ref="O106">XLOOKUP(D106,Lookup_Practice!$A$2:$A$7,Lookup_Practice!$B$2:$B$7)</f>
        <v>Premium</v>
      </c>
    </row>
    <row r="107">
      <c r="A107" s="1">
        <v>39.0</v>
      </c>
      <c r="B107" s="1" t="s">
        <v>14</v>
      </c>
      <c r="C107" s="1" t="s">
        <v>21</v>
      </c>
      <c r="D107" s="1" t="s">
        <v>20</v>
      </c>
      <c r="E107" s="1" t="s">
        <v>17</v>
      </c>
      <c r="F107" s="1">
        <v>1658.0</v>
      </c>
      <c r="G107" s="1">
        <v>1.0</v>
      </c>
      <c r="H107" s="2">
        <v>45652.0</v>
      </c>
      <c r="I107" s="3" t="str">
        <f t="shared" si="1"/>
        <v>Middle Age (36-55)</v>
      </c>
      <c r="J107" s="3">
        <f t="shared" si="2"/>
        <v>12</v>
      </c>
      <c r="K107" s="3">
        <f t="shared" si="3"/>
        <v>2024</v>
      </c>
      <c r="L107" s="3" t="str">
        <f t="shared" si="4"/>
        <v>December</v>
      </c>
      <c r="M107" s="3" t="str">
        <f>VLOOKUP(D107,Lookup_Practice!$A$2:$B$7,2,FALSE)</f>
        <v>Standard</v>
      </c>
      <c r="N107" s="3" t="str">
        <f t="array" ref="N107">INDEX(Lookup_Practice!$B$2:$B$7,MATCH(D107,Lookup_Practice!$A$2:$A$7,0))</f>
        <v>Standard</v>
      </c>
      <c r="O107" s="3" t="str">
        <f t="array" ref="O107">XLOOKUP(D107,Lookup_Practice!$A$2:$A$7,Lookup_Practice!$B$2:$B$7)</f>
        <v>Standard</v>
      </c>
    </row>
    <row r="108">
      <c r="A108" s="1">
        <v>69.0</v>
      </c>
      <c r="B108" s="1" t="s">
        <v>18</v>
      </c>
      <c r="C108" s="1" t="s">
        <v>19</v>
      </c>
      <c r="D108" s="1" t="s">
        <v>26</v>
      </c>
      <c r="E108" s="1" t="s">
        <v>24</v>
      </c>
      <c r="F108" s="1">
        <v>483.0</v>
      </c>
      <c r="G108" s="1">
        <v>17.0</v>
      </c>
      <c r="H108" s="2">
        <v>44947.0</v>
      </c>
      <c r="I108" s="3" t="str">
        <f t="shared" si="1"/>
        <v>Senior (56+)</v>
      </c>
      <c r="J108" s="3">
        <f t="shared" si="2"/>
        <v>1</v>
      </c>
      <c r="K108" s="3">
        <f t="shared" si="3"/>
        <v>2023</v>
      </c>
      <c r="L108" s="3" t="str">
        <f t="shared" si="4"/>
        <v>January</v>
      </c>
      <c r="M108" s="3" t="str">
        <f>VLOOKUP(D108,Lookup_Practice!$A$2:$B$7,2,FALSE)</f>
        <v>Premium</v>
      </c>
      <c r="N108" s="3" t="str">
        <f t="array" ref="N108">INDEX(Lookup_Practice!$B$2:$B$7,MATCH(D108,Lookup_Practice!$A$2:$A$7,0))</f>
        <v>Premium</v>
      </c>
      <c r="O108" s="3" t="str">
        <f t="array" ref="O108">XLOOKUP(D108,Lookup_Practice!$A$2:$A$7,Lookup_Practice!$B$2:$B$7)</f>
        <v>Premium</v>
      </c>
    </row>
    <row r="109">
      <c r="A109" s="1">
        <v>51.0</v>
      </c>
      <c r="B109" s="1" t="s">
        <v>14</v>
      </c>
      <c r="C109" s="1" t="s">
        <v>29</v>
      </c>
      <c r="D109" s="1" t="s">
        <v>26</v>
      </c>
      <c r="E109" s="1" t="s">
        <v>17</v>
      </c>
      <c r="F109" s="1">
        <v>554.0</v>
      </c>
      <c r="G109" s="1">
        <v>16.0</v>
      </c>
      <c r="H109" s="2">
        <v>45132.0</v>
      </c>
      <c r="I109" s="3" t="str">
        <f t="shared" si="1"/>
        <v>Middle Age (36-55)</v>
      </c>
      <c r="J109" s="3">
        <f t="shared" si="2"/>
        <v>7</v>
      </c>
      <c r="K109" s="3">
        <f t="shared" si="3"/>
        <v>2023</v>
      </c>
      <c r="L109" s="3" t="str">
        <f t="shared" si="4"/>
        <v>July</v>
      </c>
      <c r="M109" s="3" t="str">
        <f>VLOOKUP(D109,Lookup_Practice!$A$2:$B$7,2,FALSE)</f>
        <v>Premium</v>
      </c>
      <c r="N109" s="3" t="str">
        <f t="array" ref="N109">INDEX(Lookup_Practice!$B$2:$B$7,MATCH(D109,Lookup_Practice!$A$2:$A$7,0))</f>
        <v>Premium</v>
      </c>
      <c r="O109" s="3" t="str">
        <f t="array" ref="O109">XLOOKUP(D109,Lookup_Practice!$A$2:$A$7,Lookup_Practice!$B$2:$B$7)</f>
        <v>Premium</v>
      </c>
    </row>
    <row r="110">
      <c r="A110" s="1">
        <v>7.0</v>
      </c>
      <c r="B110" s="1" t="s">
        <v>14</v>
      </c>
      <c r="C110" s="1" t="s">
        <v>21</v>
      </c>
      <c r="D110" s="1" t="s">
        <v>23</v>
      </c>
      <c r="E110" s="1" t="s">
        <v>17</v>
      </c>
      <c r="F110" s="1">
        <v>1216.0</v>
      </c>
      <c r="G110" s="1">
        <v>11.0</v>
      </c>
      <c r="H110" s="2">
        <v>45005.0</v>
      </c>
      <c r="I110" s="3" t="str">
        <f t="shared" si="1"/>
        <v>Child (0-17)</v>
      </c>
      <c r="J110" s="3">
        <f t="shared" si="2"/>
        <v>3</v>
      </c>
      <c r="K110" s="3">
        <f t="shared" si="3"/>
        <v>2023</v>
      </c>
      <c r="L110" s="3" t="str">
        <f t="shared" si="4"/>
        <v>March</v>
      </c>
      <c r="M110" s="3" t="str">
        <f>VLOOKUP(D110,Lookup_Practice!$A$2:$B$7,2,FALSE)</f>
        <v>Standard</v>
      </c>
      <c r="N110" s="3" t="str">
        <f t="array" ref="N110">INDEX(Lookup_Practice!$B$2:$B$7,MATCH(D110,Lookup_Practice!$A$2:$A$7,0))</f>
        <v>Standard</v>
      </c>
      <c r="O110" s="3" t="str">
        <f t="array" ref="O110">XLOOKUP(D110,Lookup_Practice!$A$2:$A$7,Lookup_Practice!$B$2:$B$7)</f>
        <v>Standard</v>
      </c>
    </row>
    <row r="111">
      <c r="A111" s="1">
        <v>5.0</v>
      </c>
      <c r="B111" s="1" t="s">
        <v>18</v>
      </c>
      <c r="C111" s="1" t="s">
        <v>21</v>
      </c>
      <c r="D111" s="1" t="s">
        <v>16</v>
      </c>
      <c r="E111" s="1" t="s">
        <v>17</v>
      </c>
      <c r="F111" s="1">
        <v>901.0</v>
      </c>
      <c r="G111" s="1">
        <v>13.0</v>
      </c>
      <c r="H111" s="2">
        <v>45094.0</v>
      </c>
      <c r="I111" s="3" t="str">
        <f t="shared" si="1"/>
        <v>Child (0-17)</v>
      </c>
      <c r="J111" s="3">
        <f t="shared" si="2"/>
        <v>6</v>
      </c>
      <c r="K111" s="3">
        <f t="shared" si="3"/>
        <v>2023</v>
      </c>
      <c r="L111" s="3" t="str">
        <f t="shared" si="4"/>
        <v>June</v>
      </c>
      <c r="M111" s="3" t="str">
        <f>VLOOKUP(D111,Lookup_Practice!$A$2:$B$7,2,FALSE)</f>
        <v>Premium</v>
      </c>
      <c r="N111" s="3" t="str">
        <f t="array" ref="N111">INDEX(Lookup_Practice!$B$2:$B$7,MATCH(D111,Lookup_Practice!$A$2:$A$7,0))</f>
        <v>Premium</v>
      </c>
      <c r="O111" s="3" t="str">
        <f t="array" ref="O111">XLOOKUP(D111,Lookup_Practice!$A$2:$A$7,Lookup_Practice!$B$2:$B$7)</f>
        <v>Premium</v>
      </c>
    </row>
    <row r="112">
      <c r="A112" s="1">
        <v>9.0</v>
      </c>
      <c r="B112" s="1" t="s">
        <v>18</v>
      </c>
      <c r="C112" s="1" t="s">
        <v>21</v>
      </c>
      <c r="D112" s="1" t="s">
        <v>30</v>
      </c>
      <c r="E112" s="1" t="s">
        <v>28</v>
      </c>
      <c r="F112" s="1">
        <v>992.0</v>
      </c>
      <c r="G112" s="1">
        <v>18.0</v>
      </c>
      <c r="H112" s="2">
        <v>45342.0</v>
      </c>
      <c r="I112" s="3" t="str">
        <f t="shared" si="1"/>
        <v>Child (0-17)</v>
      </c>
      <c r="J112" s="3">
        <f t="shared" si="2"/>
        <v>2</v>
      </c>
      <c r="K112" s="3">
        <f t="shared" si="3"/>
        <v>2024</v>
      </c>
      <c r="L112" s="3" t="str">
        <f t="shared" si="4"/>
        <v>February</v>
      </c>
      <c r="M112" s="3" t="str">
        <f>VLOOKUP(D112,Lookup_Practice!$A$2:$B$7,2,FALSE)</f>
        <v>Standard</v>
      </c>
      <c r="N112" s="3" t="str">
        <f t="array" ref="N112">INDEX(Lookup_Practice!$B$2:$B$7,MATCH(D112,Lookup_Practice!$A$2:$A$7,0))</f>
        <v>Standard</v>
      </c>
      <c r="O112" s="3" t="str">
        <f t="array" ref="O112">XLOOKUP(D112,Lookup_Practice!$A$2:$A$7,Lookup_Practice!$B$2:$B$7)</f>
        <v>Standard</v>
      </c>
    </row>
    <row r="113">
      <c r="A113" s="1">
        <v>18.0</v>
      </c>
      <c r="B113" s="1" t="s">
        <v>18</v>
      </c>
      <c r="C113" s="1" t="s">
        <v>15</v>
      </c>
      <c r="D113" s="1" t="s">
        <v>22</v>
      </c>
      <c r="E113" s="1" t="s">
        <v>17</v>
      </c>
      <c r="F113" s="1">
        <v>865.0</v>
      </c>
      <c r="G113" s="1">
        <v>11.0</v>
      </c>
      <c r="H113" s="2">
        <v>45191.0</v>
      </c>
      <c r="I113" s="3" t="str">
        <f t="shared" si="1"/>
        <v>Young Adult (18-35)</v>
      </c>
      <c r="J113" s="3">
        <f t="shared" si="2"/>
        <v>9</v>
      </c>
      <c r="K113" s="3">
        <f t="shared" si="3"/>
        <v>2023</v>
      </c>
      <c r="L113" s="3" t="str">
        <f t="shared" si="4"/>
        <v>September</v>
      </c>
      <c r="M113" s="3" t="str">
        <f>VLOOKUP(D113,Lookup_Practice!$A$2:$B$7,2,FALSE)</f>
        <v>Basic</v>
      </c>
      <c r="N113" s="3" t="str">
        <f t="array" ref="N113">INDEX(Lookup_Practice!$B$2:$B$7,MATCH(D113,Lookup_Practice!$A$2:$A$7,0))</f>
        <v>Basic</v>
      </c>
      <c r="O113" s="3" t="str">
        <f t="array" ref="O113">XLOOKUP(D113,Lookup_Practice!$A$2:$A$7,Lookup_Practice!$B$2:$B$7)</f>
        <v>Basic</v>
      </c>
    </row>
    <row r="114">
      <c r="A114" s="1">
        <v>31.0</v>
      </c>
      <c r="B114" s="1" t="s">
        <v>18</v>
      </c>
      <c r="C114" s="1" t="s">
        <v>15</v>
      </c>
      <c r="D114" s="1" t="s">
        <v>26</v>
      </c>
      <c r="E114" s="1" t="s">
        <v>17</v>
      </c>
      <c r="F114" s="1">
        <v>695.0</v>
      </c>
      <c r="G114" s="1">
        <v>12.0</v>
      </c>
      <c r="H114" s="2">
        <v>45312.0</v>
      </c>
      <c r="I114" s="3" t="str">
        <f t="shared" si="1"/>
        <v>Young Adult (18-35)</v>
      </c>
      <c r="J114" s="3">
        <f t="shared" si="2"/>
        <v>1</v>
      </c>
      <c r="K114" s="3">
        <f t="shared" si="3"/>
        <v>2024</v>
      </c>
      <c r="L114" s="3" t="str">
        <f t="shared" si="4"/>
        <v>January</v>
      </c>
      <c r="M114" s="3" t="str">
        <f>VLOOKUP(D114,Lookup_Practice!$A$2:$B$7,2,FALSE)</f>
        <v>Premium</v>
      </c>
      <c r="N114" s="3" t="str">
        <f t="array" ref="N114">INDEX(Lookup_Practice!$B$2:$B$7,MATCH(D114,Lookup_Practice!$A$2:$A$7,0))</f>
        <v>Premium</v>
      </c>
      <c r="O114" s="3" t="str">
        <f t="array" ref="O114">XLOOKUP(D114,Lookup_Practice!$A$2:$A$7,Lookup_Practice!$B$2:$B$7)</f>
        <v>Premium</v>
      </c>
    </row>
    <row r="115">
      <c r="A115" s="1">
        <v>13.0</v>
      </c>
      <c r="B115" s="1" t="s">
        <v>18</v>
      </c>
      <c r="C115" s="1" t="s">
        <v>31</v>
      </c>
      <c r="D115" s="1" t="s">
        <v>22</v>
      </c>
      <c r="E115" s="1" t="s">
        <v>17</v>
      </c>
      <c r="F115" s="1">
        <v>957.0</v>
      </c>
      <c r="G115" s="1">
        <v>6.0</v>
      </c>
      <c r="H115" s="2">
        <v>45078.0</v>
      </c>
      <c r="I115" s="3" t="str">
        <f t="shared" si="1"/>
        <v>Child (0-17)</v>
      </c>
      <c r="J115" s="3">
        <f t="shared" si="2"/>
        <v>6</v>
      </c>
      <c r="K115" s="3">
        <f t="shared" si="3"/>
        <v>2023</v>
      </c>
      <c r="L115" s="3" t="str">
        <f t="shared" si="4"/>
        <v>June</v>
      </c>
      <c r="M115" s="3" t="str">
        <f>VLOOKUP(D115,Lookup_Practice!$A$2:$B$7,2,FALSE)</f>
        <v>Basic</v>
      </c>
      <c r="N115" s="3" t="str">
        <f t="array" ref="N115">INDEX(Lookup_Practice!$B$2:$B$7,MATCH(D115,Lookup_Practice!$A$2:$A$7,0))</f>
        <v>Basic</v>
      </c>
      <c r="O115" s="3" t="str">
        <f t="array" ref="O115">XLOOKUP(D115,Lookup_Practice!$A$2:$A$7,Lookup_Practice!$B$2:$B$7)</f>
        <v>Basic</v>
      </c>
    </row>
    <row r="116">
      <c r="A116" s="1">
        <v>19.0</v>
      </c>
      <c r="B116" s="1" t="s">
        <v>18</v>
      </c>
      <c r="C116" s="1" t="s">
        <v>21</v>
      </c>
      <c r="D116" s="1" t="s">
        <v>16</v>
      </c>
      <c r="E116" s="1" t="s">
        <v>17</v>
      </c>
      <c r="F116" s="1">
        <v>980.0</v>
      </c>
      <c r="G116" s="1">
        <v>9.0</v>
      </c>
      <c r="H116" s="2">
        <v>45097.0</v>
      </c>
      <c r="I116" s="3" t="str">
        <f t="shared" si="1"/>
        <v>Young Adult (18-35)</v>
      </c>
      <c r="J116" s="3">
        <f t="shared" si="2"/>
        <v>6</v>
      </c>
      <c r="K116" s="3">
        <f t="shared" si="3"/>
        <v>2023</v>
      </c>
      <c r="L116" s="3" t="str">
        <f t="shared" si="4"/>
        <v>June</v>
      </c>
      <c r="M116" s="3" t="str">
        <f>VLOOKUP(D116,Lookup_Practice!$A$2:$B$7,2,FALSE)</f>
        <v>Premium</v>
      </c>
      <c r="N116" s="3" t="str">
        <f t="array" ref="N116">INDEX(Lookup_Practice!$B$2:$B$7,MATCH(D116,Lookup_Practice!$A$2:$A$7,0))</f>
        <v>Premium</v>
      </c>
      <c r="O116" s="3" t="str">
        <f t="array" ref="O116">XLOOKUP(D116,Lookup_Practice!$A$2:$A$7,Lookup_Practice!$B$2:$B$7)</f>
        <v>Premium</v>
      </c>
    </row>
    <row r="117">
      <c r="A117" s="1">
        <v>46.0</v>
      </c>
      <c r="B117" s="1" t="s">
        <v>18</v>
      </c>
      <c r="C117" s="1" t="s">
        <v>31</v>
      </c>
      <c r="D117" s="1" t="s">
        <v>16</v>
      </c>
      <c r="E117" s="1" t="s">
        <v>24</v>
      </c>
      <c r="F117" s="1">
        <v>1167.0</v>
      </c>
      <c r="G117" s="1">
        <v>16.0</v>
      </c>
      <c r="H117" s="2">
        <v>45052.0</v>
      </c>
      <c r="I117" s="3" t="str">
        <f t="shared" si="1"/>
        <v>Middle Age (36-55)</v>
      </c>
      <c r="J117" s="3">
        <f t="shared" si="2"/>
        <v>5</v>
      </c>
      <c r="K117" s="3">
        <f t="shared" si="3"/>
        <v>2023</v>
      </c>
      <c r="L117" s="3" t="str">
        <f t="shared" si="4"/>
        <v>May</v>
      </c>
      <c r="M117" s="3" t="str">
        <f>VLOOKUP(D117,Lookup_Practice!$A$2:$B$7,2,FALSE)</f>
        <v>Premium</v>
      </c>
      <c r="N117" s="3" t="str">
        <f t="array" ref="N117">INDEX(Lookup_Practice!$B$2:$B$7,MATCH(D117,Lookup_Practice!$A$2:$A$7,0))</f>
        <v>Premium</v>
      </c>
      <c r="O117" s="3" t="str">
        <f t="array" ref="O117">XLOOKUP(D117,Lookup_Practice!$A$2:$A$7,Lookup_Practice!$B$2:$B$7)</f>
        <v>Premium</v>
      </c>
    </row>
    <row r="118">
      <c r="A118" s="1">
        <v>55.0</v>
      </c>
      <c r="B118" s="1" t="s">
        <v>14</v>
      </c>
      <c r="C118" s="1" t="s">
        <v>32</v>
      </c>
      <c r="D118" s="1" t="s">
        <v>26</v>
      </c>
      <c r="E118" s="1" t="s">
        <v>24</v>
      </c>
      <c r="F118" s="1">
        <v>634.0</v>
      </c>
      <c r="G118" s="1">
        <v>4.0</v>
      </c>
      <c r="H118" s="2">
        <v>45061.0</v>
      </c>
      <c r="I118" s="3" t="str">
        <f t="shared" si="1"/>
        <v>Middle Age (36-55)</v>
      </c>
      <c r="J118" s="3">
        <f t="shared" si="2"/>
        <v>5</v>
      </c>
      <c r="K118" s="3">
        <f t="shared" si="3"/>
        <v>2023</v>
      </c>
      <c r="L118" s="3" t="str">
        <f t="shared" si="4"/>
        <v>May</v>
      </c>
      <c r="M118" s="3" t="str">
        <f>VLOOKUP(D118,Lookup_Practice!$A$2:$B$7,2,FALSE)</f>
        <v>Premium</v>
      </c>
      <c r="N118" s="3" t="str">
        <f t="array" ref="N118">INDEX(Lookup_Practice!$B$2:$B$7,MATCH(D118,Lookup_Practice!$A$2:$A$7,0))</f>
        <v>Premium</v>
      </c>
      <c r="O118" s="3" t="str">
        <f t="array" ref="O118">XLOOKUP(D118,Lookup_Practice!$A$2:$A$7,Lookup_Practice!$B$2:$B$7)</f>
        <v>Premium</v>
      </c>
    </row>
    <row r="119">
      <c r="A119" s="1">
        <v>67.0</v>
      </c>
      <c r="B119" s="1" t="s">
        <v>14</v>
      </c>
      <c r="C119" s="1" t="s">
        <v>21</v>
      </c>
      <c r="D119" s="1" t="s">
        <v>20</v>
      </c>
      <c r="E119" s="1" t="s">
        <v>17</v>
      </c>
      <c r="F119" s="1">
        <v>1612.0</v>
      </c>
      <c r="G119" s="1">
        <v>3.0</v>
      </c>
      <c r="H119" s="2">
        <v>44952.0</v>
      </c>
      <c r="I119" s="3" t="str">
        <f t="shared" si="1"/>
        <v>Senior (56+)</v>
      </c>
      <c r="J119" s="3">
        <f t="shared" si="2"/>
        <v>1</v>
      </c>
      <c r="K119" s="3">
        <f t="shared" si="3"/>
        <v>2023</v>
      </c>
      <c r="L119" s="3" t="str">
        <f t="shared" si="4"/>
        <v>January</v>
      </c>
      <c r="M119" s="3" t="str">
        <f>VLOOKUP(D119,Lookup_Practice!$A$2:$B$7,2,FALSE)</f>
        <v>Standard</v>
      </c>
      <c r="N119" s="3" t="str">
        <f t="array" ref="N119">INDEX(Lookup_Practice!$B$2:$B$7,MATCH(D119,Lookup_Practice!$A$2:$A$7,0))</f>
        <v>Standard</v>
      </c>
      <c r="O119" s="3" t="str">
        <f t="array" ref="O119">XLOOKUP(D119,Lookup_Practice!$A$2:$A$7,Lookup_Practice!$B$2:$B$7)</f>
        <v>Standard</v>
      </c>
    </row>
    <row r="120">
      <c r="A120" s="1">
        <v>56.0</v>
      </c>
      <c r="B120" s="1" t="s">
        <v>14</v>
      </c>
      <c r="C120" s="1" t="s">
        <v>31</v>
      </c>
      <c r="D120" s="1" t="s">
        <v>26</v>
      </c>
      <c r="E120" s="1" t="s">
        <v>17</v>
      </c>
      <c r="F120" s="1">
        <v>461.0</v>
      </c>
      <c r="G120" s="1">
        <v>16.0</v>
      </c>
      <c r="H120" s="2">
        <v>45591.0</v>
      </c>
      <c r="I120" s="3" t="str">
        <f t="shared" si="1"/>
        <v>Senior (56+)</v>
      </c>
      <c r="J120" s="3">
        <f t="shared" si="2"/>
        <v>10</v>
      </c>
      <c r="K120" s="3">
        <f t="shared" si="3"/>
        <v>2024</v>
      </c>
      <c r="L120" s="3" t="str">
        <f t="shared" si="4"/>
        <v>October</v>
      </c>
      <c r="M120" s="3" t="str">
        <f>VLOOKUP(D120,Lookup_Practice!$A$2:$B$7,2,FALSE)</f>
        <v>Premium</v>
      </c>
      <c r="N120" s="3" t="str">
        <f t="array" ref="N120">INDEX(Lookup_Practice!$B$2:$B$7,MATCH(D120,Lookup_Practice!$A$2:$A$7,0))</f>
        <v>Premium</v>
      </c>
      <c r="O120" s="3" t="str">
        <f t="array" ref="O120">XLOOKUP(D120,Lookup_Practice!$A$2:$A$7,Lookup_Practice!$B$2:$B$7)</f>
        <v>Premium</v>
      </c>
    </row>
    <row r="121">
      <c r="A121" s="1">
        <v>8.0</v>
      </c>
      <c r="B121" s="1" t="s">
        <v>18</v>
      </c>
      <c r="C121" s="1" t="s">
        <v>25</v>
      </c>
      <c r="D121" s="1" t="s">
        <v>23</v>
      </c>
      <c r="E121" s="1" t="s">
        <v>17</v>
      </c>
      <c r="F121" s="1">
        <v>1148.0</v>
      </c>
      <c r="G121" s="1">
        <v>12.0</v>
      </c>
      <c r="H121" s="2">
        <v>45274.0</v>
      </c>
      <c r="I121" s="3" t="str">
        <f t="shared" si="1"/>
        <v>Child (0-17)</v>
      </c>
      <c r="J121" s="3">
        <f t="shared" si="2"/>
        <v>12</v>
      </c>
      <c r="K121" s="3">
        <f t="shared" si="3"/>
        <v>2023</v>
      </c>
      <c r="L121" s="3" t="str">
        <f t="shared" si="4"/>
        <v>December</v>
      </c>
      <c r="M121" s="3" t="str">
        <f>VLOOKUP(D121,Lookup_Practice!$A$2:$B$7,2,FALSE)</f>
        <v>Standard</v>
      </c>
      <c r="N121" s="3" t="str">
        <f t="array" ref="N121">INDEX(Lookup_Practice!$B$2:$B$7,MATCH(D121,Lookup_Practice!$A$2:$A$7,0))</f>
        <v>Standard</v>
      </c>
      <c r="O121" s="3" t="str">
        <f t="array" ref="O121">XLOOKUP(D121,Lookup_Practice!$A$2:$A$7,Lookup_Practice!$B$2:$B$7)</f>
        <v>Standard</v>
      </c>
    </row>
    <row r="122">
      <c r="A122" s="1">
        <v>27.0</v>
      </c>
      <c r="B122" s="1" t="s">
        <v>14</v>
      </c>
      <c r="C122" s="1" t="s">
        <v>15</v>
      </c>
      <c r="D122" s="1" t="s">
        <v>30</v>
      </c>
      <c r="E122" s="1" t="s">
        <v>17</v>
      </c>
      <c r="F122" s="1">
        <v>1026.0</v>
      </c>
      <c r="G122" s="1">
        <v>11.0</v>
      </c>
      <c r="H122" s="2">
        <v>45066.0</v>
      </c>
      <c r="I122" s="3" t="str">
        <f t="shared" si="1"/>
        <v>Young Adult (18-35)</v>
      </c>
      <c r="J122" s="3">
        <f t="shared" si="2"/>
        <v>5</v>
      </c>
      <c r="K122" s="3">
        <f t="shared" si="3"/>
        <v>2023</v>
      </c>
      <c r="L122" s="3" t="str">
        <f t="shared" si="4"/>
        <v>May</v>
      </c>
      <c r="M122" s="3" t="str">
        <f>VLOOKUP(D122,Lookup_Practice!$A$2:$B$7,2,FALSE)</f>
        <v>Standard</v>
      </c>
      <c r="N122" s="3" t="str">
        <f t="array" ref="N122">INDEX(Lookup_Practice!$B$2:$B$7,MATCH(D122,Lookup_Practice!$A$2:$A$7,0))</f>
        <v>Standard</v>
      </c>
      <c r="O122" s="3" t="str">
        <f t="array" ref="O122">XLOOKUP(D122,Lookup_Practice!$A$2:$A$7,Lookup_Practice!$B$2:$B$7)</f>
        <v>Standard</v>
      </c>
    </row>
    <row r="123">
      <c r="A123" s="1">
        <v>19.0</v>
      </c>
      <c r="B123" s="1" t="s">
        <v>18</v>
      </c>
      <c r="C123" s="1" t="s">
        <v>15</v>
      </c>
      <c r="D123" s="1" t="s">
        <v>20</v>
      </c>
      <c r="E123" s="1" t="s">
        <v>17</v>
      </c>
      <c r="F123" s="1">
        <v>1622.0</v>
      </c>
      <c r="G123" s="1">
        <v>5.0</v>
      </c>
      <c r="H123" s="2">
        <v>44972.0</v>
      </c>
      <c r="I123" s="3" t="str">
        <f t="shared" si="1"/>
        <v>Young Adult (18-35)</v>
      </c>
      <c r="J123" s="3">
        <f t="shared" si="2"/>
        <v>2</v>
      </c>
      <c r="K123" s="3">
        <f t="shared" si="3"/>
        <v>2023</v>
      </c>
      <c r="L123" s="3" t="str">
        <f t="shared" si="4"/>
        <v>February</v>
      </c>
      <c r="M123" s="3" t="str">
        <f>VLOOKUP(D123,Lookup_Practice!$A$2:$B$7,2,FALSE)</f>
        <v>Standard</v>
      </c>
      <c r="N123" s="3" t="str">
        <f t="array" ref="N123">INDEX(Lookup_Practice!$B$2:$B$7,MATCH(D123,Lookup_Practice!$A$2:$A$7,0))</f>
        <v>Standard</v>
      </c>
      <c r="O123" s="3" t="str">
        <f t="array" ref="O123">XLOOKUP(D123,Lookup_Practice!$A$2:$A$7,Lookup_Practice!$B$2:$B$7)</f>
        <v>Standard</v>
      </c>
    </row>
    <row r="124">
      <c r="A124" s="1">
        <v>47.0</v>
      </c>
      <c r="B124" s="1" t="s">
        <v>18</v>
      </c>
      <c r="C124" s="1" t="s">
        <v>31</v>
      </c>
      <c r="D124" s="1" t="s">
        <v>26</v>
      </c>
      <c r="E124" s="1" t="s">
        <v>24</v>
      </c>
      <c r="F124" s="1">
        <v>678.0</v>
      </c>
      <c r="G124" s="1">
        <v>18.0</v>
      </c>
      <c r="H124" s="2">
        <v>45487.0</v>
      </c>
      <c r="I124" s="3" t="str">
        <f t="shared" si="1"/>
        <v>Middle Age (36-55)</v>
      </c>
      <c r="J124" s="3">
        <f t="shared" si="2"/>
        <v>7</v>
      </c>
      <c r="K124" s="3">
        <f t="shared" si="3"/>
        <v>2024</v>
      </c>
      <c r="L124" s="3" t="str">
        <f t="shared" si="4"/>
        <v>July</v>
      </c>
      <c r="M124" s="3" t="str">
        <f>VLOOKUP(D124,Lookup_Practice!$A$2:$B$7,2,FALSE)</f>
        <v>Premium</v>
      </c>
      <c r="N124" s="3" t="str">
        <f t="array" ref="N124">INDEX(Lookup_Practice!$B$2:$B$7,MATCH(D124,Lookup_Practice!$A$2:$A$7,0))</f>
        <v>Premium</v>
      </c>
      <c r="O124" s="3" t="str">
        <f t="array" ref="O124">XLOOKUP(D124,Lookup_Practice!$A$2:$A$7,Lookup_Practice!$B$2:$B$7)</f>
        <v>Premium</v>
      </c>
    </row>
    <row r="125">
      <c r="A125" s="1">
        <v>33.0</v>
      </c>
      <c r="B125" s="1" t="s">
        <v>14</v>
      </c>
      <c r="C125" s="1" t="s">
        <v>25</v>
      </c>
      <c r="D125" s="1" t="s">
        <v>22</v>
      </c>
      <c r="E125" s="1" t="s">
        <v>17</v>
      </c>
      <c r="F125" s="1">
        <v>993.0</v>
      </c>
      <c r="G125" s="1">
        <v>19.0</v>
      </c>
      <c r="H125" s="2">
        <v>45376.0</v>
      </c>
      <c r="I125" s="3" t="str">
        <f t="shared" si="1"/>
        <v>Young Adult (18-35)</v>
      </c>
      <c r="J125" s="3">
        <f t="shared" si="2"/>
        <v>3</v>
      </c>
      <c r="K125" s="3">
        <f t="shared" si="3"/>
        <v>2024</v>
      </c>
      <c r="L125" s="3" t="str">
        <f t="shared" si="4"/>
        <v>March</v>
      </c>
      <c r="M125" s="3" t="str">
        <f>VLOOKUP(D125,Lookup_Practice!$A$2:$B$7,2,FALSE)</f>
        <v>Basic</v>
      </c>
      <c r="N125" s="3" t="str">
        <f t="array" ref="N125">INDEX(Lookup_Practice!$B$2:$B$7,MATCH(D125,Lookup_Practice!$A$2:$A$7,0))</f>
        <v>Basic</v>
      </c>
      <c r="O125" s="3" t="str">
        <f t="array" ref="O125">XLOOKUP(D125,Lookup_Practice!$A$2:$A$7,Lookup_Practice!$B$2:$B$7)</f>
        <v>Basic</v>
      </c>
    </row>
    <row r="126">
      <c r="A126" s="1">
        <v>40.0</v>
      </c>
      <c r="B126" s="1" t="s">
        <v>18</v>
      </c>
      <c r="C126" s="1" t="s">
        <v>31</v>
      </c>
      <c r="D126" s="1" t="s">
        <v>20</v>
      </c>
      <c r="E126" s="1" t="s">
        <v>17</v>
      </c>
      <c r="F126" s="1">
        <v>1683.0</v>
      </c>
      <c r="G126" s="1">
        <v>6.0</v>
      </c>
      <c r="H126" s="2">
        <v>45403.0</v>
      </c>
      <c r="I126" s="3" t="str">
        <f t="shared" si="1"/>
        <v>Middle Age (36-55)</v>
      </c>
      <c r="J126" s="3">
        <f t="shared" si="2"/>
        <v>4</v>
      </c>
      <c r="K126" s="3">
        <f t="shared" si="3"/>
        <v>2024</v>
      </c>
      <c r="L126" s="3" t="str">
        <f t="shared" si="4"/>
        <v>April</v>
      </c>
      <c r="M126" s="3" t="str">
        <f>VLOOKUP(D126,Lookup_Practice!$A$2:$B$7,2,FALSE)</f>
        <v>Standard</v>
      </c>
      <c r="N126" s="3" t="str">
        <f t="array" ref="N126">INDEX(Lookup_Practice!$B$2:$B$7,MATCH(D126,Lookup_Practice!$A$2:$A$7,0))</f>
        <v>Standard</v>
      </c>
      <c r="O126" s="3" t="str">
        <f t="array" ref="O126">XLOOKUP(D126,Lookup_Practice!$A$2:$A$7,Lookup_Practice!$B$2:$B$7)</f>
        <v>Standard</v>
      </c>
    </row>
    <row r="127">
      <c r="A127" s="1">
        <v>17.0</v>
      </c>
      <c r="B127" s="1" t="s">
        <v>14</v>
      </c>
      <c r="C127" s="1" t="s">
        <v>27</v>
      </c>
      <c r="D127" s="1" t="s">
        <v>20</v>
      </c>
      <c r="E127" s="1" t="s">
        <v>17</v>
      </c>
      <c r="F127" s="1">
        <v>1676.0</v>
      </c>
      <c r="G127" s="1">
        <v>18.0</v>
      </c>
      <c r="H127" s="2">
        <v>45375.0</v>
      </c>
      <c r="I127" s="3" t="str">
        <f t="shared" si="1"/>
        <v>Child (0-17)</v>
      </c>
      <c r="J127" s="3">
        <f t="shared" si="2"/>
        <v>3</v>
      </c>
      <c r="K127" s="3">
        <f t="shared" si="3"/>
        <v>2024</v>
      </c>
      <c r="L127" s="3" t="str">
        <f t="shared" si="4"/>
        <v>March</v>
      </c>
      <c r="M127" s="3" t="str">
        <f>VLOOKUP(D127,Lookup_Practice!$A$2:$B$7,2,FALSE)</f>
        <v>Standard</v>
      </c>
      <c r="N127" s="3" t="str">
        <f t="array" ref="N127">INDEX(Lookup_Practice!$B$2:$B$7,MATCH(D127,Lookup_Practice!$A$2:$A$7,0))</f>
        <v>Standard</v>
      </c>
      <c r="O127" s="3" t="str">
        <f t="array" ref="O127">XLOOKUP(D127,Lookup_Practice!$A$2:$A$7,Lookup_Practice!$B$2:$B$7)</f>
        <v>Standard</v>
      </c>
    </row>
    <row r="128">
      <c r="A128" s="1">
        <v>36.0</v>
      </c>
      <c r="B128" s="1" t="s">
        <v>14</v>
      </c>
      <c r="C128" s="1" t="s">
        <v>25</v>
      </c>
      <c r="D128" s="1" t="s">
        <v>26</v>
      </c>
      <c r="E128" s="1" t="s">
        <v>24</v>
      </c>
      <c r="F128" s="1">
        <v>506.0</v>
      </c>
      <c r="G128" s="1">
        <v>6.0</v>
      </c>
      <c r="H128" s="2">
        <v>45010.0</v>
      </c>
      <c r="I128" s="3" t="str">
        <f t="shared" si="1"/>
        <v>Middle Age (36-55)</v>
      </c>
      <c r="J128" s="3">
        <f t="shared" si="2"/>
        <v>3</v>
      </c>
      <c r="K128" s="3">
        <f t="shared" si="3"/>
        <v>2023</v>
      </c>
      <c r="L128" s="3" t="str">
        <f t="shared" si="4"/>
        <v>March</v>
      </c>
      <c r="M128" s="3" t="str">
        <f>VLOOKUP(D128,Lookup_Practice!$A$2:$B$7,2,FALSE)</f>
        <v>Premium</v>
      </c>
      <c r="N128" s="3" t="str">
        <f t="array" ref="N128">INDEX(Lookup_Practice!$B$2:$B$7,MATCH(D128,Lookup_Practice!$A$2:$A$7,0))</f>
        <v>Premium</v>
      </c>
      <c r="O128" s="3" t="str">
        <f t="array" ref="O128">XLOOKUP(D128,Lookup_Practice!$A$2:$A$7,Lookup_Practice!$B$2:$B$7)</f>
        <v>Premium</v>
      </c>
    </row>
    <row r="129">
      <c r="A129" s="1">
        <v>75.0</v>
      </c>
      <c r="B129" s="1" t="s">
        <v>18</v>
      </c>
      <c r="C129" s="1" t="s">
        <v>32</v>
      </c>
      <c r="D129" s="1" t="s">
        <v>20</v>
      </c>
      <c r="E129" s="1" t="s">
        <v>24</v>
      </c>
      <c r="F129" s="1">
        <v>1545.0</v>
      </c>
      <c r="G129" s="1">
        <v>4.0</v>
      </c>
      <c r="H129" s="2">
        <v>45042.0</v>
      </c>
      <c r="I129" s="3" t="str">
        <f t="shared" si="1"/>
        <v>Senior (56+)</v>
      </c>
      <c r="J129" s="3">
        <f t="shared" si="2"/>
        <v>4</v>
      </c>
      <c r="K129" s="3">
        <f t="shared" si="3"/>
        <v>2023</v>
      </c>
      <c r="L129" s="3" t="str">
        <f t="shared" si="4"/>
        <v>April</v>
      </c>
      <c r="M129" s="3" t="str">
        <f>VLOOKUP(D129,Lookup_Practice!$A$2:$B$7,2,FALSE)</f>
        <v>Standard</v>
      </c>
      <c r="N129" s="3" t="str">
        <f t="array" ref="N129">INDEX(Lookup_Practice!$B$2:$B$7,MATCH(D129,Lookup_Practice!$A$2:$A$7,0))</f>
        <v>Standard</v>
      </c>
      <c r="O129" s="3" t="str">
        <f t="array" ref="O129">XLOOKUP(D129,Lookup_Practice!$A$2:$A$7,Lookup_Practice!$B$2:$B$7)</f>
        <v>Standard</v>
      </c>
    </row>
    <row r="130">
      <c r="A130" s="1">
        <v>63.0</v>
      </c>
      <c r="B130" s="1" t="s">
        <v>18</v>
      </c>
      <c r="C130" s="1" t="s">
        <v>25</v>
      </c>
      <c r="D130" s="1" t="s">
        <v>22</v>
      </c>
      <c r="E130" s="1" t="s">
        <v>28</v>
      </c>
      <c r="F130" s="1">
        <v>798.0</v>
      </c>
      <c r="G130" s="1">
        <v>12.0</v>
      </c>
      <c r="H130" s="2">
        <v>45051.0</v>
      </c>
      <c r="I130" s="3" t="str">
        <f t="shared" si="1"/>
        <v>Senior (56+)</v>
      </c>
      <c r="J130" s="3">
        <f t="shared" si="2"/>
        <v>5</v>
      </c>
      <c r="K130" s="3">
        <f t="shared" si="3"/>
        <v>2023</v>
      </c>
      <c r="L130" s="3" t="str">
        <f t="shared" si="4"/>
        <v>May</v>
      </c>
      <c r="M130" s="3" t="str">
        <f>VLOOKUP(D130,Lookup_Practice!$A$2:$B$7,2,FALSE)</f>
        <v>Basic</v>
      </c>
      <c r="N130" s="3" t="str">
        <f t="array" ref="N130">INDEX(Lookup_Practice!$B$2:$B$7,MATCH(D130,Lookup_Practice!$A$2:$A$7,0))</f>
        <v>Basic</v>
      </c>
      <c r="O130" s="3" t="str">
        <f t="array" ref="O130">XLOOKUP(D130,Lookup_Practice!$A$2:$A$7,Lookup_Practice!$B$2:$B$7)</f>
        <v>Basic</v>
      </c>
    </row>
    <row r="131">
      <c r="A131" s="1">
        <v>32.0</v>
      </c>
      <c r="B131" s="1" t="s">
        <v>18</v>
      </c>
      <c r="C131" s="1" t="s">
        <v>25</v>
      </c>
      <c r="D131" s="1" t="s">
        <v>16</v>
      </c>
      <c r="E131" s="1" t="s">
        <v>17</v>
      </c>
      <c r="F131" s="1">
        <v>972.0</v>
      </c>
      <c r="G131" s="1">
        <v>19.0</v>
      </c>
      <c r="H131" s="2">
        <v>45297.0</v>
      </c>
      <c r="I131" s="3" t="str">
        <f t="shared" si="1"/>
        <v>Young Adult (18-35)</v>
      </c>
      <c r="J131" s="3">
        <f t="shared" si="2"/>
        <v>1</v>
      </c>
      <c r="K131" s="3">
        <f t="shared" si="3"/>
        <v>2024</v>
      </c>
      <c r="L131" s="3" t="str">
        <f t="shared" si="4"/>
        <v>January</v>
      </c>
      <c r="M131" s="3" t="str">
        <f>VLOOKUP(D131,Lookup_Practice!$A$2:$B$7,2,FALSE)</f>
        <v>Premium</v>
      </c>
      <c r="N131" s="3" t="str">
        <f t="array" ref="N131">INDEX(Lookup_Practice!$B$2:$B$7,MATCH(D131,Lookup_Practice!$A$2:$A$7,0))</f>
        <v>Premium</v>
      </c>
      <c r="O131" s="3" t="str">
        <f t="array" ref="O131">XLOOKUP(D131,Lookup_Practice!$A$2:$A$7,Lookup_Practice!$B$2:$B$7)</f>
        <v>Premium</v>
      </c>
    </row>
    <row r="132">
      <c r="A132" s="1">
        <v>70.0</v>
      </c>
      <c r="B132" s="1" t="s">
        <v>14</v>
      </c>
      <c r="C132" s="1" t="s">
        <v>25</v>
      </c>
      <c r="D132" s="1" t="s">
        <v>20</v>
      </c>
      <c r="E132" s="1" t="s">
        <v>17</v>
      </c>
      <c r="F132" s="1">
        <v>1521.0</v>
      </c>
      <c r="G132" s="1">
        <v>2.0</v>
      </c>
      <c r="H132" s="2">
        <v>45033.0</v>
      </c>
      <c r="I132" s="3" t="str">
        <f t="shared" si="1"/>
        <v>Senior (56+)</v>
      </c>
      <c r="J132" s="3">
        <f t="shared" si="2"/>
        <v>4</v>
      </c>
      <c r="K132" s="3">
        <f t="shared" si="3"/>
        <v>2023</v>
      </c>
      <c r="L132" s="3" t="str">
        <f t="shared" si="4"/>
        <v>April</v>
      </c>
      <c r="M132" s="3" t="str">
        <f>VLOOKUP(D132,Lookup_Practice!$A$2:$B$7,2,FALSE)</f>
        <v>Standard</v>
      </c>
      <c r="N132" s="3" t="str">
        <f t="array" ref="N132">INDEX(Lookup_Practice!$B$2:$B$7,MATCH(D132,Lookup_Practice!$A$2:$A$7,0))</f>
        <v>Standard</v>
      </c>
      <c r="O132" s="3" t="str">
        <f t="array" ref="O132">XLOOKUP(D132,Lookup_Practice!$A$2:$A$7,Lookup_Practice!$B$2:$B$7)</f>
        <v>Standard</v>
      </c>
    </row>
    <row r="133">
      <c r="A133" s="1">
        <v>46.0</v>
      </c>
      <c r="B133" s="1" t="s">
        <v>18</v>
      </c>
      <c r="C133" s="1" t="s">
        <v>21</v>
      </c>
      <c r="D133" s="1" t="s">
        <v>16</v>
      </c>
      <c r="E133" s="1" t="s">
        <v>24</v>
      </c>
      <c r="F133" s="1">
        <v>929.0</v>
      </c>
      <c r="G133" s="1">
        <v>17.0</v>
      </c>
      <c r="H133" s="2">
        <v>45271.0</v>
      </c>
      <c r="I133" s="3" t="str">
        <f t="shared" si="1"/>
        <v>Middle Age (36-55)</v>
      </c>
      <c r="J133" s="3">
        <f t="shared" si="2"/>
        <v>12</v>
      </c>
      <c r="K133" s="3">
        <f t="shared" si="3"/>
        <v>2023</v>
      </c>
      <c r="L133" s="3" t="str">
        <f t="shared" si="4"/>
        <v>December</v>
      </c>
      <c r="M133" s="3" t="str">
        <f>VLOOKUP(D133,Lookup_Practice!$A$2:$B$7,2,FALSE)</f>
        <v>Premium</v>
      </c>
      <c r="N133" s="3" t="str">
        <f t="array" ref="N133">INDEX(Lookup_Practice!$B$2:$B$7,MATCH(D133,Lookup_Practice!$A$2:$A$7,0))</f>
        <v>Premium</v>
      </c>
      <c r="O133" s="3" t="str">
        <f t="array" ref="O133">XLOOKUP(D133,Lookup_Practice!$A$2:$A$7,Lookup_Practice!$B$2:$B$7)</f>
        <v>Premium</v>
      </c>
    </row>
    <row r="134">
      <c r="A134" s="1">
        <v>49.0</v>
      </c>
      <c r="B134" s="1" t="s">
        <v>18</v>
      </c>
      <c r="C134" s="1" t="s">
        <v>29</v>
      </c>
      <c r="D134" s="1" t="s">
        <v>22</v>
      </c>
      <c r="E134" s="1" t="s">
        <v>17</v>
      </c>
      <c r="F134" s="1">
        <v>887.0</v>
      </c>
      <c r="G134" s="1">
        <v>11.0</v>
      </c>
      <c r="H134" s="2">
        <v>45642.0</v>
      </c>
      <c r="I134" s="3" t="str">
        <f t="shared" si="1"/>
        <v>Middle Age (36-55)</v>
      </c>
      <c r="J134" s="3">
        <f t="shared" si="2"/>
        <v>12</v>
      </c>
      <c r="K134" s="3">
        <f t="shared" si="3"/>
        <v>2024</v>
      </c>
      <c r="L134" s="3" t="str">
        <f t="shared" si="4"/>
        <v>December</v>
      </c>
      <c r="M134" s="3" t="str">
        <f>VLOOKUP(D134,Lookup_Practice!$A$2:$B$7,2,FALSE)</f>
        <v>Basic</v>
      </c>
      <c r="N134" s="3" t="str">
        <f t="array" ref="N134">INDEX(Lookup_Practice!$B$2:$B$7,MATCH(D134,Lookup_Practice!$A$2:$A$7,0))</f>
        <v>Basic</v>
      </c>
      <c r="O134" s="3" t="str">
        <f t="array" ref="O134">XLOOKUP(D134,Lookup_Practice!$A$2:$A$7,Lookup_Practice!$B$2:$B$7)</f>
        <v>Basic</v>
      </c>
    </row>
    <row r="135">
      <c r="A135" s="1">
        <v>66.0</v>
      </c>
      <c r="B135" s="1" t="s">
        <v>18</v>
      </c>
      <c r="C135" s="1" t="s">
        <v>15</v>
      </c>
      <c r="D135" s="1" t="s">
        <v>26</v>
      </c>
      <c r="E135" s="1" t="s">
        <v>17</v>
      </c>
      <c r="F135" s="1">
        <v>687.0</v>
      </c>
      <c r="G135" s="1">
        <v>11.0</v>
      </c>
      <c r="H135" s="2">
        <v>45608.0</v>
      </c>
      <c r="I135" s="3" t="str">
        <f t="shared" si="1"/>
        <v>Senior (56+)</v>
      </c>
      <c r="J135" s="3">
        <f t="shared" si="2"/>
        <v>11</v>
      </c>
      <c r="K135" s="3">
        <f t="shared" si="3"/>
        <v>2024</v>
      </c>
      <c r="L135" s="3" t="str">
        <f t="shared" si="4"/>
        <v>November</v>
      </c>
      <c r="M135" s="3" t="str">
        <f>VLOOKUP(D135,Lookup_Practice!$A$2:$B$7,2,FALSE)</f>
        <v>Premium</v>
      </c>
      <c r="N135" s="3" t="str">
        <f t="array" ref="N135">INDEX(Lookup_Practice!$B$2:$B$7,MATCH(D135,Lookup_Practice!$A$2:$A$7,0))</f>
        <v>Premium</v>
      </c>
      <c r="O135" s="3" t="str">
        <f t="array" ref="O135">XLOOKUP(D135,Lookup_Practice!$A$2:$A$7,Lookup_Practice!$B$2:$B$7)</f>
        <v>Premium</v>
      </c>
    </row>
    <row r="136">
      <c r="A136" s="1">
        <v>61.0</v>
      </c>
      <c r="B136" s="1" t="s">
        <v>14</v>
      </c>
      <c r="C136" s="1" t="s">
        <v>15</v>
      </c>
      <c r="D136" s="1" t="s">
        <v>30</v>
      </c>
      <c r="E136" s="1" t="s">
        <v>24</v>
      </c>
      <c r="F136" s="1">
        <v>1094.0</v>
      </c>
      <c r="G136" s="1">
        <v>16.0</v>
      </c>
      <c r="H136" s="2">
        <v>45519.0</v>
      </c>
      <c r="I136" s="3" t="str">
        <f t="shared" si="1"/>
        <v>Senior (56+)</v>
      </c>
      <c r="J136" s="3">
        <f t="shared" si="2"/>
        <v>8</v>
      </c>
      <c r="K136" s="3">
        <f t="shared" si="3"/>
        <v>2024</v>
      </c>
      <c r="L136" s="3" t="str">
        <f t="shared" si="4"/>
        <v>August</v>
      </c>
      <c r="M136" s="3" t="str">
        <f>VLOOKUP(D136,Lookup_Practice!$A$2:$B$7,2,FALSE)</f>
        <v>Standard</v>
      </c>
      <c r="N136" s="3" t="str">
        <f t="array" ref="N136">INDEX(Lookup_Practice!$B$2:$B$7,MATCH(D136,Lookup_Practice!$A$2:$A$7,0))</f>
        <v>Standard</v>
      </c>
      <c r="O136" s="3" t="str">
        <f t="array" ref="O136">XLOOKUP(D136,Lookup_Practice!$A$2:$A$7,Lookup_Practice!$B$2:$B$7)</f>
        <v>Standard</v>
      </c>
    </row>
    <row r="137">
      <c r="A137" s="1">
        <v>10.0</v>
      </c>
      <c r="B137" s="1" t="s">
        <v>18</v>
      </c>
      <c r="C137" s="1" t="s">
        <v>27</v>
      </c>
      <c r="D137" s="1" t="s">
        <v>20</v>
      </c>
      <c r="E137" s="1" t="s">
        <v>24</v>
      </c>
      <c r="F137" s="1">
        <v>1555.0</v>
      </c>
      <c r="G137" s="1">
        <v>2.0</v>
      </c>
      <c r="H137" s="2">
        <v>45222.0</v>
      </c>
      <c r="I137" s="3" t="str">
        <f t="shared" si="1"/>
        <v>Child (0-17)</v>
      </c>
      <c r="J137" s="3">
        <f t="shared" si="2"/>
        <v>10</v>
      </c>
      <c r="K137" s="3">
        <f t="shared" si="3"/>
        <v>2023</v>
      </c>
      <c r="L137" s="3" t="str">
        <f t="shared" si="4"/>
        <v>October</v>
      </c>
      <c r="M137" s="3" t="str">
        <f>VLOOKUP(D137,Lookup_Practice!$A$2:$B$7,2,FALSE)</f>
        <v>Standard</v>
      </c>
      <c r="N137" s="3" t="str">
        <f t="array" ref="N137">INDEX(Lookup_Practice!$B$2:$B$7,MATCH(D137,Lookup_Practice!$A$2:$A$7,0))</f>
        <v>Standard</v>
      </c>
      <c r="O137" s="3" t="str">
        <f t="array" ref="O137">XLOOKUP(D137,Lookup_Practice!$A$2:$A$7,Lookup_Practice!$B$2:$B$7)</f>
        <v>Standard</v>
      </c>
    </row>
    <row r="138">
      <c r="A138" s="1">
        <v>32.0</v>
      </c>
      <c r="B138" s="1" t="s">
        <v>18</v>
      </c>
      <c r="C138" s="1" t="s">
        <v>21</v>
      </c>
      <c r="D138" s="1" t="s">
        <v>30</v>
      </c>
      <c r="E138" s="1" t="s">
        <v>17</v>
      </c>
      <c r="F138" s="1">
        <v>1071.0</v>
      </c>
      <c r="G138" s="1">
        <v>2.0</v>
      </c>
      <c r="H138" s="2">
        <v>45111.0</v>
      </c>
      <c r="I138" s="3" t="str">
        <f t="shared" si="1"/>
        <v>Young Adult (18-35)</v>
      </c>
      <c r="J138" s="3">
        <f t="shared" si="2"/>
        <v>7</v>
      </c>
      <c r="K138" s="3">
        <f t="shared" si="3"/>
        <v>2023</v>
      </c>
      <c r="L138" s="3" t="str">
        <f t="shared" si="4"/>
        <v>July</v>
      </c>
      <c r="M138" s="3" t="str">
        <f>VLOOKUP(D138,Lookup_Practice!$A$2:$B$7,2,FALSE)</f>
        <v>Standard</v>
      </c>
      <c r="N138" s="3" t="str">
        <f t="array" ref="N138">INDEX(Lookup_Practice!$B$2:$B$7,MATCH(D138,Lookup_Practice!$A$2:$A$7,0))</f>
        <v>Standard</v>
      </c>
      <c r="O138" s="3" t="str">
        <f t="array" ref="O138">XLOOKUP(D138,Lookup_Practice!$A$2:$A$7,Lookup_Practice!$B$2:$B$7)</f>
        <v>Standard</v>
      </c>
    </row>
    <row r="139">
      <c r="A139" s="1">
        <v>32.0</v>
      </c>
      <c r="B139" s="1" t="s">
        <v>14</v>
      </c>
      <c r="C139" s="1" t="s">
        <v>15</v>
      </c>
      <c r="D139" s="1" t="s">
        <v>22</v>
      </c>
      <c r="E139" s="1" t="s">
        <v>17</v>
      </c>
      <c r="F139" s="1">
        <v>740.0</v>
      </c>
      <c r="G139" s="1">
        <v>8.0</v>
      </c>
      <c r="H139" s="2">
        <v>45562.0</v>
      </c>
      <c r="I139" s="3" t="str">
        <f t="shared" si="1"/>
        <v>Young Adult (18-35)</v>
      </c>
      <c r="J139" s="3">
        <f t="shared" si="2"/>
        <v>9</v>
      </c>
      <c r="K139" s="3">
        <f t="shared" si="3"/>
        <v>2024</v>
      </c>
      <c r="L139" s="3" t="str">
        <f t="shared" si="4"/>
        <v>September</v>
      </c>
      <c r="M139" s="3" t="str">
        <f>VLOOKUP(D139,Lookup_Practice!$A$2:$B$7,2,FALSE)</f>
        <v>Basic</v>
      </c>
      <c r="N139" s="3" t="str">
        <f t="array" ref="N139">INDEX(Lookup_Practice!$B$2:$B$7,MATCH(D139,Lookup_Practice!$A$2:$A$7,0))</f>
        <v>Basic</v>
      </c>
      <c r="O139" s="3" t="str">
        <f t="array" ref="O139">XLOOKUP(D139,Lookup_Practice!$A$2:$A$7,Lookup_Practice!$B$2:$B$7)</f>
        <v>Basic</v>
      </c>
    </row>
    <row r="140">
      <c r="A140" s="1">
        <v>48.0</v>
      </c>
      <c r="B140" s="1" t="s">
        <v>14</v>
      </c>
      <c r="C140" s="1" t="s">
        <v>29</v>
      </c>
      <c r="D140" s="1" t="s">
        <v>20</v>
      </c>
      <c r="E140" s="1" t="s">
        <v>17</v>
      </c>
      <c r="F140" s="1">
        <v>1462.0</v>
      </c>
      <c r="G140" s="1">
        <v>13.0</v>
      </c>
      <c r="H140" s="2">
        <v>45064.0</v>
      </c>
      <c r="I140" s="3" t="str">
        <f t="shared" si="1"/>
        <v>Middle Age (36-55)</v>
      </c>
      <c r="J140" s="3">
        <f t="shared" si="2"/>
        <v>5</v>
      </c>
      <c r="K140" s="3">
        <f t="shared" si="3"/>
        <v>2023</v>
      </c>
      <c r="L140" s="3" t="str">
        <f t="shared" si="4"/>
        <v>May</v>
      </c>
      <c r="M140" s="3" t="str">
        <f>VLOOKUP(D140,Lookup_Practice!$A$2:$B$7,2,FALSE)</f>
        <v>Standard</v>
      </c>
      <c r="N140" s="3" t="str">
        <f t="array" ref="N140">INDEX(Lookup_Practice!$B$2:$B$7,MATCH(D140,Lookup_Practice!$A$2:$A$7,0))</f>
        <v>Standard</v>
      </c>
      <c r="O140" s="3" t="str">
        <f t="array" ref="O140">XLOOKUP(D140,Lookup_Practice!$A$2:$A$7,Lookup_Practice!$B$2:$B$7)</f>
        <v>Standard</v>
      </c>
    </row>
    <row r="141">
      <c r="A141" s="1">
        <v>34.0</v>
      </c>
      <c r="B141" s="1" t="s">
        <v>18</v>
      </c>
      <c r="C141" s="1" t="s">
        <v>31</v>
      </c>
      <c r="D141" s="1" t="s">
        <v>16</v>
      </c>
      <c r="E141" s="1" t="s">
        <v>17</v>
      </c>
      <c r="F141" s="1">
        <v>922.0</v>
      </c>
      <c r="G141" s="1">
        <v>10.0</v>
      </c>
      <c r="H141" s="2">
        <v>45586.0</v>
      </c>
      <c r="I141" s="3" t="str">
        <f t="shared" si="1"/>
        <v>Young Adult (18-35)</v>
      </c>
      <c r="J141" s="3">
        <f t="shared" si="2"/>
        <v>10</v>
      </c>
      <c r="K141" s="3">
        <f t="shared" si="3"/>
        <v>2024</v>
      </c>
      <c r="L141" s="3" t="str">
        <f t="shared" si="4"/>
        <v>October</v>
      </c>
      <c r="M141" s="3" t="str">
        <f>VLOOKUP(D141,Lookup_Practice!$A$2:$B$7,2,FALSE)</f>
        <v>Premium</v>
      </c>
      <c r="N141" s="3" t="str">
        <f t="array" ref="N141">INDEX(Lookup_Practice!$B$2:$B$7,MATCH(D141,Lookup_Practice!$A$2:$A$7,0))</f>
        <v>Premium</v>
      </c>
      <c r="O141" s="3" t="str">
        <f t="array" ref="O141">XLOOKUP(D141,Lookup_Practice!$A$2:$A$7,Lookup_Practice!$B$2:$B$7)</f>
        <v>Premium</v>
      </c>
    </row>
    <row r="142">
      <c r="A142" s="1">
        <v>66.0</v>
      </c>
      <c r="B142" s="1" t="s">
        <v>18</v>
      </c>
      <c r="C142" s="1" t="s">
        <v>15</v>
      </c>
      <c r="D142" s="1" t="s">
        <v>23</v>
      </c>
      <c r="E142" s="1" t="s">
        <v>17</v>
      </c>
      <c r="F142" s="1">
        <v>1174.0</v>
      </c>
      <c r="G142" s="1">
        <v>8.0</v>
      </c>
      <c r="H142" s="2">
        <v>45385.0</v>
      </c>
      <c r="I142" s="3" t="str">
        <f t="shared" si="1"/>
        <v>Senior (56+)</v>
      </c>
      <c r="J142" s="3">
        <f t="shared" si="2"/>
        <v>4</v>
      </c>
      <c r="K142" s="3">
        <f t="shared" si="3"/>
        <v>2024</v>
      </c>
      <c r="L142" s="3" t="str">
        <f t="shared" si="4"/>
        <v>April</v>
      </c>
      <c r="M142" s="3" t="str">
        <f>VLOOKUP(D142,Lookup_Practice!$A$2:$B$7,2,FALSE)</f>
        <v>Standard</v>
      </c>
      <c r="N142" s="3" t="str">
        <f t="array" ref="N142">INDEX(Lookup_Practice!$B$2:$B$7,MATCH(D142,Lookup_Practice!$A$2:$A$7,0))</f>
        <v>Standard</v>
      </c>
      <c r="O142" s="3" t="str">
        <f t="array" ref="O142">XLOOKUP(D142,Lookup_Practice!$A$2:$A$7,Lookup_Practice!$B$2:$B$7)</f>
        <v>Standard</v>
      </c>
    </row>
    <row r="143">
      <c r="A143" s="1">
        <v>79.0</v>
      </c>
      <c r="B143" s="1" t="s">
        <v>18</v>
      </c>
      <c r="C143" s="1" t="s">
        <v>31</v>
      </c>
      <c r="D143" s="1" t="s">
        <v>30</v>
      </c>
      <c r="E143" s="1" t="s">
        <v>24</v>
      </c>
      <c r="F143" s="1">
        <v>947.0</v>
      </c>
      <c r="G143" s="1">
        <v>4.0</v>
      </c>
      <c r="H143" s="2">
        <v>45160.0</v>
      </c>
      <c r="I143" s="3" t="str">
        <f t="shared" si="1"/>
        <v>Senior (56+)</v>
      </c>
      <c r="J143" s="3">
        <f t="shared" si="2"/>
        <v>8</v>
      </c>
      <c r="K143" s="3">
        <f t="shared" si="3"/>
        <v>2023</v>
      </c>
      <c r="L143" s="3" t="str">
        <f t="shared" si="4"/>
        <v>August</v>
      </c>
      <c r="M143" s="3" t="str">
        <f>VLOOKUP(D143,Lookup_Practice!$A$2:$B$7,2,FALSE)</f>
        <v>Standard</v>
      </c>
      <c r="N143" s="3" t="str">
        <f t="array" ref="N143">INDEX(Lookup_Practice!$B$2:$B$7,MATCH(D143,Lookup_Practice!$A$2:$A$7,0))</f>
        <v>Standard</v>
      </c>
      <c r="O143" s="3" t="str">
        <f t="array" ref="O143">XLOOKUP(D143,Lookup_Practice!$A$2:$A$7,Lookup_Practice!$B$2:$B$7)</f>
        <v>Standard</v>
      </c>
    </row>
    <row r="144">
      <c r="A144" s="1">
        <v>66.0</v>
      </c>
      <c r="B144" s="1" t="s">
        <v>14</v>
      </c>
      <c r="C144" s="1" t="s">
        <v>29</v>
      </c>
      <c r="D144" s="1" t="s">
        <v>20</v>
      </c>
      <c r="E144" s="1" t="s">
        <v>24</v>
      </c>
      <c r="F144" s="1">
        <v>1559.0</v>
      </c>
      <c r="G144" s="1">
        <v>15.0</v>
      </c>
      <c r="H144" s="2">
        <v>45543.0</v>
      </c>
      <c r="I144" s="3" t="str">
        <f t="shared" si="1"/>
        <v>Senior (56+)</v>
      </c>
      <c r="J144" s="3">
        <f t="shared" si="2"/>
        <v>9</v>
      </c>
      <c r="K144" s="3">
        <f t="shared" si="3"/>
        <v>2024</v>
      </c>
      <c r="L144" s="3" t="str">
        <f t="shared" si="4"/>
        <v>September</v>
      </c>
      <c r="M144" s="3" t="str">
        <f>VLOOKUP(D144,Lookup_Practice!$A$2:$B$7,2,FALSE)</f>
        <v>Standard</v>
      </c>
      <c r="N144" s="3" t="str">
        <f t="array" ref="N144">INDEX(Lookup_Practice!$B$2:$B$7,MATCH(D144,Lookup_Practice!$A$2:$A$7,0))</f>
        <v>Standard</v>
      </c>
      <c r="O144" s="3" t="str">
        <f t="array" ref="O144">XLOOKUP(D144,Lookup_Practice!$A$2:$A$7,Lookup_Practice!$B$2:$B$7)</f>
        <v>Standard</v>
      </c>
    </row>
    <row r="145">
      <c r="A145" s="1">
        <v>5.0</v>
      </c>
      <c r="B145" s="1" t="s">
        <v>18</v>
      </c>
      <c r="C145" s="1" t="s">
        <v>21</v>
      </c>
      <c r="D145" s="1" t="s">
        <v>30</v>
      </c>
      <c r="E145" s="1" t="s">
        <v>24</v>
      </c>
      <c r="F145" s="1">
        <v>1017.0</v>
      </c>
      <c r="G145" s="1">
        <v>1.0</v>
      </c>
      <c r="H145" s="2">
        <v>45496.0</v>
      </c>
      <c r="I145" s="3" t="str">
        <f t="shared" si="1"/>
        <v>Child (0-17)</v>
      </c>
      <c r="J145" s="3">
        <f t="shared" si="2"/>
        <v>7</v>
      </c>
      <c r="K145" s="3">
        <f t="shared" si="3"/>
        <v>2024</v>
      </c>
      <c r="L145" s="3" t="str">
        <f t="shared" si="4"/>
        <v>July</v>
      </c>
      <c r="M145" s="3" t="str">
        <f>VLOOKUP(D145,Lookup_Practice!$A$2:$B$7,2,FALSE)</f>
        <v>Standard</v>
      </c>
      <c r="N145" s="3" t="str">
        <f t="array" ref="N145">INDEX(Lookup_Practice!$B$2:$B$7,MATCH(D145,Lookup_Practice!$A$2:$A$7,0))</f>
        <v>Standard</v>
      </c>
      <c r="O145" s="3" t="str">
        <f t="array" ref="O145">XLOOKUP(D145,Lookup_Practice!$A$2:$A$7,Lookup_Practice!$B$2:$B$7)</f>
        <v>Standard</v>
      </c>
    </row>
    <row r="146">
      <c r="A146" s="1">
        <v>31.0</v>
      </c>
      <c r="B146" s="1" t="s">
        <v>14</v>
      </c>
      <c r="C146" s="1" t="s">
        <v>21</v>
      </c>
      <c r="D146" s="1" t="s">
        <v>20</v>
      </c>
      <c r="E146" s="1" t="s">
        <v>17</v>
      </c>
      <c r="F146" s="1">
        <v>1499.0</v>
      </c>
      <c r="G146" s="1">
        <v>11.0</v>
      </c>
      <c r="H146" s="2">
        <v>45476.0</v>
      </c>
      <c r="I146" s="3" t="str">
        <f t="shared" si="1"/>
        <v>Young Adult (18-35)</v>
      </c>
      <c r="J146" s="3">
        <f t="shared" si="2"/>
        <v>7</v>
      </c>
      <c r="K146" s="3">
        <f t="shared" si="3"/>
        <v>2024</v>
      </c>
      <c r="L146" s="3" t="str">
        <f t="shared" si="4"/>
        <v>July</v>
      </c>
      <c r="M146" s="3" t="str">
        <f>VLOOKUP(D146,Lookup_Practice!$A$2:$B$7,2,FALSE)</f>
        <v>Standard</v>
      </c>
      <c r="N146" s="3" t="str">
        <f t="array" ref="N146">INDEX(Lookup_Practice!$B$2:$B$7,MATCH(D146,Lookup_Practice!$A$2:$A$7,0))</f>
        <v>Standard</v>
      </c>
      <c r="O146" s="3" t="str">
        <f t="array" ref="O146">XLOOKUP(D146,Lookup_Practice!$A$2:$A$7,Lookup_Practice!$B$2:$B$7)</f>
        <v>Standard</v>
      </c>
    </row>
    <row r="147">
      <c r="A147" s="1">
        <v>66.0</v>
      </c>
      <c r="B147" s="1" t="s">
        <v>14</v>
      </c>
      <c r="C147" s="1" t="s">
        <v>25</v>
      </c>
      <c r="D147" s="1" t="s">
        <v>26</v>
      </c>
      <c r="E147" s="1" t="s">
        <v>24</v>
      </c>
      <c r="F147" s="1">
        <v>566.0</v>
      </c>
      <c r="G147" s="1">
        <v>7.0</v>
      </c>
      <c r="H147" s="2">
        <v>45054.0</v>
      </c>
      <c r="I147" s="3" t="str">
        <f t="shared" si="1"/>
        <v>Senior (56+)</v>
      </c>
      <c r="J147" s="3">
        <f t="shared" si="2"/>
        <v>5</v>
      </c>
      <c r="K147" s="3">
        <f t="shared" si="3"/>
        <v>2023</v>
      </c>
      <c r="L147" s="3" t="str">
        <f t="shared" si="4"/>
        <v>May</v>
      </c>
      <c r="M147" s="3" t="str">
        <f>VLOOKUP(D147,Lookup_Practice!$A$2:$B$7,2,FALSE)</f>
        <v>Premium</v>
      </c>
      <c r="N147" s="3" t="str">
        <f t="array" ref="N147">INDEX(Lookup_Practice!$B$2:$B$7,MATCH(D147,Lookup_Practice!$A$2:$A$7,0))</f>
        <v>Premium</v>
      </c>
      <c r="O147" s="3" t="str">
        <f t="array" ref="O147">XLOOKUP(D147,Lookup_Practice!$A$2:$A$7,Lookup_Practice!$B$2:$B$7)</f>
        <v>Premium</v>
      </c>
    </row>
    <row r="148">
      <c r="A148" s="1">
        <v>7.0</v>
      </c>
      <c r="B148" s="1" t="s">
        <v>14</v>
      </c>
      <c r="C148" s="1" t="s">
        <v>21</v>
      </c>
      <c r="D148" s="1" t="s">
        <v>16</v>
      </c>
      <c r="E148" s="1" t="s">
        <v>24</v>
      </c>
      <c r="F148" s="1">
        <v>1189.0</v>
      </c>
      <c r="G148" s="1">
        <v>17.0</v>
      </c>
      <c r="H148" s="2">
        <v>45400.0</v>
      </c>
      <c r="I148" s="3" t="str">
        <f t="shared" si="1"/>
        <v>Child (0-17)</v>
      </c>
      <c r="J148" s="3">
        <f t="shared" si="2"/>
        <v>4</v>
      </c>
      <c r="K148" s="3">
        <f t="shared" si="3"/>
        <v>2024</v>
      </c>
      <c r="L148" s="3" t="str">
        <f t="shared" si="4"/>
        <v>April</v>
      </c>
      <c r="M148" s="3" t="str">
        <f>VLOOKUP(D148,Lookup_Practice!$A$2:$B$7,2,FALSE)</f>
        <v>Premium</v>
      </c>
      <c r="N148" s="3" t="str">
        <f t="array" ref="N148">INDEX(Lookup_Practice!$B$2:$B$7,MATCH(D148,Lookup_Practice!$A$2:$A$7,0))</f>
        <v>Premium</v>
      </c>
      <c r="O148" s="3" t="str">
        <f t="array" ref="O148">XLOOKUP(D148,Lookup_Practice!$A$2:$A$7,Lookup_Practice!$B$2:$B$7)</f>
        <v>Premium</v>
      </c>
    </row>
    <row r="149">
      <c r="A149" s="1">
        <v>74.0</v>
      </c>
      <c r="B149" s="1" t="s">
        <v>18</v>
      </c>
      <c r="C149" s="1" t="s">
        <v>21</v>
      </c>
      <c r="D149" s="1" t="s">
        <v>30</v>
      </c>
      <c r="E149" s="1" t="s">
        <v>17</v>
      </c>
      <c r="F149" s="1">
        <v>1055.0</v>
      </c>
      <c r="G149" s="1">
        <v>20.0</v>
      </c>
      <c r="H149" s="2">
        <v>45575.0</v>
      </c>
      <c r="I149" s="3" t="str">
        <f t="shared" si="1"/>
        <v>Senior (56+)</v>
      </c>
      <c r="J149" s="3">
        <f t="shared" si="2"/>
        <v>10</v>
      </c>
      <c r="K149" s="3">
        <f t="shared" si="3"/>
        <v>2024</v>
      </c>
      <c r="L149" s="3" t="str">
        <f t="shared" si="4"/>
        <v>October</v>
      </c>
      <c r="M149" s="3" t="str">
        <f>VLOOKUP(D149,Lookup_Practice!$A$2:$B$7,2,FALSE)</f>
        <v>Standard</v>
      </c>
      <c r="N149" s="3" t="str">
        <f t="array" ref="N149">INDEX(Lookup_Practice!$B$2:$B$7,MATCH(D149,Lookup_Practice!$A$2:$A$7,0))</f>
        <v>Standard</v>
      </c>
      <c r="O149" s="3" t="str">
        <f t="array" ref="O149">XLOOKUP(D149,Lookup_Practice!$A$2:$A$7,Lookup_Practice!$B$2:$B$7)</f>
        <v>Standard</v>
      </c>
    </row>
    <row r="150">
      <c r="A150" s="1">
        <v>76.0</v>
      </c>
      <c r="B150" s="1" t="s">
        <v>14</v>
      </c>
      <c r="C150" s="1" t="s">
        <v>25</v>
      </c>
      <c r="D150" s="1" t="s">
        <v>23</v>
      </c>
      <c r="E150" s="1" t="s">
        <v>24</v>
      </c>
      <c r="F150" s="1">
        <v>1106.0</v>
      </c>
      <c r="G150" s="1">
        <v>18.0</v>
      </c>
      <c r="H150" s="2">
        <v>45316.0</v>
      </c>
      <c r="I150" s="3" t="str">
        <f t="shared" si="1"/>
        <v>Senior (56+)</v>
      </c>
      <c r="J150" s="3">
        <f t="shared" si="2"/>
        <v>1</v>
      </c>
      <c r="K150" s="3">
        <f t="shared" si="3"/>
        <v>2024</v>
      </c>
      <c r="L150" s="3" t="str">
        <f t="shared" si="4"/>
        <v>January</v>
      </c>
      <c r="M150" s="3" t="str">
        <f>VLOOKUP(D150,Lookup_Practice!$A$2:$B$7,2,FALSE)</f>
        <v>Standard</v>
      </c>
      <c r="N150" s="3" t="str">
        <f t="array" ref="N150">INDEX(Lookup_Practice!$B$2:$B$7,MATCH(D150,Lookup_Practice!$A$2:$A$7,0))</f>
        <v>Standard</v>
      </c>
      <c r="O150" s="3" t="str">
        <f t="array" ref="O150">XLOOKUP(D150,Lookup_Practice!$A$2:$A$7,Lookup_Practice!$B$2:$B$7)</f>
        <v>Standard</v>
      </c>
    </row>
    <row r="151">
      <c r="A151" s="1">
        <v>31.0</v>
      </c>
      <c r="B151" s="1" t="s">
        <v>14</v>
      </c>
      <c r="C151" s="1" t="s">
        <v>21</v>
      </c>
      <c r="D151" s="1" t="s">
        <v>23</v>
      </c>
      <c r="E151" s="1" t="s">
        <v>24</v>
      </c>
      <c r="F151" s="1">
        <v>1295.0</v>
      </c>
      <c r="G151" s="1">
        <v>12.0</v>
      </c>
      <c r="H151" s="2">
        <v>45585.0</v>
      </c>
      <c r="I151" s="3" t="str">
        <f t="shared" si="1"/>
        <v>Young Adult (18-35)</v>
      </c>
      <c r="J151" s="3">
        <f t="shared" si="2"/>
        <v>10</v>
      </c>
      <c r="K151" s="3">
        <f t="shared" si="3"/>
        <v>2024</v>
      </c>
      <c r="L151" s="3" t="str">
        <f t="shared" si="4"/>
        <v>October</v>
      </c>
      <c r="M151" s="3" t="str">
        <f>VLOOKUP(D151,Lookup_Practice!$A$2:$B$7,2,FALSE)</f>
        <v>Standard</v>
      </c>
      <c r="N151" s="3" t="str">
        <f t="array" ref="N151">INDEX(Lookup_Practice!$B$2:$B$7,MATCH(D151,Lookup_Practice!$A$2:$A$7,0))</f>
        <v>Standard</v>
      </c>
      <c r="O151" s="3" t="str">
        <f t="array" ref="O151">XLOOKUP(D151,Lookup_Practice!$A$2:$A$7,Lookup_Practice!$B$2:$B$7)</f>
        <v>Standard</v>
      </c>
    </row>
    <row r="152">
      <c r="A152" s="1">
        <v>13.0</v>
      </c>
      <c r="B152" s="1" t="s">
        <v>14</v>
      </c>
      <c r="C152" s="1" t="s">
        <v>15</v>
      </c>
      <c r="D152" s="1" t="s">
        <v>22</v>
      </c>
      <c r="E152" s="1" t="s">
        <v>17</v>
      </c>
      <c r="F152" s="1">
        <v>755.0</v>
      </c>
      <c r="G152" s="1">
        <v>9.0</v>
      </c>
      <c r="H152" s="2">
        <v>45582.0</v>
      </c>
      <c r="I152" s="3" t="str">
        <f t="shared" si="1"/>
        <v>Child (0-17)</v>
      </c>
      <c r="J152" s="3">
        <f t="shared" si="2"/>
        <v>10</v>
      </c>
      <c r="K152" s="3">
        <f t="shared" si="3"/>
        <v>2024</v>
      </c>
      <c r="L152" s="3" t="str">
        <f t="shared" si="4"/>
        <v>October</v>
      </c>
      <c r="M152" s="3" t="str">
        <f>VLOOKUP(D152,Lookup_Practice!$A$2:$B$7,2,FALSE)</f>
        <v>Basic</v>
      </c>
      <c r="N152" s="3" t="str">
        <f t="array" ref="N152">INDEX(Lookup_Practice!$B$2:$B$7,MATCH(D152,Lookup_Practice!$A$2:$A$7,0))</f>
        <v>Basic</v>
      </c>
      <c r="O152" s="3" t="str">
        <f t="array" ref="O152">XLOOKUP(D152,Lookup_Practice!$A$2:$A$7,Lookup_Practice!$B$2:$B$7)</f>
        <v>Basic</v>
      </c>
    </row>
    <row r="153">
      <c r="A153" s="1">
        <v>66.0</v>
      </c>
      <c r="B153" s="1" t="s">
        <v>18</v>
      </c>
      <c r="C153" s="1" t="s">
        <v>15</v>
      </c>
      <c r="D153" s="1" t="s">
        <v>20</v>
      </c>
      <c r="E153" s="1" t="s">
        <v>17</v>
      </c>
      <c r="F153" s="1">
        <v>1592.0</v>
      </c>
      <c r="G153" s="1">
        <v>5.0</v>
      </c>
      <c r="H153" s="2">
        <v>45481.0</v>
      </c>
      <c r="I153" s="3" t="str">
        <f t="shared" si="1"/>
        <v>Senior (56+)</v>
      </c>
      <c r="J153" s="3">
        <f t="shared" si="2"/>
        <v>7</v>
      </c>
      <c r="K153" s="3">
        <f t="shared" si="3"/>
        <v>2024</v>
      </c>
      <c r="L153" s="3" t="str">
        <f t="shared" si="4"/>
        <v>July</v>
      </c>
      <c r="M153" s="3" t="str">
        <f>VLOOKUP(D153,Lookup_Practice!$A$2:$B$7,2,FALSE)</f>
        <v>Standard</v>
      </c>
      <c r="N153" s="3" t="str">
        <f t="array" ref="N153">INDEX(Lookup_Practice!$B$2:$B$7,MATCH(D153,Lookup_Practice!$A$2:$A$7,0))</f>
        <v>Standard</v>
      </c>
      <c r="O153" s="3" t="str">
        <f t="array" ref="O153">XLOOKUP(D153,Lookup_Practice!$A$2:$A$7,Lookup_Practice!$B$2:$B$7)</f>
        <v>Standard</v>
      </c>
    </row>
    <row r="154">
      <c r="A154" s="1">
        <v>41.0</v>
      </c>
      <c r="B154" s="1" t="s">
        <v>14</v>
      </c>
      <c r="C154" s="1" t="s">
        <v>25</v>
      </c>
      <c r="D154" s="1" t="s">
        <v>30</v>
      </c>
      <c r="E154" s="1" t="s">
        <v>17</v>
      </c>
      <c r="F154" s="1">
        <v>946.0</v>
      </c>
      <c r="G154" s="1">
        <v>10.0</v>
      </c>
      <c r="H154" s="2">
        <v>45314.0</v>
      </c>
      <c r="I154" s="3" t="str">
        <f t="shared" si="1"/>
        <v>Middle Age (36-55)</v>
      </c>
      <c r="J154" s="3">
        <f t="shared" si="2"/>
        <v>1</v>
      </c>
      <c r="K154" s="3">
        <f t="shared" si="3"/>
        <v>2024</v>
      </c>
      <c r="L154" s="3" t="str">
        <f t="shared" si="4"/>
        <v>January</v>
      </c>
      <c r="M154" s="3" t="str">
        <f>VLOOKUP(D154,Lookup_Practice!$A$2:$B$7,2,FALSE)</f>
        <v>Standard</v>
      </c>
      <c r="N154" s="3" t="str">
        <f t="array" ref="N154">INDEX(Lookup_Practice!$B$2:$B$7,MATCH(D154,Lookup_Practice!$A$2:$A$7,0))</f>
        <v>Standard</v>
      </c>
      <c r="O154" s="3" t="str">
        <f t="array" ref="O154">XLOOKUP(D154,Lookup_Practice!$A$2:$A$7,Lookup_Practice!$B$2:$B$7)</f>
        <v>Standard</v>
      </c>
    </row>
    <row r="155">
      <c r="A155" s="1">
        <v>55.0</v>
      </c>
      <c r="B155" s="1" t="s">
        <v>18</v>
      </c>
      <c r="C155" s="1" t="s">
        <v>15</v>
      </c>
      <c r="D155" s="1" t="s">
        <v>22</v>
      </c>
      <c r="E155" s="1" t="s">
        <v>17</v>
      </c>
      <c r="F155" s="1">
        <v>847.0</v>
      </c>
      <c r="G155" s="1">
        <v>4.0</v>
      </c>
      <c r="H155" s="2">
        <v>44937.0</v>
      </c>
      <c r="I155" s="3" t="str">
        <f t="shared" si="1"/>
        <v>Middle Age (36-55)</v>
      </c>
      <c r="J155" s="3">
        <f t="shared" si="2"/>
        <v>1</v>
      </c>
      <c r="K155" s="3">
        <f t="shared" si="3"/>
        <v>2023</v>
      </c>
      <c r="L155" s="3" t="str">
        <f t="shared" si="4"/>
        <v>January</v>
      </c>
      <c r="M155" s="3" t="str">
        <f>VLOOKUP(D155,Lookup_Practice!$A$2:$B$7,2,FALSE)</f>
        <v>Basic</v>
      </c>
      <c r="N155" s="3" t="str">
        <f t="array" ref="N155">INDEX(Lookup_Practice!$B$2:$B$7,MATCH(D155,Lookup_Practice!$A$2:$A$7,0))</f>
        <v>Basic</v>
      </c>
      <c r="O155" s="3" t="str">
        <f t="array" ref="O155">XLOOKUP(D155,Lookup_Practice!$A$2:$A$7,Lookup_Practice!$B$2:$B$7)</f>
        <v>Basic</v>
      </c>
    </row>
    <row r="156">
      <c r="A156" s="1">
        <v>48.0</v>
      </c>
      <c r="B156" s="1" t="s">
        <v>18</v>
      </c>
      <c r="C156" s="1" t="s">
        <v>29</v>
      </c>
      <c r="D156" s="1" t="s">
        <v>30</v>
      </c>
      <c r="E156" s="1" t="s">
        <v>17</v>
      </c>
      <c r="F156" s="1">
        <v>1174.0</v>
      </c>
      <c r="G156" s="1">
        <v>5.0</v>
      </c>
      <c r="H156" s="2">
        <v>45051.0</v>
      </c>
      <c r="I156" s="3" t="str">
        <f t="shared" si="1"/>
        <v>Middle Age (36-55)</v>
      </c>
      <c r="J156" s="3">
        <f t="shared" si="2"/>
        <v>5</v>
      </c>
      <c r="K156" s="3">
        <f t="shared" si="3"/>
        <v>2023</v>
      </c>
      <c r="L156" s="3" t="str">
        <f t="shared" si="4"/>
        <v>May</v>
      </c>
      <c r="M156" s="3" t="str">
        <f>VLOOKUP(D156,Lookup_Practice!$A$2:$B$7,2,FALSE)</f>
        <v>Standard</v>
      </c>
      <c r="N156" s="3" t="str">
        <f t="array" ref="N156">INDEX(Lookup_Practice!$B$2:$B$7,MATCH(D156,Lookup_Practice!$A$2:$A$7,0))</f>
        <v>Standard</v>
      </c>
      <c r="O156" s="3" t="str">
        <f t="array" ref="O156">XLOOKUP(D156,Lookup_Practice!$A$2:$A$7,Lookup_Practice!$B$2:$B$7)</f>
        <v>Standard</v>
      </c>
    </row>
    <row r="157">
      <c r="A157" s="1">
        <v>28.0</v>
      </c>
      <c r="B157" s="1" t="s">
        <v>18</v>
      </c>
      <c r="C157" s="1" t="s">
        <v>21</v>
      </c>
      <c r="D157" s="1" t="s">
        <v>20</v>
      </c>
      <c r="E157" s="1" t="s">
        <v>24</v>
      </c>
      <c r="F157" s="1">
        <v>1556.0</v>
      </c>
      <c r="G157" s="1">
        <v>10.0</v>
      </c>
      <c r="H157" s="2">
        <v>45561.0</v>
      </c>
      <c r="I157" s="3" t="str">
        <f t="shared" si="1"/>
        <v>Young Adult (18-35)</v>
      </c>
      <c r="J157" s="3">
        <f t="shared" si="2"/>
        <v>9</v>
      </c>
      <c r="K157" s="3">
        <f t="shared" si="3"/>
        <v>2024</v>
      </c>
      <c r="L157" s="3" t="str">
        <f t="shared" si="4"/>
        <v>September</v>
      </c>
      <c r="M157" s="3" t="str">
        <f>VLOOKUP(D157,Lookup_Practice!$A$2:$B$7,2,FALSE)</f>
        <v>Standard</v>
      </c>
      <c r="N157" s="3" t="str">
        <f t="array" ref="N157">INDEX(Lookup_Practice!$B$2:$B$7,MATCH(D157,Lookup_Practice!$A$2:$A$7,0))</f>
        <v>Standard</v>
      </c>
      <c r="O157" s="3" t="str">
        <f t="array" ref="O157">XLOOKUP(D157,Lookup_Practice!$A$2:$A$7,Lookup_Practice!$B$2:$B$7)</f>
        <v>Standard</v>
      </c>
    </row>
    <row r="158">
      <c r="A158" s="1">
        <v>63.0</v>
      </c>
      <c r="B158" s="1" t="s">
        <v>14</v>
      </c>
      <c r="C158" s="1" t="s">
        <v>29</v>
      </c>
      <c r="D158" s="1" t="s">
        <v>23</v>
      </c>
      <c r="E158" s="1" t="s">
        <v>17</v>
      </c>
      <c r="F158" s="1">
        <v>1301.0</v>
      </c>
      <c r="G158" s="1">
        <v>11.0</v>
      </c>
      <c r="H158" s="2">
        <v>45090.0</v>
      </c>
      <c r="I158" s="3" t="str">
        <f t="shared" si="1"/>
        <v>Senior (56+)</v>
      </c>
      <c r="J158" s="3">
        <f t="shared" si="2"/>
        <v>6</v>
      </c>
      <c r="K158" s="3">
        <f t="shared" si="3"/>
        <v>2023</v>
      </c>
      <c r="L158" s="3" t="str">
        <f t="shared" si="4"/>
        <v>June</v>
      </c>
      <c r="M158" s="3" t="str">
        <f>VLOOKUP(D158,Lookup_Practice!$A$2:$B$7,2,FALSE)</f>
        <v>Standard</v>
      </c>
      <c r="N158" s="3" t="str">
        <f t="array" ref="N158">INDEX(Lookup_Practice!$B$2:$B$7,MATCH(D158,Lookup_Practice!$A$2:$A$7,0))</f>
        <v>Standard</v>
      </c>
      <c r="O158" s="3" t="str">
        <f t="array" ref="O158">XLOOKUP(D158,Lookup_Practice!$A$2:$A$7,Lookup_Practice!$B$2:$B$7)</f>
        <v>Standard</v>
      </c>
    </row>
    <row r="159">
      <c r="A159" s="1">
        <v>36.0</v>
      </c>
      <c r="B159" s="1" t="s">
        <v>18</v>
      </c>
      <c r="C159" s="1" t="s">
        <v>15</v>
      </c>
      <c r="D159" s="1" t="s">
        <v>26</v>
      </c>
      <c r="E159" s="1" t="s">
        <v>17</v>
      </c>
      <c r="F159" s="1">
        <v>525.0</v>
      </c>
      <c r="G159" s="1">
        <v>10.0</v>
      </c>
      <c r="H159" s="2">
        <v>45006.0</v>
      </c>
      <c r="I159" s="3" t="str">
        <f t="shared" si="1"/>
        <v>Middle Age (36-55)</v>
      </c>
      <c r="J159" s="3">
        <f t="shared" si="2"/>
        <v>3</v>
      </c>
      <c r="K159" s="3">
        <f t="shared" si="3"/>
        <v>2023</v>
      </c>
      <c r="L159" s="3" t="str">
        <f t="shared" si="4"/>
        <v>March</v>
      </c>
      <c r="M159" s="3" t="str">
        <f>VLOOKUP(D159,Lookup_Practice!$A$2:$B$7,2,FALSE)</f>
        <v>Premium</v>
      </c>
      <c r="N159" s="3" t="str">
        <f t="array" ref="N159">INDEX(Lookup_Practice!$B$2:$B$7,MATCH(D159,Lookup_Practice!$A$2:$A$7,0))</f>
        <v>Premium</v>
      </c>
      <c r="O159" s="3" t="str">
        <f t="array" ref="O159">XLOOKUP(D159,Lookup_Practice!$A$2:$A$7,Lookup_Practice!$B$2:$B$7)</f>
        <v>Premium</v>
      </c>
    </row>
    <row r="160">
      <c r="A160" s="1">
        <v>56.0</v>
      </c>
      <c r="B160" s="1" t="s">
        <v>18</v>
      </c>
      <c r="C160" s="1" t="s">
        <v>19</v>
      </c>
      <c r="D160" s="1" t="s">
        <v>23</v>
      </c>
      <c r="E160" s="1" t="s">
        <v>17</v>
      </c>
      <c r="F160" s="1">
        <v>1393.0</v>
      </c>
      <c r="G160" s="1">
        <v>8.0</v>
      </c>
      <c r="H160" s="2">
        <v>45374.0</v>
      </c>
      <c r="I160" s="3" t="str">
        <f t="shared" si="1"/>
        <v>Senior (56+)</v>
      </c>
      <c r="J160" s="3">
        <f t="shared" si="2"/>
        <v>3</v>
      </c>
      <c r="K160" s="3">
        <f t="shared" si="3"/>
        <v>2024</v>
      </c>
      <c r="L160" s="3" t="str">
        <f t="shared" si="4"/>
        <v>March</v>
      </c>
      <c r="M160" s="3" t="str">
        <f>VLOOKUP(D160,Lookup_Practice!$A$2:$B$7,2,FALSE)</f>
        <v>Standard</v>
      </c>
      <c r="N160" s="3" t="str">
        <f t="array" ref="N160">INDEX(Lookup_Practice!$B$2:$B$7,MATCH(D160,Lookup_Practice!$A$2:$A$7,0))</f>
        <v>Standard</v>
      </c>
      <c r="O160" s="3" t="str">
        <f t="array" ref="O160">XLOOKUP(D160,Lookup_Practice!$A$2:$A$7,Lookup_Practice!$B$2:$B$7)</f>
        <v>Standard</v>
      </c>
    </row>
    <row r="161">
      <c r="A161" s="1">
        <v>66.0</v>
      </c>
      <c r="B161" s="1" t="s">
        <v>18</v>
      </c>
      <c r="C161" s="1" t="s">
        <v>15</v>
      </c>
      <c r="D161" s="1" t="s">
        <v>22</v>
      </c>
      <c r="E161" s="1" t="s">
        <v>17</v>
      </c>
      <c r="F161" s="1">
        <v>763.0</v>
      </c>
      <c r="G161" s="1">
        <v>2.0</v>
      </c>
      <c r="H161" s="2">
        <v>45112.0</v>
      </c>
      <c r="I161" s="3" t="str">
        <f t="shared" si="1"/>
        <v>Senior (56+)</v>
      </c>
      <c r="J161" s="3">
        <f t="shared" si="2"/>
        <v>7</v>
      </c>
      <c r="K161" s="3">
        <f t="shared" si="3"/>
        <v>2023</v>
      </c>
      <c r="L161" s="3" t="str">
        <f t="shared" si="4"/>
        <v>July</v>
      </c>
      <c r="M161" s="3" t="str">
        <f>VLOOKUP(D161,Lookup_Practice!$A$2:$B$7,2,FALSE)</f>
        <v>Basic</v>
      </c>
      <c r="N161" s="3" t="str">
        <f t="array" ref="N161">INDEX(Lookup_Practice!$B$2:$B$7,MATCH(D161,Lookup_Practice!$A$2:$A$7,0))</f>
        <v>Basic</v>
      </c>
      <c r="O161" s="3" t="str">
        <f t="array" ref="O161">XLOOKUP(D161,Lookup_Practice!$A$2:$A$7,Lookup_Practice!$B$2:$B$7)</f>
        <v>Basic</v>
      </c>
    </row>
    <row r="162">
      <c r="A162" s="1">
        <v>62.0</v>
      </c>
      <c r="B162" s="1" t="s">
        <v>18</v>
      </c>
      <c r="C162" s="1" t="s">
        <v>32</v>
      </c>
      <c r="D162" s="1" t="s">
        <v>16</v>
      </c>
      <c r="E162" s="1" t="s">
        <v>17</v>
      </c>
      <c r="F162" s="1">
        <v>1075.0</v>
      </c>
      <c r="G162" s="1">
        <v>8.0</v>
      </c>
      <c r="H162" s="2">
        <v>45467.0</v>
      </c>
      <c r="I162" s="3" t="str">
        <f t="shared" si="1"/>
        <v>Senior (56+)</v>
      </c>
      <c r="J162" s="3">
        <f t="shared" si="2"/>
        <v>6</v>
      </c>
      <c r="K162" s="3">
        <f t="shared" si="3"/>
        <v>2024</v>
      </c>
      <c r="L162" s="3" t="str">
        <f t="shared" si="4"/>
        <v>June</v>
      </c>
      <c r="M162" s="3" t="str">
        <f>VLOOKUP(D162,Lookup_Practice!$A$2:$B$7,2,FALSE)</f>
        <v>Premium</v>
      </c>
      <c r="N162" s="3" t="str">
        <f t="array" ref="N162">INDEX(Lookup_Practice!$B$2:$B$7,MATCH(D162,Lookup_Practice!$A$2:$A$7,0))</f>
        <v>Premium</v>
      </c>
      <c r="O162" s="3" t="str">
        <f t="array" ref="O162">XLOOKUP(D162,Lookup_Practice!$A$2:$A$7,Lookup_Practice!$B$2:$B$7)</f>
        <v>Premium</v>
      </c>
    </row>
    <row r="163">
      <c r="A163" s="1">
        <v>56.0</v>
      </c>
      <c r="B163" s="1" t="s">
        <v>14</v>
      </c>
      <c r="C163" s="1" t="s">
        <v>25</v>
      </c>
      <c r="D163" s="1" t="s">
        <v>26</v>
      </c>
      <c r="E163" s="1" t="s">
        <v>17</v>
      </c>
      <c r="F163" s="1">
        <v>515.0</v>
      </c>
      <c r="G163" s="1">
        <v>16.0</v>
      </c>
      <c r="H163" s="2">
        <v>45562.0</v>
      </c>
      <c r="I163" s="3" t="str">
        <f t="shared" si="1"/>
        <v>Senior (56+)</v>
      </c>
      <c r="J163" s="3">
        <f t="shared" si="2"/>
        <v>9</v>
      </c>
      <c r="K163" s="3">
        <f t="shared" si="3"/>
        <v>2024</v>
      </c>
      <c r="L163" s="3" t="str">
        <f t="shared" si="4"/>
        <v>September</v>
      </c>
      <c r="M163" s="3" t="str">
        <f>VLOOKUP(D163,Lookup_Practice!$A$2:$B$7,2,FALSE)</f>
        <v>Premium</v>
      </c>
      <c r="N163" s="3" t="str">
        <f t="array" ref="N163">INDEX(Lookup_Practice!$B$2:$B$7,MATCH(D163,Lookup_Practice!$A$2:$A$7,0))</f>
        <v>Premium</v>
      </c>
      <c r="O163" s="3" t="str">
        <f t="array" ref="O163">XLOOKUP(D163,Lookup_Practice!$A$2:$A$7,Lookup_Practice!$B$2:$B$7)</f>
        <v>Premium</v>
      </c>
    </row>
    <row r="164">
      <c r="A164" s="1">
        <v>16.0</v>
      </c>
      <c r="B164" s="1" t="s">
        <v>14</v>
      </c>
      <c r="C164" s="1" t="s">
        <v>21</v>
      </c>
      <c r="D164" s="1" t="s">
        <v>22</v>
      </c>
      <c r="E164" s="1" t="s">
        <v>17</v>
      </c>
      <c r="F164" s="1">
        <v>903.0</v>
      </c>
      <c r="G164" s="1">
        <v>5.0</v>
      </c>
      <c r="H164" s="2">
        <v>45456.0</v>
      </c>
      <c r="I164" s="3" t="str">
        <f t="shared" si="1"/>
        <v>Child (0-17)</v>
      </c>
      <c r="J164" s="3">
        <f t="shared" si="2"/>
        <v>6</v>
      </c>
      <c r="K164" s="3">
        <f t="shared" si="3"/>
        <v>2024</v>
      </c>
      <c r="L164" s="3" t="str">
        <f t="shared" si="4"/>
        <v>June</v>
      </c>
      <c r="M164" s="3" t="str">
        <f>VLOOKUP(D164,Lookup_Practice!$A$2:$B$7,2,FALSE)</f>
        <v>Basic</v>
      </c>
      <c r="N164" s="3" t="str">
        <f t="array" ref="N164">INDEX(Lookup_Practice!$B$2:$B$7,MATCH(D164,Lookup_Practice!$A$2:$A$7,0))</f>
        <v>Basic</v>
      </c>
      <c r="O164" s="3" t="str">
        <f t="array" ref="O164">XLOOKUP(D164,Lookup_Practice!$A$2:$A$7,Lookup_Practice!$B$2:$B$7)</f>
        <v>Basic</v>
      </c>
    </row>
    <row r="165">
      <c r="A165" s="1">
        <v>43.0</v>
      </c>
      <c r="B165" s="1" t="s">
        <v>18</v>
      </c>
      <c r="C165" s="1" t="s">
        <v>31</v>
      </c>
      <c r="D165" s="1" t="s">
        <v>20</v>
      </c>
      <c r="E165" s="1" t="s">
        <v>17</v>
      </c>
      <c r="F165" s="1">
        <v>1430.0</v>
      </c>
      <c r="G165" s="1">
        <v>3.0</v>
      </c>
      <c r="H165" s="2">
        <v>45418.0</v>
      </c>
      <c r="I165" s="3" t="str">
        <f t="shared" si="1"/>
        <v>Middle Age (36-55)</v>
      </c>
      <c r="J165" s="3">
        <f t="shared" si="2"/>
        <v>5</v>
      </c>
      <c r="K165" s="3">
        <f t="shared" si="3"/>
        <v>2024</v>
      </c>
      <c r="L165" s="3" t="str">
        <f t="shared" si="4"/>
        <v>May</v>
      </c>
      <c r="M165" s="3" t="str">
        <f>VLOOKUP(D165,Lookup_Practice!$A$2:$B$7,2,FALSE)</f>
        <v>Standard</v>
      </c>
      <c r="N165" s="3" t="str">
        <f t="array" ref="N165">INDEX(Lookup_Practice!$B$2:$B$7,MATCH(D165,Lookup_Practice!$A$2:$A$7,0))</f>
        <v>Standard</v>
      </c>
      <c r="O165" s="3" t="str">
        <f t="array" ref="O165">XLOOKUP(D165,Lookup_Practice!$A$2:$A$7,Lookup_Practice!$B$2:$B$7)</f>
        <v>Standard</v>
      </c>
    </row>
    <row r="166">
      <c r="A166" s="1">
        <v>6.0</v>
      </c>
      <c r="B166" s="1" t="s">
        <v>18</v>
      </c>
      <c r="C166" s="1" t="s">
        <v>21</v>
      </c>
      <c r="D166" s="1" t="s">
        <v>26</v>
      </c>
      <c r="E166" s="1" t="s">
        <v>17</v>
      </c>
      <c r="F166" s="1">
        <v>512.0</v>
      </c>
      <c r="G166" s="1">
        <v>12.0</v>
      </c>
      <c r="H166" s="2">
        <v>45570.0</v>
      </c>
      <c r="I166" s="3" t="str">
        <f t="shared" si="1"/>
        <v>Child (0-17)</v>
      </c>
      <c r="J166" s="3">
        <f t="shared" si="2"/>
        <v>10</v>
      </c>
      <c r="K166" s="3">
        <f t="shared" si="3"/>
        <v>2024</v>
      </c>
      <c r="L166" s="3" t="str">
        <f t="shared" si="4"/>
        <v>October</v>
      </c>
      <c r="M166" s="3" t="str">
        <f>VLOOKUP(D166,Lookup_Practice!$A$2:$B$7,2,FALSE)</f>
        <v>Premium</v>
      </c>
      <c r="N166" s="3" t="str">
        <f t="array" ref="N166">INDEX(Lookup_Practice!$B$2:$B$7,MATCH(D166,Lookup_Practice!$A$2:$A$7,0))</f>
        <v>Premium</v>
      </c>
      <c r="O166" s="3" t="str">
        <f t="array" ref="O166">XLOOKUP(D166,Lookup_Practice!$A$2:$A$7,Lookup_Practice!$B$2:$B$7)</f>
        <v>Premium</v>
      </c>
    </row>
    <row r="167">
      <c r="A167" s="1">
        <v>7.0</v>
      </c>
      <c r="B167" s="1" t="s">
        <v>14</v>
      </c>
      <c r="C167" s="1" t="s">
        <v>21</v>
      </c>
      <c r="D167" s="1" t="s">
        <v>22</v>
      </c>
      <c r="E167" s="1" t="s">
        <v>17</v>
      </c>
      <c r="F167" s="1">
        <v>766.0</v>
      </c>
      <c r="G167" s="1">
        <v>13.0</v>
      </c>
      <c r="H167" s="2">
        <v>45116.0</v>
      </c>
      <c r="I167" s="3" t="str">
        <f t="shared" si="1"/>
        <v>Child (0-17)</v>
      </c>
      <c r="J167" s="3">
        <f t="shared" si="2"/>
        <v>7</v>
      </c>
      <c r="K167" s="3">
        <f t="shared" si="3"/>
        <v>2023</v>
      </c>
      <c r="L167" s="3" t="str">
        <f t="shared" si="4"/>
        <v>July</v>
      </c>
      <c r="M167" s="3" t="str">
        <f>VLOOKUP(D167,Lookup_Practice!$A$2:$B$7,2,FALSE)</f>
        <v>Basic</v>
      </c>
      <c r="N167" s="3" t="str">
        <f t="array" ref="N167">INDEX(Lookup_Practice!$B$2:$B$7,MATCH(D167,Lookup_Practice!$A$2:$A$7,0))</f>
        <v>Basic</v>
      </c>
      <c r="O167" s="3" t="str">
        <f t="array" ref="O167">XLOOKUP(D167,Lookup_Practice!$A$2:$A$7,Lookup_Practice!$B$2:$B$7)</f>
        <v>Basic</v>
      </c>
    </row>
    <row r="168">
      <c r="A168" s="1">
        <v>60.0</v>
      </c>
      <c r="B168" s="1" t="s">
        <v>18</v>
      </c>
      <c r="C168" s="1" t="s">
        <v>21</v>
      </c>
      <c r="D168" s="1" t="s">
        <v>20</v>
      </c>
      <c r="E168" s="1" t="s">
        <v>24</v>
      </c>
      <c r="F168" s="1">
        <v>1474.0</v>
      </c>
      <c r="G168" s="1">
        <v>13.0</v>
      </c>
      <c r="H168" s="2">
        <v>45318.0</v>
      </c>
      <c r="I168" s="3" t="str">
        <f t="shared" si="1"/>
        <v>Senior (56+)</v>
      </c>
      <c r="J168" s="3">
        <f t="shared" si="2"/>
        <v>1</v>
      </c>
      <c r="K168" s="3">
        <f t="shared" si="3"/>
        <v>2024</v>
      </c>
      <c r="L168" s="3" t="str">
        <f t="shared" si="4"/>
        <v>January</v>
      </c>
      <c r="M168" s="3" t="str">
        <f>VLOOKUP(D168,Lookup_Practice!$A$2:$B$7,2,FALSE)</f>
        <v>Standard</v>
      </c>
      <c r="N168" s="3" t="str">
        <f t="array" ref="N168">INDEX(Lookup_Practice!$B$2:$B$7,MATCH(D168,Lookup_Practice!$A$2:$A$7,0))</f>
        <v>Standard</v>
      </c>
      <c r="O168" s="3" t="str">
        <f t="array" ref="O168">XLOOKUP(D168,Lookup_Practice!$A$2:$A$7,Lookup_Practice!$B$2:$B$7)</f>
        <v>Standard</v>
      </c>
    </row>
    <row r="169">
      <c r="A169" s="1">
        <v>63.0</v>
      </c>
      <c r="B169" s="1" t="s">
        <v>18</v>
      </c>
      <c r="C169" s="1" t="s">
        <v>15</v>
      </c>
      <c r="D169" s="1" t="s">
        <v>23</v>
      </c>
      <c r="E169" s="1" t="s">
        <v>17</v>
      </c>
      <c r="F169" s="1">
        <v>1144.0</v>
      </c>
      <c r="G169" s="1">
        <v>10.0</v>
      </c>
      <c r="H169" s="2">
        <v>45276.0</v>
      </c>
      <c r="I169" s="3" t="str">
        <f t="shared" si="1"/>
        <v>Senior (56+)</v>
      </c>
      <c r="J169" s="3">
        <f t="shared" si="2"/>
        <v>12</v>
      </c>
      <c r="K169" s="3">
        <f t="shared" si="3"/>
        <v>2023</v>
      </c>
      <c r="L169" s="3" t="str">
        <f t="shared" si="4"/>
        <v>December</v>
      </c>
      <c r="M169" s="3" t="str">
        <f>VLOOKUP(D169,Lookup_Practice!$A$2:$B$7,2,FALSE)</f>
        <v>Standard</v>
      </c>
      <c r="N169" s="3" t="str">
        <f t="array" ref="N169">INDEX(Lookup_Practice!$B$2:$B$7,MATCH(D169,Lookup_Practice!$A$2:$A$7,0))</f>
        <v>Standard</v>
      </c>
      <c r="O169" s="3" t="str">
        <f t="array" ref="O169">XLOOKUP(D169,Lookup_Practice!$A$2:$A$7,Lookup_Practice!$B$2:$B$7)</f>
        <v>Standard</v>
      </c>
    </row>
    <row r="170">
      <c r="A170" s="1">
        <v>6.0</v>
      </c>
      <c r="B170" s="1" t="s">
        <v>14</v>
      </c>
      <c r="C170" s="1" t="s">
        <v>15</v>
      </c>
      <c r="D170" s="1" t="s">
        <v>16</v>
      </c>
      <c r="E170" s="1" t="s">
        <v>24</v>
      </c>
      <c r="F170" s="1">
        <v>1159.0</v>
      </c>
      <c r="G170" s="1">
        <v>4.0</v>
      </c>
      <c r="H170" s="2">
        <v>45475.0</v>
      </c>
      <c r="I170" s="3" t="str">
        <f t="shared" si="1"/>
        <v>Child (0-17)</v>
      </c>
      <c r="J170" s="3">
        <f t="shared" si="2"/>
        <v>7</v>
      </c>
      <c r="K170" s="3">
        <f t="shared" si="3"/>
        <v>2024</v>
      </c>
      <c r="L170" s="3" t="str">
        <f t="shared" si="4"/>
        <v>July</v>
      </c>
      <c r="M170" s="3" t="str">
        <f>VLOOKUP(D170,Lookup_Practice!$A$2:$B$7,2,FALSE)</f>
        <v>Premium</v>
      </c>
      <c r="N170" s="3" t="str">
        <f t="array" ref="N170">INDEX(Lookup_Practice!$B$2:$B$7,MATCH(D170,Lookup_Practice!$A$2:$A$7,0))</f>
        <v>Premium</v>
      </c>
      <c r="O170" s="3" t="str">
        <f t="array" ref="O170">XLOOKUP(D170,Lookup_Practice!$A$2:$A$7,Lookup_Practice!$B$2:$B$7)</f>
        <v>Premium</v>
      </c>
    </row>
    <row r="171">
      <c r="A171" s="1">
        <v>6.0</v>
      </c>
      <c r="B171" s="1" t="s">
        <v>14</v>
      </c>
      <c r="C171" s="1" t="s">
        <v>15</v>
      </c>
      <c r="D171" s="1" t="s">
        <v>20</v>
      </c>
      <c r="E171" s="1" t="s">
        <v>17</v>
      </c>
      <c r="F171" s="1">
        <v>1553.0</v>
      </c>
      <c r="G171" s="1">
        <v>9.0</v>
      </c>
      <c r="H171" s="2">
        <v>45352.0</v>
      </c>
      <c r="I171" s="3" t="str">
        <f t="shared" si="1"/>
        <v>Child (0-17)</v>
      </c>
      <c r="J171" s="3">
        <f t="shared" si="2"/>
        <v>3</v>
      </c>
      <c r="K171" s="3">
        <f t="shared" si="3"/>
        <v>2024</v>
      </c>
      <c r="L171" s="3" t="str">
        <f t="shared" si="4"/>
        <v>March</v>
      </c>
      <c r="M171" s="3" t="str">
        <f>VLOOKUP(D171,Lookup_Practice!$A$2:$B$7,2,FALSE)</f>
        <v>Standard</v>
      </c>
      <c r="N171" s="3" t="str">
        <f t="array" ref="N171">INDEX(Lookup_Practice!$B$2:$B$7,MATCH(D171,Lookup_Practice!$A$2:$A$7,0))</f>
        <v>Standard</v>
      </c>
      <c r="O171" s="3" t="str">
        <f t="array" ref="O171">XLOOKUP(D171,Lookup_Practice!$A$2:$A$7,Lookup_Practice!$B$2:$B$7)</f>
        <v>Standard</v>
      </c>
    </row>
    <row r="172">
      <c r="A172" s="1">
        <v>58.0</v>
      </c>
      <c r="B172" s="1" t="s">
        <v>18</v>
      </c>
      <c r="C172" s="1" t="s">
        <v>19</v>
      </c>
      <c r="D172" s="1" t="s">
        <v>30</v>
      </c>
      <c r="E172" s="1" t="s">
        <v>17</v>
      </c>
      <c r="F172" s="1">
        <v>1054.0</v>
      </c>
      <c r="G172" s="1">
        <v>2.0</v>
      </c>
      <c r="H172" s="2">
        <v>45543.0</v>
      </c>
      <c r="I172" s="3" t="str">
        <f t="shared" si="1"/>
        <v>Senior (56+)</v>
      </c>
      <c r="J172" s="3">
        <f t="shared" si="2"/>
        <v>9</v>
      </c>
      <c r="K172" s="3">
        <f t="shared" si="3"/>
        <v>2024</v>
      </c>
      <c r="L172" s="3" t="str">
        <f t="shared" si="4"/>
        <v>September</v>
      </c>
      <c r="M172" s="3" t="str">
        <f>VLOOKUP(D172,Lookup_Practice!$A$2:$B$7,2,FALSE)</f>
        <v>Standard</v>
      </c>
      <c r="N172" s="3" t="str">
        <f t="array" ref="N172">INDEX(Lookup_Practice!$B$2:$B$7,MATCH(D172,Lookup_Practice!$A$2:$A$7,0))</f>
        <v>Standard</v>
      </c>
      <c r="O172" s="3" t="str">
        <f t="array" ref="O172">XLOOKUP(D172,Lookup_Practice!$A$2:$A$7,Lookup_Practice!$B$2:$B$7)</f>
        <v>Standard</v>
      </c>
    </row>
    <row r="173">
      <c r="A173" s="1">
        <v>5.0</v>
      </c>
      <c r="B173" s="1" t="s">
        <v>14</v>
      </c>
      <c r="C173" s="1" t="s">
        <v>21</v>
      </c>
      <c r="D173" s="1" t="s">
        <v>20</v>
      </c>
      <c r="E173" s="1" t="s">
        <v>24</v>
      </c>
      <c r="F173" s="1">
        <v>1633.0</v>
      </c>
      <c r="G173" s="1">
        <v>19.0</v>
      </c>
      <c r="H173" s="2">
        <v>45096.0</v>
      </c>
      <c r="I173" s="3" t="str">
        <f t="shared" si="1"/>
        <v>Child (0-17)</v>
      </c>
      <c r="J173" s="3">
        <f t="shared" si="2"/>
        <v>6</v>
      </c>
      <c r="K173" s="3">
        <f t="shared" si="3"/>
        <v>2023</v>
      </c>
      <c r="L173" s="3" t="str">
        <f t="shared" si="4"/>
        <v>June</v>
      </c>
      <c r="M173" s="3" t="str">
        <f>VLOOKUP(D173,Lookup_Practice!$A$2:$B$7,2,FALSE)</f>
        <v>Standard</v>
      </c>
      <c r="N173" s="3" t="str">
        <f t="array" ref="N173">INDEX(Lookup_Practice!$B$2:$B$7,MATCH(D173,Lookup_Practice!$A$2:$A$7,0))</f>
        <v>Standard</v>
      </c>
      <c r="O173" s="3" t="str">
        <f t="array" ref="O173">XLOOKUP(D173,Lookup_Practice!$A$2:$A$7,Lookup_Practice!$B$2:$B$7)</f>
        <v>Standard</v>
      </c>
    </row>
    <row r="174">
      <c r="A174" s="1">
        <v>23.0</v>
      </c>
      <c r="B174" s="1" t="s">
        <v>18</v>
      </c>
      <c r="C174" s="1" t="s">
        <v>21</v>
      </c>
      <c r="D174" s="1" t="s">
        <v>20</v>
      </c>
      <c r="E174" s="1" t="s">
        <v>17</v>
      </c>
      <c r="F174" s="1">
        <v>1450.0</v>
      </c>
      <c r="G174" s="1">
        <v>1.0</v>
      </c>
      <c r="H174" s="2">
        <v>45546.0</v>
      </c>
      <c r="I174" s="3" t="str">
        <f t="shared" si="1"/>
        <v>Young Adult (18-35)</v>
      </c>
      <c r="J174" s="3">
        <f t="shared" si="2"/>
        <v>9</v>
      </c>
      <c r="K174" s="3">
        <f t="shared" si="3"/>
        <v>2024</v>
      </c>
      <c r="L174" s="3" t="str">
        <f t="shared" si="4"/>
        <v>September</v>
      </c>
      <c r="M174" s="3" t="str">
        <f>VLOOKUP(D174,Lookup_Practice!$A$2:$B$7,2,FALSE)</f>
        <v>Standard</v>
      </c>
      <c r="N174" s="3" t="str">
        <f t="array" ref="N174">INDEX(Lookup_Practice!$B$2:$B$7,MATCH(D174,Lookup_Practice!$A$2:$A$7,0))</f>
        <v>Standard</v>
      </c>
      <c r="O174" s="3" t="str">
        <f t="array" ref="O174">XLOOKUP(D174,Lookup_Practice!$A$2:$A$7,Lookup_Practice!$B$2:$B$7)</f>
        <v>Standard</v>
      </c>
    </row>
    <row r="175">
      <c r="A175" s="1">
        <v>6.0</v>
      </c>
      <c r="B175" s="1" t="s">
        <v>14</v>
      </c>
      <c r="C175" s="1" t="s">
        <v>21</v>
      </c>
      <c r="D175" s="1" t="s">
        <v>16</v>
      </c>
      <c r="E175" s="1" t="s">
        <v>17</v>
      </c>
      <c r="F175" s="1">
        <v>1161.0</v>
      </c>
      <c r="G175" s="1">
        <v>7.0</v>
      </c>
      <c r="H175" s="2">
        <v>45424.0</v>
      </c>
      <c r="I175" s="3" t="str">
        <f t="shared" si="1"/>
        <v>Child (0-17)</v>
      </c>
      <c r="J175" s="3">
        <f t="shared" si="2"/>
        <v>5</v>
      </c>
      <c r="K175" s="3">
        <f t="shared" si="3"/>
        <v>2024</v>
      </c>
      <c r="L175" s="3" t="str">
        <f t="shared" si="4"/>
        <v>May</v>
      </c>
      <c r="M175" s="3" t="str">
        <f>VLOOKUP(D175,Lookup_Practice!$A$2:$B$7,2,FALSE)</f>
        <v>Premium</v>
      </c>
      <c r="N175" s="3" t="str">
        <f t="array" ref="N175">INDEX(Lookup_Practice!$B$2:$B$7,MATCH(D175,Lookup_Practice!$A$2:$A$7,0))</f>
        <v>Premium</v>
      </c>
      <c r="O175" s="3" t="str">
        <f t="array" ref="O175">XLOOKUP(D175,Lookup_Practice!$A$2:$A$7,Lookup_Practice!$B$2:$B$7)</f>
        <v>Premium</v>
      </c>
    </row>
    <row r="176">
      <c r="A176" s="1">
        <v>57.0</v>
      </c>
      <c r="B176" s="1" t="s">
        <v>18</v>
      </c>
      <c r="C176" s="1" t="s">
        <v>21</v>
      </c>
      <c r="D176" s="1" t="s">
        <v>30</v>
      </c>
      <c r="E176" s="1" t="s">
        <v>17</v>
      </c>
      <c r="F176" s="1">
        <v>1024.0</v>
      </c>
      <c r="G176" s="1">
        <v>17.0</v>
      </c>
      <c r="H176" s="2">
        <v>45485.0</v>
      </c>
      <c r="I176" s="3" t="str">
        <f t="shared" si="1"/>
        <v>Senior (56+)</v>
      </c>
      <c r="J176" s="3">
        <f t="shared" si="2"/>
        <v>7</v>
      </c>
      <c r="K176" s="3">
        <f t="shared" si="3"/>
        <v>2024</v>
      </c>
      <c r="L176" s="3" t="str">
        <f t="shared" si="4"/>
        <v>July</v>
      </c>
      <c r="M176" s="3" t="str">
        <f>VLOOKUP(D176,Lookup_Practice!$A$2:$B$7,2,FALSE)</f>
        <v>Standard</v>
      </c>
      <c r="N176" s="3" t="str">
        <f t="array" ref="N176">INDEX(Lookup_Practice!$B$2:$B$7,MATCH(D176,Lookup_Practice!$A$2:$A$7,0))</f>
        <v>Standard</v>
      </c>
      <c r="O176" s="3" t="str">
        <f t="array" ref="O176">XLOOKUP(D176,Lookup_Practice!$A$2:$A$7,Lookup_Practice!$B$2:$B$7)</f>
        <v>Standard</v>
      </c>
    </row>
    <row r="177">
      <c r="A177" s="1">
        <v>48.0</v>
      </c>
      <c r="B177" s="1" t="s">
        <v>18</v>
      </c>
      <c r="C177" s="1" t="s">
        <v>15</v>
      </c>
      <c r="D177" s="1" t="s">
        <v>22</v>
      </c>
      <c r="E177" s="1" t="s">
        <v>17</v>
      </c>
      <c r="F177" s="1">
        <v>944.0</v>
      </c>
      <c r="G177" s="1">
        <v>3.0</v>
      </c>
      <c r="H177" s="2">
        <v>45389.0</v>
      </c>
      <c r="I177" s="3" t="str">
        <f t="shared" si="1"/>
        <v>Middle Age (36-55)</v>
      </c>
      <c r="J177" s="3">
        <f t="shared" si="2"/>
        <v>4</v>
      </c>
      <c r="K177" s="3">
        <f t="shared" si="3"/>
        <v>2024</v>
      </c>
      <c r="L177" s="3" t="str">
        <f t="shared" si="4"/>
        <v>April</v>
      </c>
      <c r="M177" s="3" t="str">
        <f>VLOOKUP(D177,Lookup_Practice!$A$2:$B$7,2,FALSE)</f>
        <v>Basic</v>
      </c>
      <c r="N177" s="3" t="str">
        <f t="array" ref="N177">INDEX(Lookup_Practice!$B$2:$B$7,MATCH(D177,Lookup_Practice!$A$2:$A$7,0))</f>
        <v>Basic</v>
      </c>
      <c r="O177" s="3" t="str">
        <f t="array" ref="O177">XLOOKUP(D177,Lookup_Practice!$A$2:$A$7,Lookup_Practice!$B$2:$B$7)</f>
        <v>Basic</v>
      </c>
    </row>
    <row r="178">
      <c r="A178" s="1">
        <v>36.0</v>
      </c>
      <c r="B178" s="1" t="s">
        <v>18</v>
      </c>
      <c r="C178" s="1" t="s">
        <v>29</v>
      </c>
      <c r="D178" s="1" t="s">
        <v>22</v>
      </c>
      <c r="E178" s="1" t="s">
        <v>17</v>
      </c>
      <c r="F178" s="1">
        <v>729.0</v>
      </c>
      <c r="G178" s="1">
        <v>20.0</v>
      </c>
      <c r="H178" s="2">
        <v>45133.0</v>
      </c>
      <c r="I178" s="3" t="str">
        <f t="shared" si="1"/>
        <v>Middle Age (36-55)</v>
      </c>
      <c r="J178" s="3">
        <f t="shared" si="2"/>
        <v>7</v>
      </c>
      <c r="K178" s="3">
        <f t="shared" si="3"/>
        <v>2023</v>
      </c>
      <c r="L178" s="3" t="str">
        <f t="shared" si="4"/>
        <v>July</v>
      </c>
      <c r="M178" s="3" t="str">
        <f>VLOOKUP(D178,Lookup_Practice!$A$2:$B$7,2,FALSE)</f>
        <v>Basic</v>
      </c>
      <c r="N178" s="3" t="str">
        <f t="array" ref="N178">INDEX(Lookup_Practice!$B$2:$B$7,MATCH(D178,Lookup_Practice!$A$2:$A$7,0))</f>
        <v>Basic</v>
      </c>
      <c r="O178" s="3" t="str">
        <f t="array" ref="O178">XLOOKUP(D178,Lookup_Practice!$A$2:$A$7,Lookup_Practice!$B$2:$B$7)</f>
        <v>Basic</v>
      </c>
    </row>
    <row r="179">
      <c r="A179" s="1">
        <v>74.0</v>
      </c>
      <c r="B179" s="1" t="s">
        <v>14</v>
      </c>
      <c r="C179" s="1" t="s">
        <v>15</v>
      </c>
      <c r="D179" s="1" t="s">
        <v>20</v>
      </c>
      <c r="E179" s="1" t="s">
        <v>17</v>
      </c>
      <c r="F179" s="1">
        <v>1521.0</v>
      </c>
      <c r="G179" s="1">
        <v>20.0</v>
      </c>
      <c r="H179" s="2">
        <v>45304.0</v>
      </c>
      <c r="I179" s="3" t="str">
        <f t="shared" si="1"/>
        <v>Senior (56+)</v>
      </c>
      <c r="J179" s="3">
        <f t="shared" si="2"/>
        <v>1</v>
      </c>
      <c r="K179" s="3">
        <f t="shared" si="3"/>
        <v>2024</v>
      </c>
      <c r="L179" s="3" t="str">
        <f t="shared" si="4"/>
        <v>January</v>
      </c>
      <c r="M179" s="3" t="str">
        <f>VLOOKUP(D179,Lookup_Practice!$A$2:$B$7,2,FALSE)</f>
        <v>Standard</v>
      </c>
      <c r="N179" s="3" t="str">
        <f t="array" ref="N179">INDEX(Lookup_Practice!$B$2:$B$7,MATCH(D179,Lookup_Practice!$A$2:$A$7,0))</f>
        <v>Standard</v>
      </c>
      <c r="O179" s="3" t="str">
        <f t="array" ref="O179">XLOOKUP(D179,Lookup_Practice!$A$2:$A$7,Lookup_Practice!$B$2:$B$7)</f>
        <v>Standard</v>
      </c>
    </row>
    <row r="180">
      <c r="A180" s="1">
        <v>36.0</v>
      </c>
      <c r="B180" s="1" t="s">
        <v>14</v>
      </c>
      <c r="C180" s="1" t="s">
        <v>21</v>
      </c>
      <c r="D180" s="1" t="s">
        <v>30</v>
      </c>
      <c r="E180" s="1" t="s">
        <v>17</v>
      </c>
      <c r="F180" s="1">
        <v>1024.0</v>
      </c>
      <c r="G180" s="1">
        <v>3.0</v>
      </c>
      <c r="H180" s="2">
        <v>45134.0</v>
      </c>
      <c r="I180" s="3" t="str">
        <f t="shared" si="1"/>
        <v>Middle Age (36-55)</v>
      </c>
      <c r="J180" s="3">
        <f t="shared" si="2"/>
        <v>7</v>
      </c>
      <c r="K180" s="3">
        <f t="shared" si="3"/>
        <v>2023</v>
      </c>
      <c r="L180" s="3" t="str">
        <f t="shared" si="4"/>
        <v>July</v>
      </c>
      <c r="M180" s="3" t="str">
        <f>VLOOKUP(D180,Lookup_Practice!$A$2:$B$7,2,FALSE)</f>
        <v>Standard</v>
      </c>
      <c r="N180" s="3" t="str">
        <f t="array" ref="N180">INDEX(Lookup_Practice!$B$2:$B$7,MATCH(D180,Lookup_Practice!$A$2:$A$7,0))</f>
        <v>Standard</v>
      </c>
      <c r="O180" s="3" t="str">
        <f t="array" ref="O180">XLOOKUP(D180,Lookup_Practice!$A$2:$A$7,Lookup_Practice!$B$2:$B$7)</f>
        <v>Standard</v>
      </c>
    </row>
    <row r="181">
      <c r="A181" s="1">
        <v>72.0</v>
      </c>
      <c r="B181" s="1" t="s">
        <v>18</v>
      </c>
      <c r="C181" s="1" t="s">
        <v>15</v>
      </c>
      <c r="D181" s="1" t="s">
        <v>30</v>
      </c>
      <c r="E181" s="1" t="s">
        <v>17</v>
      </c>
      <c r="F181" s="1">
        <v>936.0</v>
      </c>
      <c r="G181" s="1">
        <v>3.0</v>
      </c>
      <c r="H181" s="2">
        <v>45512.0</v>
      </c>
      <c r="I181" s="3" t="str">
        <f t="shared" si="1"/>
        <v>Senior (56+)</v>
      </c>
      <c r="J181" s="3">
        <f t="shared" si="2"/>
        <v>8</v>
      </c>
      <c r="K181" s="3">
        <f t="shared" si="3"/>
        <v>2024</v>
      </c>
      <c r="L181" s="3" t="str">
        <f t="shared" si="4"/>
        <v>August</v>
      </c>
      <c r="M181" s="3" t="str">
        <f>VLOOKUP(D181,Lookup_Practice!$A$2:$B$7,2,FALSE)</f>
        <v>Standard</v>
      </c>
      <c r="N181" s="3" t="str">
        <f t="array" ref="N181">INDEX(Lookup_Practice!$B$2:$B$7,MATCH(D181,Lookup_Practice!$A$2:$A$7,0))</f>
        <v>Standard</v>
      </c>
      <c r="O181" s="3" t="str">
        <f t="array" ref="O181">XLOOKUP(D181,Lookup_Practice!$A$2:$A$7,Lookup_Practice!$B$2:$B$7)</f>
        <v>Standard</v>
      </c>
    </row>
    <row r="182">
      <c r="A182" s="1">
        <v>59.0</v>
      </c>
      <c r="B182" s="1" t="s">
        <v>18</v>
      </c>
      <c r="C182" s="1" t="s">
        <v>21</v>
      </c>
      <c r="D182" s="1" t="s">
        <v>16</v>
      </c>
      <c r="E182" s="1" t="s">
        <v>17</v>
      </c>
      <c r="F182" s="1">
        <v>1069.0</v>
      </c>
      <c r="G182" s="1">
        <v>17.0</v>
      </c>
      <c r="H182" s="2">
        <v>45068.0</v>
      </c>
      <c r="I182" s="3" t="str">
        <f t="shared" si="1"/>
        <v>Senior (56+)</v>
      </c>
      <c r="J182" s="3">
        <f t="shared" si="2"/>
        <v>5</v>
      </c>
      <c r="K182" s="3">
        <f t="shared" si="3"/>
        <v>2023</v>
      </c>
      <c r="L182" s="3" t="str">
        <f t="shared" si="4"/>
        <v>May</v>
      </c>
      <c r="M182" s="3" t="str">
        <f>VLOOKUP(D182,Lookup_Practice!$A$2:$B$7,2,FALSE)</f>
        <v>Premium</v>
      </c>
      <c r="N182" s="3" t="str">
        <f t="array" ref="N182">INDEX(Lookup_Practice!$B$2:$B$7,MATCH(D182,Lookup_Practice!$A$2:$A$7,0))</f>
        <v>Premium</v>
      </c>
      <c r="O182" s="3" t="str">
        <f t="array" ref="O182">XLOOKUP(D182,Lookup_Practice!$A$2:$A$7,Lookup_Practice!$B$2:$B$7)</f>
        <v>Premium</v>
      </c>
    </row>
    <row r="183">
      <c r="A183" s="1">
        <v>79.0</v>
      </c>
      <c r="B183" s="1" t="s">
        <v>14</v>
      </c>
      <c r="C183" s="1" t="s">
        <v>19</v>
      </c>
      <c r="D183" s="1" t="s">
        <v>23</v>
      </c>
      <c r="E183" s="1" t="s">
        <v>24</v>
      </c>
      <c r="F183" s="1">
        <v>1223.0</v>
      </c>
      <c r="G183" s="1">
        <v>7.0</v>
      </c>
      <c r="H183" s="2">
        <v>44983.0</v>
      </c>
      <c r="I183" s="3" t="str">
        <f t="shared" si="1"/>
        <v>Senior (56+)</v>
      </c>
      <c r="J183" s="3">
        <f t="shared" si="2"/>
        <v>2</v>
      </c>
      <c r="K183" s="3">
        <f t="shared" si="3"/>
        <v>2023</v>
      </c>
      <c r="L183" s="3" t="str">
        <f t="shared" si="4"/>
        <v>February</v>
      </c>
      <c r="M183" s="3" t="str">
        <f>VLOOKUP(D183,Lookup_Practice!$A$2:$B$7,2,FALSE)</f>
        <v>Standard</v>
      </c>
      <c r="N183" s="3" t="str">
        <f t="array" ref="N183">INDEX(Lookup_Practice!$B$2:$B$7,MATCH(D183,Lookup_Practice!$A$2:$A$7,0))</f>
        <v>Standard</v>
      </c>
      <c r="O183" s="3" t="str">
        <f t="array" ref="O183">XLOOKUP(D183,Lookup_Practice!$A$2:$A$7,Lookup_Practice!$B$2:$B$7)</f>
        <v>Standard</v>
      </c>
    </row>
    <row r="184">
      <c r="A184" s="1">
        <v>60.0</v>
      </c>
      <c r="B184" s="1" t="s">
        <v>18</v>
      </c>
      <c r="C184" s="1" t="s">
        <v>21</v>
      </c>
      <c r="D184" s="1" t="s">
        <v>22</v>
      </c>
      <c r="E184" s="1" t="s">
        <v>28</v>
      </c>
      <c r="F184" s="1">
        <v>734.0</v>
      </c>
      <c r="G184" s="1">
        <v>14.0</v>
      </c>
      <c r="H184" s="2">
        <v>45421.0</v>
      </c>
      <c r="I184" s="3" t="str">
        <f t="shared" si="1"/>
        <v>Senior (56+)</v>
      </c>
      <c r="J184" s="3">
        <f t="shared" si="2"/>
        <v>5</v>
      </c>
      <c r="K184" s="3">
        <f t="shared" si="3"/>
        <v>2024</v>
      </c>
      <c r="L184" s="3" t="str">
        <f t="shared" si="4"/>
        <v>May</v>
      </c>
      <c r="M184" s="3" t="str">
        <f>VLOOKUP(D184,Lookup_Practice!$A$2:$B$7,2,FALSE)</f>
        <v>Basic</v>
      </c>
      <c r="N184" s="3" t="str">
        <f t="array" ref="N184">INDEX(Lookup_Practice!$B$2:$B$7,MATCH(D184,Lookup_Practice!$A$2:$A$7,0))</f>
        <v>Basic</v>
      </c>
      <c r="O184" s="3" t="str">
        <f t="array" ref="O184">XLOOKUP(D184,Lookup_Practice!$A$2:$A$7,Lookup_Practice!$B$2:$B$7)</f>
        <v>Basic</v>
      </c>
    </row>
    <row r="185">
      <c r="A185" s="1">
        <v>21.0</v>
      </c>
      <c r="B185" s="1" t="s">
        <v>18</v>
      </c>
      <c r="C185" s="1" t="s">
        <v>25</v>
      </c>
      <c r="D185" s="1" t="s">
        <v>16</v>
      </c>
      <c r="E185" s="1" t="s">
        <v>17</v>
      </c>
      <c r="F185" s="1">
        <v>986.0</v>
      </c>
      <c r="G185" s="1">
        <v>17.0</v>
      </c>
      <c r="H185" s="2">
        <v>45450.0</v>
      </c>
      <c r="I185" s="3" t="str">
        <f t="shared" si="1"/>
        <v>Young Adult (18-35)</v>
      </c>
      <c r="J185" s="3">
        <f t="shared" si="2"/>
        <v>6</v>
      </c>
      <c r="K185" s="3">
        <f t="shared" si="3"/>
        <v>2024</v>
      </c>
      <c r="L185" s="3" t="str">
        <f t="shared" si="4"/>
        <v>June</v>
      </c>
      <c r="M185" s="3" t="str">
        <f>VLOOKUP(D185,Lookup_Practice!$A$2:$B$7,2,FALSE)</f>
        <v>Premium</v>
      </c>
      <c r="N185" s="3" t="str">
        <f t="array" ref="N185">INDEX(Lookup_Practice!$B$2:$B$7,MATCH(D185,Lookup_Practice!$A$2:$A$7,0))</f>
        <v>Premium</v>
      </c>
      <c r="O185" s="3" t="str">
        <f t="array" ref="O185">XLOOKUP(D185,Lookup_Practice!$A$2:$A$7,Lookup_Practice!$B$2:$B$7)</f>
        <v>Premium</v>
      </c>
    </row>
    <row r="186">
      <c r="A186" s="1">
        <v>42.0</v>
      </c>
      <c r="B186" s="1" t="s">
        <v>14</v>
      </c>
      <c r="C186" s="1" t="s">
        <v>32</v>
      </c>
      <c r="D186" s="1" t="s">
        <v>26</v>
      </c>
      <c r="E186" s="1" t="s">
        <v>24</v>
      </c>
      <c r="F186" s="1">
        <v>533.0</v>
      </c>
      <c r="G186" s="1">
        <v>18.0</v>
      </c>
      <c r="H186" s="2">
        <v>45286.0</v>
      </c>
      <c r="I186" s="3" t="str">
        <f t="shared" si="1"/>
        <v>Middle Age (36-55)</v>
      </c>
      <c r="J186" s="3">
        <f t="shared" si="2"/>
        <v>12</v>
      </c>
      <c r="K186" s="3">
        <f t="shared" si="3"/>
        <v>2023</v>
      </c>
      <c r="L186" s="3" t="str">
        <f t="shared" si="4"/>
        <v>December</v>
      </c>
      <c r="M186" s="3" t="str">
        <f>VLOOKUP(D186,Lookup_Practice!$A$2:$B$7,2,FALSE)</f>
        <v>Premium</v>
      </c>
      <c r="N186" s="3" t="str">
        <f t="array" ref="N186">INDEX(Lookup_Practice!$B$2:$B$7,MATCH(D186,Lookup_Practice!$A$2:$A$7,0))</f>
        <v>Premium</v>
      </c>
      <c r="O186" s="3" t="str">
        <f t="array" ref="O186">XLOOKUP(D186,Lookup_Practice!$A$2:$A$7,Lookup_Practice!$B$2:$B$7)</f>
        <v>Premium</v>
      </c>
    </row>
    <row r="187">
      <c r="A187" s="1">
        <v>28.0</v>
      </c>
      <c r="B187" s="1" t="s">
        <v>18</v>
      </c>
      <c r="C187" s="1" t="s">
        <v>15</v>
      </c>
      <c r="D187" s="1" t="s">
        <v>22</v>
      </c>
      <c r="E187" s="1" t="s">
        <v>17</v>
      </c>
      <c r="F187" s="1">
        <v>895.0</v>
      </c>
      <c r="G187" s="1">
        <v>13.0</v>
      </c>
      <c r="H187" s="2">
        <v>45343.0</v>
      </c>
      <c r="I187" s="3" t="str">
        <f t="shared" si="1"/>
        <v>Young Adult (18-35)</v>
      </c>
      <c r="J187" s="3">
        <f t="shared" si="2"/>
        <v>2</v>
      </c>
      <c r="K187" s="3">
        <f t="shared" si="3"/>
        <v>2024</v>
      </c>
      <c r="L187" s="3" t="str">
        <f t="shared" si="4"/>
        <v>February</v>
      </c>
      <c r="M187" s="3" t="str">
        <f>VLOOKUP(D187,Lookup_Practice!$A$2:$B$7,2,FALSE)</f>
        <v>Basic</v>
      </c>
      <c r="N187" s="3" t="str">
        <f t="array" ref="N187">INDEX(Lookup_Practice!$B$2:$B$7,MATCH(D187,Lookup_Practice!$A$2:$A$7,0))</f>
        <v>Basic</v>
      </c>
      <c r="O187" s="3" t="str">
        <f t="array" ref="O187">XLOOKUP(D187,Lookup_Practice!$A$2:$A$7,Lookup_Practice!$B$2:$B$7)</f>
        <v>Basic</v>
      </c>
    </row>
    <row r="188">
      <c r="A188" s="1">
        <v>73.0</v>
      </c>
      <c r="B188" s="1" t="s">
        <v>14</v>
      </c>
      <c r="C188" s="1" t="s">
        <v>27</v>
      </c>
      <c r="D188" s="1" t="s">
        <v>16</v>
      </c>
      <c r="E188" s="1" t="s">
        <v>17</v>
      </c>
      <c r="F188" s="1">
        <v>1173.0</v>
      </c>
      <c r="G188" s="1">
        <v>20.0</v>
      </c>
      <c r="H188" s="2">
        <v>45467.0</v>
      </c>
      <c r="I188" s="3" t="str">
        <f t="shared" si="1"/>
        <v>Senior (56+)</v>
      </c>
      <c r="J188" s="3">
        <f t="shared" si="2"/>
        <v>6</v>
      </c>
      <c r="K188" s="3">
        <f t="shared" si="3"/>
        <v>2024</v>
      </c>
      <c r="L188" s="3" t="str">
        <f t="shared" si="4"/>
        <v>June</v>
      </c>
      <c r="M188" s="3" t="str">
        <f>VLOOKUP(D188,Lookup_Practice!$A$2:$B$7,2,FALSE)</f>
        <v>Premium</v>
      </c>
      <c r="N188" s="3" t="str">
        <f t="array" ref="N188">INDEX(Lookup_Practice!$B$2:$B$7,MATCH(D188,Lookup_Practice!$A$2:$A$7,0))</f>
        <v>Premium</v>
      </c>
      <c r="O188" s="3" t="str">
        <f t="array" ref="O188">XLOOKUP(D188,Lookup_Practice!$A$2:$A$7,Lookup_Practice!$B$2:$B$7)</f>
        <v>Premium</v>
      </c>
    </row>
    <row r="189">
      <c r="A189" s="1">
        <v>74.0</v>
      </c>
      <c r="B189" s="1" t="s">
        <v>14</v>
      </c>
      <c r="C189" s="1" t="s">
        <v>21</v>
      </c>
      <c r="D189" s="1" t="s">
        <v>22</v>
      </c>
      <c r="E189" s="1" t="s">
        <v>17</v>
      </c>
      <c r="F189" s="1">
        <v>900.0</v>
      </c>
      <c r="G189" s="1">
        <v>20.0</v>
      </c>
      <c r="H189" s="2">
        <v>45458.0</v>
      </c>
      <c r="I189" s="3" t="str">
        <f t="shared" si="1"/>
        <v>Senior (56+)</v>
      </c>
      <c r="J189" s="3">
        <f t="shared" si="2"/>
        <v>6</v>
      </c>
      <c r="K189" s="3">
        <f t="shared" si="3"/>
        <v>2024</v>
      </c>
      <c r="L189" s="3" t="str">
        <f t="shared" si="4"/>
        <v>June</v>
      </c>
      <c r="M189" s="3" t="str">
        <f>VLOOKUP(D189,Lookup_Practice!$A$2:$B$7,2,FALSE)</f>
        <v>Basic</v>
      </c>
      <c r="N189" s="3" t="str">
        <f t="array" ref="N189">INDEX(Lookup_Practice!$B$2:$B$7,MATCH(D189,Lookup_Practice!$A$2:$A$7,0))</f>
        <v>Basic</v>
      </c>
      <c r="O189" s="3" t="str">
        <f t="array" ref="O189">XLOOKUP(D189,Lookup_Practice!$A$2:$A$7,Lookup_Practice!$B$2:$B$7)</f>
        <v>Basic</v>
      </c>
    </row>
    <row r="190">
      <c r="A190" s="1">
        <v>15.0</v>
      </c>
      <c r="B190" s="1" t="s">
        <v>18</v>
      </c>
      <c r="C190" s="1" t="s">
        <v>29</v>
      </c>
      <c r="D190" s="1" t="s">
        <v>23</v>
      </c>
      <c r="E190" s="1" t="s">
        <v>24</v>
      </c>
      <c r="F190" s="1">
        <v>1384.0</v>
      </c>
      <c r="G190" s="1">
        <v>18.0</v>
      </c>
      <c r="H190" s="2">
        <v>44928.0</v>
      </c>
      <c r="I190" s="3" t="str">
        <f t="shared" si="1"/>
        <v>Child (0-17)</v>
      </c>
      <c r="J190" s="3">
        <f t="shared" si="2"/>
        <v>1</v>
      </c>
      <c r="K190" s="3">
        <f t="shared" si="3"/>
        <v>2023</v>
      </c>
      <c r="L190" s="3" t="str">
        <f t="shared" si="4"/>
        <v>January</v>
      </c>
      <c r="M190" s="3" t="str">
        <f>VLOOKUP(D190,Lookup_Practice!$A$2:$B$7,2,FALSE)</f>
        <v>Standard</v>
      </c>
      <c r="N190" s="3" t="str">
        <f t="array" ref="N190">INDEX(Lookup_Practice!$B$2:$B$7,MATCH(D190,Lookup_Practice!$A$2:$A$7,0))</f>
        <v>Standard</v>
      </c>
      <c r="O190" s="3" t="str">
        <f t="array" ref="O190">XLOOKUP(D190,Lookup_Practice!$A$2:$A$7,Lookup_Practice!$B$2:$B$7)</f>
        <v>Standard</v>
      </c>
    </row>
    <row r="191">
      <c r="A191" s="1">
        <v>20.0</v>
      </c>
      <c r="B191" s="1" t="s">
        <v>18</v>
      </c>
      <c r="C191" s="1" t="s">
        <v>15</v>
      </c>
      <c r="D191" s="1" t="s">
        <v>26</v>
      </c>
      <c r="E191" s="1" t="s">
        <v>17</v>
      </c>
      <c r="F191" s="1">
        <v>476.0</v>
      </c>
      <c r="G191" s="1">
        <v>4.0</v>
      </c>
      <c r="H191" s="2">
        <v>45314.0</v>
      </c>
      <c r="I191" s="3" t="str">
        <f t="shared" si="1"/>
        <v>Young Adult (18-35)</v>
      </c>
      <c r="J191" s="3">
        <f t="shared" si="2"/>
        <v>1</v>
      </c>
      <c r="K191" s="3">
        <f t="shared" si="3"/>
        <v>2024</v>
      </c>
      <c r="L191" s="3" t="str">
        <f t="shared" si="4"/>
        <v>January</v>
      </c>
      <c r="M191" s="3" t="str">
        <f>VLOOKUP(D191,Lookup_Practice!$A$2:$B$7,2,FALSE)</f>
        <v>Premium</v>
      </c>
      <c r="N191" s="3" t="str">
        <f t="array" ref="N191">INDEX(Lookup_Practice!$B$2:$B$7,MATCH(D191,Lookup_Practice!$A$2:$A$7,0))</f>
        <v>Premium</v>
      </c>
      <c r="O191" s="3" t="str">
        <f t="array" ref="O191">XLOOKUP(D191,Lookup_Practice!$A$2:$A$7,Lookup_Practice!$B$2:$B$7)</f>
        <v>Premium</v>
      </c>
    </row>
    <row r="192">
      <c r="A192" s="1">
        <v>77.0</v>
      </c>
      <c r="B192" s="1" t="s">
        <v>18</v>
      </c>
      <c r="C192" s="1" t="s">
        <v>29</v>
      </c>
      <c r="D192" s="1" t="s">
        <v>23</v>
      </c>
      <c r="E192" s="1" t="s">
        <v>17</v>
      </c>
      <c r="F192" s="1">
        <v>1158.0</v>
      </c>
      <c r="G192" s="1">
        <v>1.0</v>
      </c>
      <c r="H192" s="2">
        <v>45616.0</v>
      </c>
      <c r="I192" s="3" t="str">
        <f t="shared" si="1"/>
        <v>Senior (56+)</v>
      </c>
      <c r="J192" s="3">
        <f t="shared" si="2"/>
        <v>11</v>
      </c>
      <c r="K192" s="3">
        <f t="shared" si="3"/>
        <v>2024</v>
      </c>
      <c r="L192" s="3" t="str">
        <f t="shared" si="4"/>
        <v>November</v>
      </c>
      <c r="M192" s="3" t="str">
        <f>VLOOKUP(D192,Lookup_Practice!$A$2:$B$7,2,FALSE)</f>
        <v>Standard</v>
      </c>
      <c r="N192" s="3" t="str">
        <f t="array" ref="N192">INDEX(Lookup_Practice!$B$2:$B$7,MATCH(D192,Lookup_Practice!$A$2:$A$7,0))</f>
        <v>Standard</v>
      </c>
      <c r="O192" s="3" t="str">
        <f t="array" ref="O192">XLOOKUP(D192,Lookup_Practice!$A$2:$A$7,Lookup_Practice!$B$2:$B$7)</f>
        <v>Standard</v>
      </c>
    </row>
    <row r="193">
      <c r="A193" s="1">
        <v>63.0</v>
      </c>
      <c r="B193" s="1" t="s">
        <v>14</v>
      </c>
      <c r="C193" s="1" t="s">
        <v>21</v>
      </c>
      <c r="D193" s="1" t="s">
        <v>26</v>
      </c>
      <c r="E193" s="1" t="s">
        <v>17</v>
      </c>
      <c r="F193" s="1">
        <v>525.0</v>
      </c>
      <c r="G193" s="1">
        <v>18.0</v>
      </c>
      <c r="H193" s="2">
        <v>45590.0</v>
      </c>
      <c r="I193" s="3" t="str">
        <f t="shared" si="1"/>
        <v>Senior (56+)</v>
      </c>
      <c r="J193" s="3">
        <f t="shared" si="2"/>
        <v>10</v>
      </c>
      <c r="K193" s="3">
        <f t="shared" si="3"/>
        <v>2024</v>
      </c>
      <c r="L193" s="3" t="str">
        <f t="shared" si="4"/>
        <v>October</v>
      </c>
      <c r="M193" s="3" t="str">
        <f>VLOOKUP(D193,Lookup_Practice!$A$2:$B$7,2,FALSE)</f>
        <v>Premium</v>
      </c>
      <c r="N193" s="3" t="str">
        <f t="array" ref="N193">INDEX(Lookup_Practice!$B$2:$B$7,MATCH(D193,Lookup_Practice!$A$2:$A$7,0))</f>
        <v>Premium</v>
      </c>
      <c r="O193" s="3" t="str">
        <f t="array" ref="O193">XLOOKUP(D193,Lookup_Practice!$A$2:$A$7,Lookup_Practice!$B$2:$B$7)</f>
        <v>Premium</v>
      </c>
    </row>
    <row r="194">
      <c r="A194" s="1">
        <v>74.0</v>
      </c>
      <c r="B194" s="1" t="s">
        <v>14</v>
      </c>
      <c r="C194" s="1" t="s">
        <v>21</v>
      </c>
      <c r="D194" s="1" t="s">
        <v>20</v>
      </c>
      <c r="E194" s="1" t="s">
        <v>24</v>
      </c>
      <c r="F194" s="1">
        <v>1508.0</v>
      </c>
      <c r="G194" s="1">
        <v>1.0</v>
      </c>
      <c r="H194" s="2">
        <v>44997.0</v>
      </c>
      <c r="I194" s="3" t="str">
        <f t="shared" si="1"/>
        <v>Senior (56+)</v>
      </c>
      <c r="J194" s="3">
        <f t="shared" si="2"/>
        <v>3</v>
      </c>
      <c r="K194" s="3">
        <f t="shared" si="3"/>
        <v>2023</v>
      </c>
      <c r="L194" s="3" t="str">
        <f t="shared" si="4"/>
        <v>March</v>
      </c>
      <c r="M194" s="3" t="str">
        <f>VLOOKUP(D194,Lookup_Practice!$A$2:$B$7,2,FALSE)</f>
        <v>Standard</v>
      </c>
      <c r="N194" s="3" t="str">
        <f t="array" ref="N194">INDEX(Lookup_Practice!$B$2:$B$7,MATCH(D194,Lookup_Practice!$A$2:$A$7,0))</f>
        <v>Standard</v>
      </c>
      <c r="O194" s="3" t="str">
        <f t="array" ref="O194">XLOOKUP(D194,Lookup_Practice!$A$2:$A$7,Lookup_Practice!$B$2:$B$7)</f>
        <v>Standard</v>
      </c>
    </row>
    <row r="195">
      <c r="A195" s="1">
        <v>7.0</v>
      </c>
      <c r="B195" s="1" t="s">
        <v>14</v>
      </c>
      <c r="C195" s="1" t="s">
        <v>21</v>
      </c>
      <c r="D195" s="1" t="s">
        <v>16</v>
      </c>
      <c r="E195" s="1" t="s">
        <v>24</v>
      </c>
      <c r="F195" s="1">
        <v>1123.0</v>
      </c>
      <c r="G195" s="1">
        <v>13.0</v>
      </c>
      <c r="H195" s="2">
        <v>45566.0</v>
      </c>
      <c r="I195" s="3" t="str">
        <f t="shared" si="1"/>
        <v>Child (0-17)</v>
      </c>
      <c r="J195" s="3">
        <f t="shared" si="2"/>
        <v>10</v>
      </c>
      <c r="K195" s="3">
        <f t="shared" si="3"/>
        <v>2024</v>
      </c>
      <c r="L195" s="3" t="str">
        <f t="shared" si="4"/>
        <v>October</v>
      </c>
      <c r="M195" s="3" t="str">
        <f>VLOOKUP(D195,Lookup_Practice!$A$2:$B$7,2,FALSE)</f>
        <v>Premium</v>
      </c>
      <c r="N195" s="3" t="str">
        <f t="array" ref="N195">INDEX(Lookup_Practice!$B$2:$B$7,MATCH(D195,Lookup_Practice!$A$2:$A$7,0))</f>
        <v>Premium</v>
      </c>
      <c r="O195" s="3" t="str">
        <f t="array" ref="O195">XLOOKUP(D195,Lookup_Practice!$A$2:$A$7,Lookup_Practice!$B$2:$B$7)</f>
        <v>Premium</v>
      </c>
    </row>
    <row r="196">
      <c r="A196" s="1">
        <v>24.0</v>
      </c>
      <c r="B196" s="1" t="s">
        <v>18</v>
      </c>
      <c r="C196" s="1" t="s">
        <v>29</v>
      </c>
      <c r="D196" s="1" t="s">
        <v>26</v>
      </c>
      <c r="E196" s="1" t="s">
        <v>24</v>
      </c>
      <c r="F196" s="1">
        <v>677.0</v>
      </c>
      <c r="G196" s="1">
        <v>20.0</v>
      </c>
      <c r="H196" s="2">
        <v>45222.0</v>
      </c>
      <c r="I196" s="3" t="str">
        <f t="shared" si="1"/>
        <v>Young Adult (18-35)</v>
      </c>
      <c r="J196" s="3">
        <f t="shared" si="2"/>
        <v>10</v>
      </c>
      <c r="K196" s="3">
        <f t="shared" si="3"/>
        <v>2023</v>
      </c>
      <c r="L196" s="3" t="str">
        <f t="shared" si="4"/>
        <v>October</v>
      </c>
      <c r="M196" s="3" t="str">
        <f>VLOOKUP(D196,Lookup_Practice!$A$2:$B$7,2,FALSE)</f>
        <v>Premium</v>
      </c>
      <c r="N196" s="3" t="str">
        <f t="array" ref="N196">INDEX(Lookup_Practice!$B$2:$B$7,MATCH(D196,Lookup_Practice!$A$2:$A$7,0))</f>
        <v>Premium</v>
      </c>
      <c r="O196" s="3" t="str">
        <f t="array" ref="O196">XLOOKUP(D196,Lookup_Practice!$A$2:$A$7,Lookup_Practice!$B$2:$B$7)</f>
        <v>Premium</v>
      </c>
    </row>
    <row r="197">
      <c r="A197" s="1">
        <v>63.0</v>
      </c>
      <c r="B197" s="1" t="s">
        <v>14</v>
      </c>
      <c r="C197" s="1" t="s">
        <v>31</v>
      </c>
      <c r="D197" s="1" t="s">
        <v>23</v>
      </c>
      <c r="E197" s="1" t="s">
        <v>17</v>
      </c>
      <c r="F197" s="1">
        <v>1167.0</v>
      </c>
      <c r="G197" s="1">
        <v>20.0</v>
      </c>
      <c r="H197" s="2">
        <v>45648.0</v>
      </c>
      <c r="I197" s="3" t="str">
        <f t="shared" si="1"/>
        <v>Senior (56+)</v>
      </c>
      <c r="J197" s="3">
        <f t="shared" si="2"/>
        <v>12</v>
      </c>
      <c r="K197" s="3">
        <f t="shared" si="3"/>
        <v>2024</v>
      </c>
      <c r="L197" s="3" t="str">
        <f t="shared" si="4"/>
        <v>December</v>
      </c>
      <c r="M197" s="3" t="str">
        <f>VLOOKUP(D197,Lookup_Practice!$A$2:$B$7,2,FALSE)</f>
        <v>Standard</v>
      </c>
      <c r="N197" s="3" t="str">
        <f t="array" ref="N197">INDEX(Lookup_Practice!$B$2:$B$7,MATCH(D197,Lookup_Practice!$A$2:$A$7,0))</f>
        <v>Standard</v>
      </c>
      <c r="O197" s="3" t="str">
        <f t="array" ref="O197">XLOOKUP(D197,Lookup_Practice!$A$2:$A$7,Lookup_Practice!$B$2:$B$7)</f>
        <v>Standard</v>
      </c>
    </row>
    <row r="198">
      <c r="A198" s="1">
        <v>40.0</v>
      </c>
      <c r="B198" s="1" t="s">
        <v>14</v>
      </c>
      <c r="C198" s="1" t="s">
        <v>29</v>
      </c>
      <c r="D198" s="1" t="s">
        <v>22</v>
      </c>
      <c r="E198" s="1" t="s">
        <v>17</v>
      </c>
      <c r="F198" s="1">
        <v>768.0</v>
      </c>
      <c r="G198" s="1">
        <v>10.0</v>
      </c>
      <c r="H198" s="2">
        <v>44993.0</v>
      </c>
      <c r="I198" s="3" t="str">
        <f t="shared" si="1"/>
        <v>Middle Age (36-55)</v>
      </c>
      <c r="J198" s="3">
        <f t="shared" si="2"/>
        <v>3</v>
      </c>
      <c r="K198" s="3">
        <f t="shared" si="3"/>
        <v>2023</v>
      </c>
      <c r="L198" s="3" t="str">
        <f t="shared" si="4"/>
        <v>March</v>
      </c>
      <c r="M198" s="3" t="str">
        <f>VLOOKUP(D198,Lookup_Practice!$A$2:$B$7,2,FALSE)</f>
        <v>Basic</v>
      </c>
      <c r="N198" s="3" t="str">
        <f t="array" ref="N198">INDEX(Lookup_Practice!$B$2:$B$7,MATCH(D198,Lookup_Practice!$A$2:$A$7,0))</f>
        <v>Basic</v>
      </c>
      <c r="O198" s="3" t="str">
        <f t="array" ref="O198">XLOOKUP(D198,Lookup_Practice!$A$2:$A$7,Lookup_Practice!$B$2:$B$7)</f>
        <v>Basic</v>
      </c>
    </row>
    <row r="199">
      <c r="A199" s="1">
        <v>23.0</v>
      </c>
      <c r="B199" s="1" t="s">
        <v>14</v>
      </c>
      <c r="C199" s="1" t="s">
        <v>21</v>
      </c>
      <c r="D199" s="1" t="s">
        <v>26</v>
      </c>
      <c r="E199" s="1" t="s">
        <v>17</v>
      </c>
      <c r="F199" s="1">
        <v>564.0</v>
      </c>
      <c r="G199" s="1">
        <v>11.0</v>
      </c>
      <c r="H199" s="2">
        <v>45387.0</v>
      </c>
      <c r="I199" s="3" t="str">
        <f t="shared" si="1"/>
        <v>Young Adult (18-35)</v>
      </c>
      <c r="J199" s="3">
        <f t="shared" si="2"/>
        <v>4</v>
      </c>
      <c r="K199" s="3">
        <f t="shared" si="3"/>
        <v>2024</v>
      </c>
      <c r="L199" s="3" t="str">
        <f t="shared" si="4"/>
        <v>April</v>
      </c>
      <c r="M199" s="3" t="str">
        <f>VLOOKUP(D199,Lookup_Practice!$A$2:$B$7,2,FALSE)</f>
        <v>Premium</v>
      </c>
      <c r="N199" s="3" t="str">
        <f t="array" ref="N199">INDEX(Lookup_Practice!$B$2:$B$7,MATCH(D199,Lookup_Practice!$A$2:$A$7,0))</f>
        <v>Premium</v>
      </c>
      <c r="O199" s="3" t="str">
        <f t="array" ref="O199">XLOOKUP(D199,Lookup_Practice!$A$2:$A$7,Lookup_Practice!$B$2:$B$7)</f>
        <v>Premium</v>
      </c>
    </row>
    <row r="200">
      <c r="A200" s="1">
        <v>71.0</v>
      </c>
      <c r="B200" s="1" t="s">
        <v>14</v>
      </c>
      <c r="C200" s="1" t="s">
        <v>19</v>
      </c>
      <c r="D200" s="1" t="s">
        <v>16</v>
      </c>
      <c r="E200" s="1" t="s">
        <v>17</v>
      </c>
      <c r="F200" s="1">
        <v>1061.0</v>
      </c>
      <c r="G200" s="1">
        <v>9.0</v>
      </c>
      <c r="H200" s="2">
        <v>45337.0</v>
      </c>
      <c r="I200" s="3" t="str">
        <f t="shared" si="1"/>
        <v>Senior (56+)</v>
      </c>
      <c r="J200" s="3">
        <f t="shared" si="2"/>
        <v>2</v>
      </c>
      <c r="K200" s="3">
        <f t="shared" si="3"/>
        <v>2024</v>
      </c>
      <c r="L200" s="3" t="str">
        <f t="shared" si="4"/>
        <v>February</v>
      </c>
      <c r="M200" s="3" t="str">
        <f>VLOOKUP(D200,Lookup_Practice!$A$2:$B$7,2,FALSE)</f>
        <v>Premium</v>
      </c>
      <c r="N200" s="3" t="str">
        <f t="array" ref="N200">INDEX(Lookup_Practice!$B$2:$B$7,MATCH(D200,Lookup_Practice!$A$2:$A$7,0))</f>
        <v>Premium</v>
      </c>
      <c r="O200" s="3" t="str">
        <f t="array" ref="O200">XLOOKUP(D200,Lookup_Practice!$A$2:$A$7,Lookup_Practice!$B$2:$B$7)</f>
        <v>Premium</v>
      </c>
    </row>
    <row r="201">
      <c r="A201" s="1">
        <v>23.0</v>
      </c>
      <c r="B201" s="1" t="s">
        <v>14</v>
      </c>
      <c r="C201" s="1" t="s">
        <v>15</v>
      </c>
      <c r="D201" s="1" t="s">
        <v>26</v>
      </c>
      <c r="E201" s="1" t="s">
        <v>17</v>
      </c>
      <c r="F201" s="1">
        <v>441.0</v>
      </c>
      <c r="G201" s="1">
        <v>9.0</v>
      </c>
      <c r="H201" s="2">
        <v>45170.0</v>
      </c>
      <c r="I201" s="3" t="str">
        <f t="shared" si="1"/>
        <v>Young Adult (18-35)</v>
      </c>
      <c r="J201" s="3">
        <f t="shared" si="2"/>
        <v>9</v>
      </c>
      <c r="K201" s="3">
        <f t="shared" si="3"/>
        <v>2023</v>
      </c>
      <c r="L201" s="3" t="str">
        <f t="shared" si="4"/>
        <v>September</v>
      </c>
      <c r="M201" s="3" t="str">
        <f>VLOOKUP(D201,Lookup_Practice!$A$2:$B$7,2,FALSE)</f>
        <v>Premium</v>
      </c>
      <c r="N201" s="3" t="str">
        <f t="array" ref="N201">INDEX(Lookup_Practice!$B$2:$B$7,MATCH(D201,Lookup_Practice!$A$2:$A$7,0))</f>
        <v>Premium</v>
      </c>
      <c r="O201" s="3" t="str">
        <f t="array" ref="O201">XLOOKUP(D201,Lookup_Practice!$A$2:$A$7,Lookup_Practice!$B$2:$B$7)</f>
        <v>Premium</v>
      </c>
    </row>
    <row r="202">
      <c r="A202" s="1">
        <v>24.0</v>
      </c>
      <c r="B202" s="1" t="s">
        <v>14</v>
      </c>
      <c r="C202" s="1" t="s">
        <v>15</v>
      </c>
      <c r="D202" s="1" t="s">
        <v>30</v>
      </c>
      <c r="E202" s="1" t="s">
        <v>17</v>
      </c>
      <c r="F202" s="1">
        <v>1008.0</v>
      </c>
      <c r="G202" s="1">
        <v>5.0</v>
      </c>
      <c r="H202" s="2">
        <v>45200.0</v>
      </c>
      <c r="I202" s="3" t="str">
        <f t="shared" si="1"/>
        <v>Young Adult (18-35)</v>
      </c>
      <c r="J202" s="3">
        <f t="shared" si="2"/>
        <v>10</v>
      </c>
      <c r="K202" s="3">
        <f t="shared" si="3"/>
        <v>2023</v>
      </c>
      <c r="L202" s="3" t="str">
        <f t="shared" si="4"/>
        <v>October</v>
      </c>
      <c r="M202" s="3" t="str">
        <f>VLOOKUP(D202,Lookup_Practice!$A$2:$B$7,2,FALSE)</f>
        <v>Standard</v>
      </c>
      <c r="N202" s="3" t="str">
        <f t="array" ref="N202">INDEX(Lookup_Practice!$B$2:$B$7,MATCH(D202,Lookup_Practice!$A$2:$A$7,0))</f>
        <v>Standard</v>
      </c>
      <c r="O202" s="3" t="str">
        <f t="array" ref="O202">XLOOKUP(D202,Lookup_Practice!$A$2:$A$7,Lookup_Practice!$B$2:$B$7)</f>
        <v>Standard</v>
      </c>
    </row>
    <row r="203">
      <c r="A203" s="1">
        <v>75.0</v>
      </c>
      <c r="B203" s="1" t="s">
        <v>14</v>
      </c>
      <c r="C203" s="1" t="s">
        <v>21</v>
      </c>
      <c r="D203" s="1" t="s">
        <v>22</v>
      </c>
      <c r="E203" s="1" t="s">
        <v>28</v>
      </c>
      <c r="F203" s="1">
        <v>750.0</v>
      </c>
      <c r="G203" s="1">
        <v>1.0</v>
      </c>
      <c r="H203" s="2">
        <v>45285.0</v>
      </c>
      <c r="I203" s="3" t="str">
        <f t="shared" si="1"/>
        <v>Senior (56+)</v>
      </c>
      <c r="J203" s="3">
        <f t="shared" si="2"/>
        <v>12</v>
      </c>
      <c r="K203" s="3">
        <f t="shared" si="3"/>
        <v>2023</v>
      </c>
      <c r="L203" s="3" t="str">
        <f t="shared" si="4"/>
        <v>December</v>
      </c>
      <c r="M203" s="3" t="str">
        <f>VLOOKUP(D203,Lookup_Practice!$A$2:$B$7,2,FALSE)</f>
        <v>Basic</v>
      </c>
      <c r="N203" s="3" t="str">
        <f t="array" ref="N203">INDEX(Lookup_Practice!$B$2:$B$7,MATCH(D203,Lookup_Practice!$A$2:$A$7,0))</f>
        <v>Basic</v>
      </c>
      <c r="O203" s="3" t="str">
        <f t="array" ref="O203">XLOOKUP(D203,Lookup_Practice!$A$2:$A$7,Lookup_Practice!$B$2:$B$7)</f>
        <v>Basic</v>
      </c>
    </row>
    <row r="204">
      <c r="A204" s="1">
        <v>56.0</v>
      </c>
      <c r="B204" s="1" t="s">
        <v>18</v>
      </c>
      <c r="C204" s="1" t="s">
        <v>29</v>
      </c>
      <c r="D204" s="1" t="s">
        <v>16</v>
      </c>
      <c r="E204" s="1" t="s">
        <v>24</v>
      </c>
      <c r="F204" s="1">
        <v>1149.0</v>
      </c>
      <c r="G204" s="1">
        <v>17.0</v>
      </c>
      <c r="H204" s="2">
        <v>45606.0</v>
      </c>
      <c r="I204" s="3" t="str">
        <f t="shared" si="1"/>
        <v>Senior (56+)</v>
      </c>
      <c r="J204" s="3">
        <f t="shared" si="2"/>
        <v>11</v>
      </c>
      <c r="K204" s="3">
        <f t="shared" si="3"/>
        <v>2024</v>
      </c>
      <c r="L204" s="3" t="str">
        <f t="shared" si="4"/>
        <v>November</v>
      </c>
      <c r="M204" s="3" t="str">
        <f>VLOOKUP(D204,Lookup_Practice!$A$2:$B$7,2,FALSE)</f>
        <v>Premium</v>
      </c>
      <c r="N204" s="3" t="str">
        <f t="array" ref="N204">INDEX(Lookup_Practice!$B$2:$B$7,MATCH(D204,Lookup_Practice!$A$2:$A$7,0))</f>
        <v>Premium</v>
      </c>
      <c r="O204" s="3" t="str">
        <f t="array" ref="O204">XLOOKUP(D204,Lookup_Practice!$A$2:$A$7,Lookup_Practice!$B$2:$B$7)</f>
        <v>Premium</v>
      </c>
    </row>
    <row r="205">
      <c r="A205" s="1">
        <v>37.0</v>
      </c>
      <c r="B205" s="1" t="s">
        <v>18</v>
      </c>
      <c r="C205" s="1" t="s">
        <v>21</v>
      </c>
      <c r="D205" s="1" t="s">
        <v>16</v>
      </c>
      <c r="E205" s="1" t="s">
        <v>24</v>
      </c>
      <c r="F205" s="1">
        <v>920.0</v>
      </c>
      <c r="G205" s="1">
        <v>2.0</v>
      </c>
      <c r="H205" s="2">
        <v>45495.0</v>
      </c>
      <c r="I205" s="3" t="str">
        <f t="shared" si="1"/>
        <v>Middle Age (36-55)</v>
      </c>
      <c r="J205" s="3">
        <f t="shared" si="2"/>
        <v>7</v>
      </c>
      <c r="K205" s="3">
        <f t="shared" si="3"/>
        <v>2024</v>
      </c>
      <c r="L205" s="3" t="str">
        <f t="shared" si="4"/>
        <v>July</v>
      </c>
      <c r="M205" s="3" t="str">
        <f>VLOOKUP(D205,Lookup_Practice!$A$2:$B$7,2,FALSE)</f>
        <v>Premium</v>
      </c>
      <c r="N205" s="3" t="str">
        <f t="array" ref="N205">INDEX(Lookup_Practice!$B$2:$B$7,MATCH(D205,Lookup_Practice!$A$2:$A$7,0))</f>
        <v>Premium</v>
      </c>
      <c r="O205" s="3" t="str">
        <f t="array" ref="O205">XLOOKUP(D205,Lookup_Practice!$A$2:$A$7,Lookup_Practice!$B$2:$B$7)</f>
        <v>Premium</v>
      </c>
    </row>
    <row r="206">
      <c r="A206" s="1">
        <v>44.0</v>
      </c>
      <c r="B206" s="1" t="s">
        <v>14</v>
      </c>
      <c r="C206" s="1" t="s">
        <v>25</v>
      </c>
      <c r="D206" s="1" t="s">
        <v>20</v>
      </c>
      <c r="E206" s="1" t="s">
        <v>28</v>
      </c>
      <c r="F206" s="1">
        <v>1699.0</v>
      </c>
      <c r="G206" s="1">
        <v>13.0</v>
      </c>
      <c r="H206" s="2">
        <v>45483.0</v>
      </c>
      <c r="I206" s="3" t="str">
        <f t="shared" si="1"/>
        <v>Middle Age (36-55)</v>
      </c>
      <c r="J206" s="3">
        <f t="shared" si="2"/>
        <v>7</v>
      </c>
      <c r="K206" s="3">
        <f t="shared" si="3"/>
        <v>2024</v>
      </c>
      <c r="L206" s="3" t="str">
        <f t="shared" si="4"/>
        <v>July</v>
      </c>
      <c r="M206" s="3" t="str">
        <f>VLOOKUP(D206,Lookup_Practice!$A$2:$B$7,2,FALSE)</f>
        <v>Standard</v>
      </c>
      <c r="N206" s="3" t="str">
        <f t="array" ref="N206">INDEX(Lookup_Practice!$B$2:$B$7,MATCH(D206,Lookup_Practice!$A$2:$A$7,0))</f>
        <v>Standard</v>
      </c>
      <c r="O206" s="3" t="str">
        <f t="array" ref="O206">XLOOKUP(D206,Lookup_Practice!$A$2:$A$7,Lookup_Practice!$B$2:$B$7)</f>
        <v>Standard</v>
      </c>
    </row>
    <row r="207">
      <c r="A207" s="1">
        <v>43.0</v>
      </c>
      <c r="B207" s="1" t="s">
        <v>18</v>
      </c>
      <c r="C207" s="1" t="s">
        <v>31</v>
      </c>
      <c r="D207" s="1" t="s">
        <v>23</v>
      </c>
      <c r="E207" s="1" t="s">
        <v>17</v>
      </c>
      <c r="F207" s="1">
        <v>1238.0</v>
      </c>
      <c r="G207" s="1">
        <v>9.0</v>
      </c>
      <c r="H207" s="2">
        <v>45464.0</v>
      </c>
      <c r="I207" s="3" t="str">
        <f t="shared" si="1"/>
        <v>Middle Age (36-55)</v>
      </c>
      <c r="J207" s="3">
        <f t="shared" si="2"/>
        <v>6</v>
      </c>
      <c r="K207" s="3">
        <f t="shared" si="3"/>
        <v>2024</v>
      </c>
      <c r="L207" s="3" t="str">
        <f t="shared" si="4"/>
        <v>June</v>
      </c>
      <c r="M207" s="3" t="str">
        <f>VLOOKUP(D207,Lookup_Practice!$A$2:$B$7,2,FALSE)</f>
        <v>Standard</v>
      </c>
      <c r="N207" s="3" t="str">
        <f t="array" ref="N207">INDEX(Lookup_Practice!$B$2:$B$7,MATCH(D207,Lookup_Practice!$A$2:$A$7,0))</f>
        <v>Standard</v>
      </c>
      <c r="O207" s="3" t="str">
        <f t="array" ref="O207">XLOOKUP(D207,Lookup_Practice!$A$2:$A$7,Lookup_Practice!$B$2:$B$7)</f>
        <v>Standard</v>
      </c>
    </row>
    <row r="208">
      <c r="A208" s="1">
        <v>5.0</v>
      </c>
      <c r="B208" s="1" t="s">
        <v>14</v>
      </c>
      <c r="C208" s="1" t="s">
        <v>21</v>
      </c>
      <c r="D208" s="1" t="s">
        <v>20</v>
      </c>
      <c r="E208" s="1" t="s">
        <v>17</v>
      </c>
      <c r="F208" s="1">
        <v>1491.0</v>
      </c>
      <c r="G208" s="1">
        <v>4.0</v>
      </c>
      <c r="H208" s="2">
        <v>45000.0</v>
      </c>
      <c r="I208" s="3" t="str">
        <f t="shared" si="1"/>
        <v>Child (0-17)</v>
      </c>
      <c r="J208" s="3">
        <f t="shared" si="2"/>
        <v>3</v>
      </c>
      <c r="K208" s="3">
        <f t="shared" si="3"/>
        <v>2023</v>
      </c>
      <c r="L208" s="3" t="str">
        <f t="shared" si="4"/>
        <v>March</v>
      </c>
      <c r="M208" s="3" t="str">
        <f>VLOOKUP(D208,Lookup_Practice!$A$2:$B$7,2,FALSE)</f>
        <v>Standard</v>
      </c>
      <c r="N208" s="3" t="str">
        <f t="array" ref="N208">INDEX(Lookup_Practice!$B$2:$B$7,MATCH(D208,Lookup_Practice!$A$2:$A$7,0))</f>
        <v>Standard</v>
      </c>
      <c r="O208" s="3" t="str">
        <f t="array" ref="O208">XLOOKUP(D208,Lookup_Practice!$A$2:$A$7,Lookup_Practice!$B$2:$B$7)</f>
        <v>Standard</v>
      </c>
    </row>
    <row r="209">
      <c r="A209" s="1">
        <v>15.0</v>
      </c>
      <c r="B209" s="1" t="s">
        <v>14</v>
      </c>
      <c r="C209" s="1" t="s">
        <v>15</v>
      </c>
      <c r="D209" s="1" t="s">
        <v>16</v>
      </c>
      <c r="E209" s="1" t="s">
        <v>28</v>
      </c>
      <c r="F209" s="1">
        <v>1179.0</v>
      </c>
      <c r="G209" s="1">
        <v>5.0</v>
      </c>
      <c r="H209" s="2">
        <v>45460.0</v>
      </c>
      <c r="I209" s="3" t="str">
        <f t="shared" si="1"/>
        <v>Child (0-17)</v>
      </c>
      <c r="J209" s="3">
        <f t="shared" si="2"/>
        <v>6</v>
      </c>
      <c r="K209" s="3">
        <f t="shared" si="3"/>
        <v>2024</v>
      </c>
      <c r="L209" s="3" t="str">
        <f t="shared" si="4"/>
        <v>June</v>
      </c>
      <c r="M209" s="3" t="str">
        <f>VLOOKUP(D209,Lookup_Practice!$A$2:$B$7,2,FALSE)</f>
        <v>Premium</v>
      </c>
      <c r="N209" s="3" t="str">
        <f t="array" ref="N209">INDEX(Lookup_Practice!$B$2:$B$7,MATCH(D209,Lookup_Practice!$A$2:$A$7,0))</f>
        <v>Premium</v>
      </c>
      <c r="O209" s="3" t="str">
        <f t="array" ref="O209">XLOOKUP(D209,Lookup_Practice!$A$2:$A$7,Lookup_Practice!$B$2:$B$7)</f>
        <v>Premium</v>
      </c>
    </row>
    <row r="210">
      <c r="A210" s="1">
        <v>61.0</v>
      </c>
      <c r="B210" s="1" t="s">
        <v>14</v>
      </c>
      <c r="C210" s="1" t="s">
        <v>21</v>
      </c>
      <c r="D210" s="1" t="s">
        <v>22</v>
      </c>
      <c r="E210" s="1" t="s">
        <v>17</v>
      </c>
      <c r="F210" s="1">
        <v>824.0</v>
      </c>
      <c r="G210" s="1">
        <v>11.0</v>
      </c>
      <c r="H210" s="2">
        <v>45648.0</v>
      </c>
      <c r="I210" s="3" t="str">
        <f t="shared" si="1"/>
        <v>Senior (56+)</v>
      </c>
      <c r="J210" s="3">
        <f t="shared" si="2"/>
        <v>12</v>
      </c>
      <c r="K210" s="3">
        <f t="shared" si="3"/>
        <v>2024</v>
      </c>
      <c r="L210" s="3" t="str">
        <f t="shared" si="4"/>
        <v>December</v>
      </c>
      <c r="M210" s="3" t="str">
        <f>VLOOKUP(D210,Lookup_Practice!$A$2:$B$7,2,FALSE)</f>
        <v>Basic</v>
      </c>
      <c r="N210" s="3" t="str">
        <f t="array" ref="N210">INDEX(Lookup_Practice!$B$2:$B$7,MATCH(D210,Lookup_Practice!$A$2:$A$7,0))</f>
        <v>Basic</v>
      </c>
      <c r="O210" s="3" t="str">
        <f t="array" ref="O210">XLOOKUP(D210,Lookup_Practice!$A$2:$A$7,Lookup_Practice!$B$2:$B$7)</f>
        <v>Basic</v>
      </c>
    </row>
    <row r="211">
      <c r="A211" s="1">
        <v>54.0</v>
      </c>
      <c r="B211" s="1" t="s">
        <v>18</v>
      </c>
      <c r="C211" s="1" t="s">
        <v>21</v>
      </c>
      <c r="D211" s="1" t="s">
        <v>26</v>
      </c>
      <c r="E211" s="1" t="s">
        <v>24</v>
      </c>
      <c r="F211" s="1">
        <v>510.0</v>
      </c>
      <c r="G211" s="1">
        <v>19.0</v>
      </c>
      <c r="H211" s="2">
        <v>45510.0</v>
      </c>
      <c r="I211" s="3" t="str">
        <f t="shared" si="1"/>
        <v>Middle Age (36-55)</v>
      </c>
      <c r="J211" s="3">
        <f t="shared" si="2"/>
        <v>8</v>
      </c>
      <c r="K211" s="3">
        <f t="shared" si="3"/>
        <v>2024</v>
      </c>
      <c r="L211" s="3" t="str">
        <f t="shared" si="4"/>
        <v>August</v>
      </c>
      <c r="M211" s="3" t="str">
        <f>VLOOKUP(D211,Lookup_Practice!$A$2:$B$7,2,FALSE)</f>
        <v>Premium</v>
      </c>
      <c r="N211" s="3" t="str">
        <f t="array" ref="N211">INDEX(Lookup_Practice!$B$2:$B$7,MATCH(D211,Lookup_Practice!$A$2:$A$7,0))</f>
        <v>Premium</v>
      </c>
      <c r="O211" s="3" t="str">
        <f t="array" ref="O211">XLOOKUP(D211,Lookup_Practice!$A$2:$A$7,Lookup_Practice!$B$2:$B$7)</f>
        <v>Premium</v>
      </c>
    </row>
    <row r="212">
      <c r="A212" s="1">
        <v>27.0</v>
      </c>
      <c r="B212" s="1" t="s">
        <v>18</v>
      </c>
      <c r="C212" s="1" t="s">
        <v>15</v>
      </c>
      <c r="D212" s="1" t="s">
        <v>26</v>
      </c>
      <c r="E212" s="1" t="s">
        <v>17</v>
      </c>
      <c r="F212" s="1">
        <v>538.0</v>
      </c>
      <c r="G212" s="1">
        <v>3.0</v>
      </c>
      <c r="H212" s="2">
        <v>45507.0</v>
      </c>
      <c r="I212" s="3" t="str">
        <f t="shared" si="1"/>
        <v>Young Adult (18-35)</v>
      </c>
      <c r="J212" s="3">
        <f t="shared" si="2"/>
        <v>8</v>
      </c>
      <c r="K212" s="3">
        <f t="shared" si="3"/>
        <v>2024</v>
      </c>
      <c r="L212" s="3" t="str">
        <f t="shared" si="4"/>
        <v>August</v>
      </c>
      <c r="M212" s="3" t="str">
        <f>VLOOKUP(D212,Lookup_Practice!$A$2:$B$7,2,FALSE)</f>
        <v>Premium</v>
      </c>
      <c r="N212" s="3" t="str">
        <f t="array" ref="N212">INDEX(Lookup_Practice!$B$2:$B$7,MATCH(D212,Lookup_Practice!$A$2:$A$7,0))</f>
        <v>Premium</v>
      </c>
      <c r="O212" s="3" t="str">
        <f t="array" ref="O212">XLOOKUP(D212,Lookup_Practice!$A$2:$A$7,Lookup_Practice!$B$2:$B$7)</f>
        <v>Premium</v>
      </c>
    </row>
    <row r="213">
      <c r="A213" s="1">
        <v>35.0</v>
      </c>
      <c r="B213" s="1" t="s">
        <v>18</v>
      </c>
      <c r="C213" s="1" t="s">
        <v>15</v>
      </c>
      <c r="D213" s="1" t="s">
        <v>22</v>
      </c>
      <c r="E213" s="1" t="s">
        <v>17</v>
      </c>
      <c r="F213" s="1">
        <v>972.0</v>
      </c>
      <c r="G213" s="1">
        <v>12.0</v>
      </c>
      <c r="H213" s="2">
        <v>45609.0</v>
      </c>
      <c r="I213" s="3" t="str">
        <f t="shared" si="1"/>
        <v>Young Adult (18-35)</v>
      </c>
      <c r="J213" s="3">
        <f t="shared" si="2"/>
        <v>11</v>
      </c>
      <c r="K213" s="3">
        <f t="shared" si="3"/>
        <v>2024</v>
      </c>
      <c r="L213" s="3" t="str">
        <f t="shared" si="4"/>
        <v>November</v>
      </c>
      <c r="M213" s="3" t="str">
        <f>VLOOKUP(D213,Lookup_Practice!$A$2:$B$7,2,FALSE)</f>
        <v>Basic</v>
      </c>
      <c r="N213" s="3" t="str">
        <f t="array" ref="N213">INDEX(Lookup_Practice!$B$2:$B$7,MATCH(D213,Lookup_Practice!$A$2:$A$7,0))</f>
        <v>Basic</v>
      </c>
      <c r="O213" s="3" t="str">
        <f t="array" ref="O213">XLOOKUP(D213,Lookup_Practice!$A$2:$A$7,Lookup_Practice!$B$2:$B$7)</f>
        <v>Basic</v>
      </c>
    </row>
    <row r="214">
      <c r="A214" s="1">
        <v>46.0</v>
      </c>
      <c r="B214" s="1" t="s">
        <v>14</v>
      </c>
      <c r="C214" s="1" t="s">
        <v>25</v>
      </c>
      <c r="D214" s="1" t="s">
        <v>16</v>
      </c>
      <c r="E214" s="1" t="s">
        <v>17</v>
      </c>
      <c r="F214" s="1">
        <v>998.0</v>
      </c>
      <c r="G214" s="1">
        <v>19.0</v>
      </c>
      <c r="H214" s="2">
        <v>45551.0</v>
      </c>
      <c r="I214" s="3" t="str">
        <f t="shared" si="1"/>
        <v>Middle Age (36-55)</v>
      </c>
      <c r="J214" s="3">
        <f t="shared" si="2"/>
        <v>9</v>
      </c>
      <c r="K214" s="3">
        <f t="shared" si="3"/>
        <v>2024</v>
      </c>
      <c r="L214" s="3" t="str">
        <f t="shared" si="4"/>
        <v>September</v>
      </c>
      <c r="M214" s="3" t="str">
        <f>VLOOKUP(D214,Lookup_Practice!$A$2:$B$7,2,FALSE)</f>
        <v>Premium</v>
      </c>
      <c r="N214" s="3" t="str">
        <f t="array" ref="N214">INDEX(Lookup_Practice!$B$2:$B$7,MATCH(D214,Lookup_Practice!$A$2:$A$7,0))</f>
        <v>Premium</v>
      </c>
      <c r="O214" s="3" t="str">
        <f t="array" ref="O214">XLOOKUP(D214,Lookup_Practice!$A$2:$A$7,Lookup_Practice!$B$2:$B$7)</f>
        <v>Premium</v>
      </c>
    </row>
    <row r="215">
      <c r="A215" s="1">
        <v>11.0</v>
      </c>
      <c r="B215" s="1" t="s">
        <v>14</v>
      </c>
      <c r="C215" s="1" t="s">
        <v>15</v>
      </c>
      <c r="D215" s="1" t="s">
        <v>26</v>
      </c>
      <c r="E215" s="1" t="s">
        <v>28</v>
      </c>
      <c r="F215" s="1">
        <v>651.0</v>
      </c>
      <c r="G215" s="1">
        <v>19.0</v>
      </c>
      <c r="H215" s="2">
        <v>45299.0</v>
      </c>
      <c r="I215" s="3" t="str">
        <f t="shared" si="1"/>
        <v>Child (0-17)</v>
      </c>
      <c r="J215" s="3">
        <f t="shared" si="2"/>
        <v>1</v>
      </c>
      <c r="K215" s="3">
        <f t="shared" si="3"/>
        <v>2024</v>
      </c>
      <c r="L215" s="3" t="str">
        <f t="shared" si="4"/>
        <v>January</v>
      </c>
      <c r="M215" s="3" t="str">
        <f>VLOOKUP(D215,Lookup_Practice!$A$2:$B$7,2,FALSE)</f>
        <v>Premium</v>
      </c>
      <c r="N215" s="3" t="str">
        <f t="array" ref="N215">INDEX(Lookup_Practice!$B$2:$B$7,MATCH(D215,Lookup_Practice!$A$2:$A$7,0))</f>
        <v>Premium</v>
      </c>
      <c r="O215" s="3" t="str">
        <f t="array" ref="O215">XLOOKUP(D215,Lookup_Practice!$A$2:$A$7,Lookup_Practice!$B$2:$B$7)</f>
        <v>Premium</v>
      </c>
    </row>
    <row r="216">
      <c r="A216" s="1">
        <v>20.0</v>
      </c>
      <c r="B216" s="1" t="s">
        <v>14</v>
      </c>
      <c r="C216" s="1" t="s">
        <v>25</v>
      </c>
      <c r="D216" s="1" t="s">
        <v>26</v>
      </c>
      <c r="E216" s="1" t="s">
        <v>24</v>
      </c>
      <c r="F216" s="1">
        <v>503.0</v>
      </c>
      <c r="G216" s="1">
        <v>13.0</v>
      </c>
      <c r="H216" s="2">
        <v>44941.0</v>
      </c>
      <c r="I216" s="3" t="str">
        <f t="shared" si="1"/>
        <v>Young Adult (18-35)</v>
      </c>
      <c r="J216" s="3">
        <f t="shared" si="2"/>
        <v>1</v>
      </c>
      <c r="K216" s="3">
        <f t="shared" si="3"/>
        <v>2023</v>
      </c>
      <c r="L216" s="3" t="str">
        <f t="shared" si="4"/>
        <v>January</v>
      </c>
      <c r="M216" s="3" t="str">
        <f>VLOOKUP(D216,Lookup_Practice!$A$2:$B$7,2,FALSE)</f>
        <v>Premium</v>
      </c>
      <c r="N216" s="3" t="str">
        <f t="array" ref="N216">INDEX(Lookup_Practice!$B$2:$B$7,MATCH(D216,Lookup_Practice!$A$2:$A$7,0))</f>
        <v>Premium</v>
      </c>
      <c r="O216" s="3" t="str">
        <f t="array" ref="O216">XLOOKUP(D216,Lookup_Practice!$A$2:$A$7,Lookup_Practice!$B$2:$B$7)</f>
        <v>Premium</v>
      </c>
    </row>
    <row r="217">
      <c r="A217" s="1">
        <v>64.0</v>
      </c>
      <c r="B217" s="1" t="s">
        <v>18</v>
      </c>
      <c r="C217" s="1" t="s">
        <v>29</v>
      </c>
      <c r="D217" s="1" t="s">
        <v>26</v>
      </c>
      <c r="E217" s="1" t="s">
        <v>17</v>
      </c>
      <c r="F217" s="1">
        <v>613.0</v>
      </c>
      <c r="G217" s="1">
        <v>7.0</v>
      </c>
      <c r="H217" s="2">
        <v>45368.0</v>
      </c>
      <c r="I217" s="3" t="str">
        <f t="shared" si="1"/>
        <v>Senior (56+)</v>
      </c>
      <c r="J217" s="3">
        <f t="shared" si="2"/>
        <v>3</v>
      </c>
      <c r="K217" s="3">
        <f t="shared" si="3"/>
        <v>2024</v>
      </c>
      <c r="L217" s="3" t="str">
        <f t="shared" si="4"/>
        <v>March</v>
      </c>
      <c r="M217" s="3" t="str">
        <f>VLOOKUP(D217,Lookup_Practice!$A$2:$B$7,2,FALSE)</f>
        <v>Premium</v>
      </c>
      <c r="N217" s="3" t="str">
        <f t="array" ref="N217">INDEX(Lookup_Practice!$B$2:$B$7,MATCH(D217,Lookup_Practice!$A$2:$A$7,0))</f>
        <v>Premium</v>
      </c>
      <c r="O217" s="3" t="str">
        <f t="array" ref="O217">XLOOKUP(D217,Lookup_Practice!$A$2:$A$7,Lookup_Practice!$B$2:$B$7)</f>
        <v>Premium</v>
      </c>
    </row>
    <row r="218">
      <c r="A218" s="1">
        <v>6.0</v>
      </c>
      <c r="B218" s="1" t="s">
        <v>14</v>
      </c>
      <c r="C218" s="1" t="s">
        <v>25</v>
      </c>
      <c r="D218" s="1" t="s">
        <v>23</v>
      </c>
      <c r="E218" s="1" t="s">
        <v>24</v>
      </c>
      <c r="F218" s="1">
        <v>1348.0</v>
      </c>
      <c r="G218" s="1">
        <v>15.0</v>
      </c>
      <c r="H218" s="2">
        <v>45368.0</v>
      </c>
      <c r="I218" s="3" t="str">
        <f t="shared" si="1"/>
        <v>Child (0-17)</v>
      </c>
      <c r="J218" s="3">
        <f t="shared" si="2"/>
        <v>3</v>
      </c>
      <c r="K218" s="3">
        <f t="shared" si="3"/>
        <v>2024</v>
      </c>
      <c r="L218" s="3" t="str">
        <f t="shared" si="4"/>
        <v>March</v>
      </c>
      <c r="M218" s="3" t="str">
        <f>VLOOKUP(D218,Lookup_Practice!$A$2:$B$7,2,FALSE)</f>
        <v>Standard</v>
      </c>
      <c r="N218" s="3" t="str">
        <f t="array" ref="N218">INDEX(Lookup_Practice!$B$2:$B$7,MATCH(D218,Lookup_Practice!$A$2:$A$7,0))</f>
        <v>Standard</v>
      </c>
      <c r="O218" s="3" t="str">
        <f t="array" ref="O218">XLOOKUP(D218,Lookup_Practice!$A$2:$A$7,Lookup_Practice!$B$2:$B$7)</f>
        <v>Standard</v>
      </c>
    </row>
    <row r="219">
      <c r="A219" s="1">
        <v>5.0</v>
      </c>
      <c r="B219" s="1" t="s">
        <v>14</v>
      </c>
      <c r="C219" s="1" t="s">
        <v>25</v>
      </c>
      <c r="D219" s="1" t="s">
        <v>23</v>
      </c>
      <c r="E219" s="1" t="s">
        <v>17</v>
      </c>
      <c r="F219" s="1">
        <v>1251.0</v>
      </c>
      <c r="G219" s="1">
        <v>7.0</v>
      </c>
      <c r="H219" s="2">
        <v>45587.0</v>
      </c>
      <c r="I219" s="3" t="str">
        <f t="shared" si="1"/>
        <v>Child (0-17)</v>
      </c>
      <c r="J219" s="3">
        <f t="shared" si="2"/>
        <v>10</v>
      </c>
      <c r="K219" s="3">
        <f t="shared" si="3"/>
        <v>2024</v>
      </c>
      <c r="L219" s="3" t="str">
        <f t="shared" si="4"/>
        <v>October</v>
      </c>
      <c r="M219" s="3" t="str">
        <f>VLOOKUP(D219,Lookup_Practice!$A$2:$B$7,2,FALSE)</f>
        <v>Standard</v>
      </c>
      <c r="N219" s="3" t="str">
        <f t="array" ref="N219">INDEX(Lookup_Practice!$B$2:$B$7,MATCH(D219,Lookup_Practice!$A$2:$A$7,0))</f>
        <v>Standard</v>
      </c>
      <c r="O219" s="3" t="str">
        <f t="array" ref="O219">XLOOKUP(D219,Lookup_Practice!$A$2:$A$7,Lookup_Practice!$B$2:$B$7)</f>
        <v>Standard</v>
      </c>
    </row>
    <row r="220">
      <c r="A220" s="1">
        <v>52.0</v>
      </c>
      <c r="B220" s="1" t="s">
        <v>18</v>
      </c>
      <c r="C220" s="1" t="s">
        <v>25</v>
      </c>
      <c r="D220" s="1" t="s">
        <v>30</v>
      </c>
      <c r="E220" s="1" t="s">
        <v>17</v>
      </c>
      <c r="F220" s="1">
        <v>1149.0</v>
      </c>
      <c r="G220" s="1">
        <v>8.0</v>
      </c>
      <c r="H220" s="2">
        <v>45530.0</v>
      </c>
      <c r="I220" s="3" t="str">
        <f t="shared" si="1"/>
        <v>Middle Age (36-55)</v>
      </c>
      <c r="J220" s="3">
        <f t="shared" si="2"/>
        <v>8</v>
      </c>
      <c r="K220" s="3">
        <f t="shared" si="3"/>
        <v>2024</v>
      </c>
      <c r="L220" s="3" t="str">
        <f t="shared" si="4"/>
        <v>August</v>
      </c>
      <c r="M220" s="3" t="str">
        <f>VLOOKUP(D220,Lookup_Practice!$A$2:$B$7,2,FALSE)</f>
        <v>Standard</v>
      </c>
      <c r="N220" s="3" t="str">
        <f t="array" ref="N220">INDEX(Lookup_Practice!$B$2:$B$7,MATCH(D220,Lookup_Practice!$A$2:$A$7,0))</f>
        <v>Standard</v>
      </c>
      <c r="O220" s="3" t="str">
        <f t="array" ref="O220">XLOOKUP(D220,Lookup_Practice!$A$2:$A$7,Lookup_Practice!$B$2:$B$7)</f>
        <v>Standard</v>
      </c>
    </row>
    <row r="221">
      <c r="A221" s="1">
        <v>16.0</v>
      </c>
      <c r="B221" s="1" t="s">
        <v>14</v>
      </c>
      <c r="C221" s="1" t="s">
        <v>15</v>
      </c>
      <c r="D221" s="1" t="s">
        <v>20</v>
      </c>
      <c r="E221" s="1" t="s">
        <v>17</v>
      </c>
      <c r="F221" s="1">
        <v>1674.0</v>
      </c>
      <c r="G221" s="1">
        <v>5.0</v>
      </c>
      <c r="H221" s="2">
        <v>45212.0</v>
      </c>
      <c r="I221" s="3" t="str">
        <f t="shared" si="1"/>
        <v>Child (0-17)</v>
      </c>
      <c r="J221" s="3">
        <f t="shared" si="2"/>
        <v>10</v>
      </c>
      <c r="K221" s="3">
        <f t="shared" si="3"/>
        <v>2023</v>
      </c>
      <c r="L221" s="3" t="str">
        <f t="shared" si="4"/>
        <v>October</v>
      </c>
      <c r="M221" s="3" t="str">
        <f>VLOOKUP(D221,Lookup_Practice!$A$2:$B$7,2,FALSE)</f>
        <v>Standard</v>
      </c>
      <c r="N221" s="3" t="str">
        <f t="array" ref="N221">INDEX(Lookup_Practice!$B$2:$B$7,MATCH(D221,Lookup_Practice!$A$2:$A$7,0))</f>
        <v>Standard</v>
      </c>
      <c r="O221" s="3" t="str">
        <f t="array" ref="O221">XLOOKUP(D221,Lookup_Practice!$A$2:$A$7,Lookup_Practice!$B$2:$B$7)</f>
        <v>Standard</v>
      </c>
    </row>
    <row r="222">
      <c r="A222" s="1">
        <v>73.0</v>
      </c>
      <c r="B222" s="1" t="s">
        <v>18</v>
      </c>
      <c r="C222" s="1" t="s">
        <v>21</v>
      </c>
      <c r="D222" s="1" t="s">
        <v>22</v>
      </c>
      <c r="E222" s="1" t="s">
        <v>17</v>
      </c>
      <c r="F222" s="1">
        <v>864.0</v>
      </c>
      <c r="G222" s="1">
        <v>14.0</v>
      </c>
      <c r="H222" s="2">
        <v>44943.0</v>
      </c>
      <c r="I222" s="3" t="str">
        <f t="shared" si="1"/>
        <v>Senior (56+)</v>
      </c>
      <c r="J222" s="3">
        <f t="shared" si="2"/>
        <v>1</v>
      </c>
      <c r="K222" s="3">
        <f t="shared" si="3"/>
        <v>2023</v>
      </c>
      <c r="L222" s="3" t="str">
        <f t="shared" si="4"/>
        <v>January</v>
      </c>
      <c r="M222" s="3" t="str">
        <f>VLOOKUP(D222,Lookup_Practice!$A$2:$B$7,2,FALSE)</f>
        <v>Basic</v>
      </c>
      <c r="N222" s="3" t="str">
        <f t="array" ref="N222">INDEX(Lookup_Practice!$B$2:$B$7,MATCH(D222,Lookup_Practice!$A$2:$A$7,0))</f>
        <v>Basic</v>
      </c>
      <c r="O222" s="3" t="str">
        <f t="array" ref="O222">XLOOKUP(D222,Lookup_Practice!$A$2:$A$7,Lookup_Practice!$B$2:$B$7)</f>
        <v>Basic</v>
      </c>
    </row>
    <row r="223">
      <c r="A223" s="1">
        <v>41.0</v>
      </c>
      <c r="B223" s="1" t="s">
        <v>18</v>
      </c>
      <c r="C223" s="1" t="s">
        <v>19</v>
      </c>
      <c r="D223" s="1" t="s">
        <v>22</v>
      </c>
      <c r="E223" s="1" t="s">
        <v>17</v>
      </c>
      <c r="F223" s="1">
        <v>707.0</v>
      </c>
      <c r="G223" s="1">
        <v>4.0</v>
      </c>
      <c r="H223" s="2">
        <v>44963.0</v>
      </c>
      <c r="I223" s="3" t="str">
        <f t="shared" si="1"/>
        <v>Middle Age (36-55)</v>
      </c>
      <c r="J223" s="3">
        <f t="shared" si="2"/>
        <v>2</v>
      </c>
      <c r="K223" s="3">
        <f t="shared" si="3"/>
        <v>2023</v>
      </c>
      <c r="L223" s="3" t="str">
        <f t="shared" si="4"/>
        <v>February</v>
      </c>
      <c r="M223" s="3" t="str">
        <f>VLOOKUP(D223,Lookup_Practice!$A$2:$B$7,2,FALSE)</f>
        <v>Basic</v>
      </c>
      <c r="N223" s="3" t="str">
        <f t="array" ref="N223">INDEX(Lookup_Practice!$B$2:$B$7,MATCH(D223,Lookup_Practice!$A$2:$A$7,0))</f>
        <v>Basic</v>
      </c>
      <c r="O223" s="3" t="str">
        <f t="array" ref="O223">XLOOKUP(D223,Lookup_Practice!$A$2:$A$7,Lookup_Practice!$B$2:$B$7)</f>
        <v>Basic</v>
      </c>
    </row>
    <row r="224">
      <c r="A224" s="1">
        <v>36.0</v>
      </c>
      <c r="B224" s="1" t="s">
        <v>14</v>
      </c>
      <c r="C224" s="1" t="s">
        <v>25</v>
      </c>
      <c r="D224" s="1" t="s">
        <v>22</v>
      </c>
      <c r="E224" s="1" t="s">
        <v>28</v>
      </c>
      <c r="F224" s="1">
        <v>983.0</v>
      </c>
      <c r="G224" s="1">
        <v>10.0</v>
      </c>
      <c r="H224" s="2">
        <v>44974.0</v>
      </c>
      <c r="I224" s="3" t="str">
        <f t="shared" si="1"/>
        <v>Middle Age (36-55)</v>
      </c>
      <c r="J224" s="3">
        <f t="shared" si="2"/>
        <v>2</v>
      </c>
      <c r="K224" s="3">
        <f t="shared" si="3"/>
        <v>2023</v>
      </c>
      <c r="L224" s="3" t="str">
        <f t="shared" si="4"/>
        <v>February</v>
      </c>
      <c r="M224" s="3" t="str">
        <f>VLOOKUP(D224,Lookup_Practice!$A$2:$B$7,2,FALSE)</f>
        <v>Basic</v>
      </c>
      <c r="N224" s="3" t="str">
        <f t="array" ref="N224">INDEX(Lookup_Practice!$B$2:$B$7,MATCH(D224,Lookup_Practice!$A$2:$A$7,0))</f>
        <v>Basic</v>
      </c>
      <c r="O224" s="3" t="str">
        <f t="array" ref="O224">XLOOKUP(D224,Lookup_Practice!$A$2:$A$7,Lookup_Practice!$B$2:$B$7)</f>
        <v>Basic</v>
      </c>
    </row>
    <row r="225">
      <c r="A225" s="1">
        <v>13.0</v>
      </c>
      <c r="B225" s="1" t="s">
        <v>18</v>
      </c>
      <c r="C225" s="1" t="s">
        <v>21</v>
      </c>
      <c r="D225" s="1" t="s">
        <v>30</v>
      </c>
      <c r="E225" s="1" t="s">
        <v>24</v>
      </c>
      <c r="F225" s="1">
        <v>904.0</v>
      </c>
      <c r="G225" s="1">
        <v>20.0</v>
      </c>
      <c r="H225" s="2">
        <v>45001.0</v>
      </c>
      <c r="I225" s="3" t="str">
        <f t="shared" si="1"/>
        <v>Child (0-17)</v>
      </c>
      <c r="J225" s="3">
        <f t="shared" si="2"/>
        <v>3</v>
      </c>
      <c r="K225" s="3">
        <f t="shared" si="3"/>
        <v>2023</v>
      </c>
      <c r="L225" s="3" t="str">
        <f t="shared" si="4"/>
        <v>March</v>
      </c>
      <c r="M225" s="3" t="str">
        <f>VLOOKUP(D225,Lookup_Practice!$A$2:$B$7,2,FALSE)</f>
        <v>Standard</v>
      </c>
      <c r="N225" s="3" t="str">
        <f t="array" ref="N225">INDEX(Lookup_Practice!$B$2:$B$7,MATCH(D225,Lookup_Practice!$A$2:$A$7,0))</f>
        <v>Standard</v>
      </c>
      <c r="O225" s="3" t="str">
        <f t="array" ref="O225">XLOOKUP(D225,Lookup_Practice!$A$2:$A$7,Lookup_Practice!$B$2:$B$7)</f>
        <v>Standard</v>
      </c>
    </row>
    <row r="226">
      <c r="A226" s="1">
        <v>23.0</v>
      </c>
      <c r="B226" s="1" t="s">
        <v>14</v>
      </c>
      <c r="C226" s="1" t="s">
        <v>15</v>
      </c>
      <c r="D226" s="1" t="s">
        <v>23</v>
      </c>
      <c r="E226" s="1" t="s">
        <v>17</v>
      </c>
      <c r="F226" s="1">
        <v>1244.0</v>
      </c>
      <c r="G226" s="1">
        <v>15.0</v>
      </c>
      <c r="H226" s="2">
        <v>45091.0</v>
      </c>
      <c r="I226" s="3" t="str">
        <f t="shared" si="1"/>
        <v>Young Adult (18-35)</v>
      </c>
      <c r="J226" s="3">
        <f t="shared" si="2"/>
        <v>6</v>
      </c>
      <c r="K226" s="3">
        <f t="shared" si="3"/>
        <v>2023</v>
      </c>
      <c r="L226" s="3" t="str">
        <f t="shared" si="4"/>
        <v>June</v>
      </c>
      <c r="M226" s="3" t="str">
        <f>VLOOKUP(D226,Lookup_Practice!$A$2:$B$7,2,FALSE)</f>
        <v>Standard</v>
      </c>
      <c r="N226" s="3" t="str">
        <f t="array" ref="N226">INDEX(Lookup_Practice!$B$2:$B$7,MATCH(D226,Lookup_Practice!$A$2:$A$7,0))</f>
        <v>Standard</v>
      </c>
      <c r="O226" s="3" t="str">
        <f t="array" ref="O226">XLOOKUP(D226,Lookup_Practice!$A$2:$A$7,Lookup_Practice!$B$2:$B$7)</f>
        <v>Standard</v>
      </c>
    </row>
    <row r="227">
      <c r="A227" s="1">
        <v>52.0</v>
      </c>
      <c r="B227" s="1" t="s">
        <v>14</v>
      </c>
      <c r="C227" s="1" t="s">
        <v>21</v>
      </c>
      <c r="D227" s="1" t="s">
        <v>16</v>
      </c>
      <c r="E227" s="1" t="s">
        <v>17</v>
      </c>
      <c r="F227" s="1">
        <v>1000.0</v>
      </c>
      <c r="G227" s="1">
        <v>18.0</v>
      </c>
      <c r="H227" s="2">
        <v>45304.0</v>
      </c>
      <c r="I227" s="3" t="str">
        <f t="shared" si="1"/>
        <v>Middle Age (36-55)</v>
      </c>
      <c r="J227" s="3">
        <f t="shared" si="2"/>
        <v>1</v>
      </c>
      <c r="K227" s="3">
        <f t="shared" si="3"/>
        <v>2024</v>
      </c>
      <c r="L227" s="3" t="str">
        <f t="shared" si="4"/>
        <v>January</v>
      </c>
      <c r="M227" s="3" t="str">
        <f>VLOOKUP(D227,Lookup_Practice!$A$2:$B$7,2,FALSE)</f>
        <v>Premium</v>
      </c>
      <c r="N227" s="3" t="str">
        <f t="array" ref="N227">INDEX(Lookup_Practice!$B$2:$B$7,MATCH(D227,Lookup_Practice!$A$2:$A$7,0))</f>
        <v>Premium</v>
      </c>
      <c r="O227" s="3" t="str">
        <f t="array" ref="O227">XLOOKUP(D227,Lookup_Practice!$A$2:$A$7,Lookup_Practice!$B$2:$B$7)</f>
        <v>Premium</v>
      </c>
    </row>
    <row r="228">
      <c r="A228" s="1">
        <v>7.0</v>
      </c>
      <c r="B228" s="1" t="s">
        <v>14</v>
      </c>
      <c r="C228" s="1" t="s">
        <v>27</v>
      </c>
      <c r="D228" s="1" t="s">
        <v>16</v>
      </c>
      <c r="E228" s="1" t="s">
        <v>28</v>
      </c>
      <c r="F228" s="1">
        <v>1063.0</v>
      </c>
      <c r="G228" s="1">
        <v>20.0</v>
      </c>
      <c r="H228" s="2">
        <v>44963.0</v>
      </c>
      <c r="I228" s="3" t="str">
        <f t="shared" si="1"/>
        <v>Child (0-17)</v>
      </c>
      <c r="J228" s="3">
        <f t="shared" si="2"/>
        <v>2</v>
      </c>
      <c r="K228" s="3">
        <f t="shared" si="3"/>
        <v>2023</v>
      </c>
      <c r="L228" s="3" t="str">
        <f t="shared" si="4"/>
        <v>February</v>
      </c>
      <c r="M228" s="3" t="str">
        <f>VLOOKUP(D228,Lookup_Practice!$A$2:$B$7,2,FALSE)</f>
        <v>Premium</v>
      </c>
      <c r="N228" s="3" t="str">
        <f t="array" ref="N228">INDEX(Lookup_Practice!$B$2:$B$7,MATCH(D228,Lookup_Practice!$A$2:$A$7,0))</f>
        <v>Premium</v>
      </c>
      <c r="O228" s="3" t="str">
        <f t="array" ref="O228">XLOOKUP(D228,Lookup_Practice!$A$2:$A$7,Lookup_Practice!$B$2:$B$7)</f>
        <v>Premium</v>
      </c>
    </row>
    <row r="229">
      <c r="A229" s="1">
        <v>24.0</v>
      </c>
      <c r="B229" s="1" t="s">
        <v>18</v>
      </c>
      <c r="C229" s="1" t="s">
        <v>21</v>
      </c>
      <c r="D229" s="1" t="s">
        <v>30</v>
      </c>
      <c r="E229" s="1" t="s">
        <v>28</v>
      </c>
      <c r="F229" s="1">
        <v>1046.0</v>
      </c>
      <c r="G229" s="1">
        <v>13.0</v>
      </c>
      <c r="H229" s="2">
        <v>44929.0</v>
      </c>
      <c r="I229" s="3" t="str">
        <f t="shared" si="1"/>
        <v>Young Adult (18-35)</v>
      </c>
      <c r="J229" s="3">
        <f t="shared" si="2"/>
        <v>1</v>
      </c>
      <c r="K229" s="3">
        <f t="shared" si="3"/>
        <v>2023</v>
      </c>
      <c r="L229" s="3" t="str">
        <f t="shared" si="4"/>
        <v>January</v>
      </c>
      <c r="M229" s="3" t="str">
        <f>VLOOKUP(D229,Lookup_Practice!$A$2:$B$7,2,FALSE)</f>
        <v>Standard</v>
      </c>
      <c r="N229" s="3" t="str">
        <f t="array" ref="N229">INDEX(Lookup_Practice!$B$2:$B$7,MATCH(D229,Lookup_Practice!$A$2:$A$7,0))</f>
        <v>Standard</v>
      </c>
      <c r="O229" s="3" t="str">
        <f t="array" ref="O229">XLOOKUP(D229,Lookup_Practice!$A$2:$A$7,Lookup_Practice!$B$2:$B$7)</f>
        <v>Standard</v>
      </c>
    </row>
    <row r="230">
      <c r="A230" s="1">
        <v>28.0</v>
      </c>
      <c r="B230" s="1" t="s">
        <v>14</v>
      </c>
      <c r="C230" s="1" t="s">
        <v>21</v>
      </c>
      <c r="D230" s="1" t="s">
        <v>16</v>
      </c>
      <c r="E230" s="1" t="s">
        <v>24</v>
      </c>
      <c r="F230" s="1">
        <v>963.0</v>
      </c>
      <c r="G230" s="1">
        <v>8.0</v>
      </c>
      <c r="H230" s="2">
        <v>45426.0</v>
      </c>
      <c r="I230" s="3" t="str">
        <f t="shared" si="1"/>
        <v>Young Adult (18-35)</v>
      </c>
      <c r="J230" s="3">
        <f t="shared" si="2"/>
        <v>5</v>
      </c>
      <c r="K230" s="3">
        <f t="shared" si="3"/>
        <v>2024</v>
      </c>
      <c r="L230" s="3" t="str">
        <f t="shared" si="4"/>
        <v>May</v>
      </c>
      <c r="M230" s="3" t="str">
        <f>VLOOKUP(D230,Lookup_Practice!$A$2:$B$7,2,FALSE)</f>
        <v>Premium</v>
      </c>
      <c r="N230" s="3" t="str">
        <f t="array" ref="N230">INDEX(Lookup_Practice!$B$2:$B$7,MATCH(D230,Lookup_Practice!$A$2:$A$7,0))</f>
        <v>Premium</v>
      </c>
      <c r="O230" s="3" t="str">
        <f t="array" ref="O230">XLOOKUP(D230,Lookup_Practice!$A$2:$A$7,Lookup_Practice!$B$2:$B$7)</f>
        <v>Premium</v>
      </c>
    </row>
    <row r="231">
      <c r="A231" s="1">
        <v>58.0</v>
      </c>
      <c r="B231" s="1" t="s">
        <v>14</v>
      </c>
      <c r="C231" s="1" t="s">
        <v>15</v>
      </c>
      <c r="D231" s="1" t="s">
        <v>22</v>
      </c>
      <c r="E231" s="1" t="s">
        <v>17</v>
      </c>
      <c r="F231" s="1">
        <v>790.0</v>
      </c>
      <c r="G231" s="1">
        <v>9.0</v>
      </c>
      <c r="H231" s="2">
        <v>45121.0</v>
      </c>
      <c r="I231" s="3" t="str">
        <f t="shared" si="1"/>
        <v>Senior (56+)</v>
      </c>
      <c r="J231" s="3">
        <f t="shared" si="2"/>
        <v>7</v>
      </c>
      <c r="K231" s="3">
        <f t="shared" si="3"/>
        <v>2023</v>
      </c>
      <c r="L231" s="3" t="str">
        <f t="shared" si="4"/>
        <v>July</v>
      </c>
      <c r="M231" s="3" t="str">
        <f>VLOOKUP(D231,Lookup_Practice!$A$2:$B$7,2,FALSE)</f>
        <v>Basic</v>
      </c>
      <c r="N231" s="3" t="str">
        <f t="array" ref="N231">INDEX(Lookup_Practice!$B$2:$B$7,MATCH(D231,Lookup_Practice!$A$2:$A$7,0))</f>
        <v>Basic</v>
      </c>
      <c r="O231" s="3" t="str">
        <f t="array" ref="O231">XLOOKUP(D231,Lookup_Practice!$A$2:$A$7,Lookup_Practice!$B$2:$B$7)</f>
        <v>Basic</v>
      </c>
    </row>
    <row r="232">
      <c r="A232" s="1">
        <v>37.0</v>
      </c>
      <c r="B232" s="1" t="s">
        <v>14</v>
      </c>
      <c r="C232" s="1" t="s">
        <v>15</v>
      </c>
      <c r="D232" s="1" t="s">
        <v>20</v>
      </c>
      <c r="E232" s="1" t="s">
        <v>17</v>
      </c>
      <c r="F232" s="1">
        <v>1516.0</v>
      </c>
      <c r="G232" s="1">
        <v>16.0</v>
      </c>
      <c r="H232" s="2">
        <v>45519.0</v>
      </c>
      <c r="I232" s="3" t="str">
        <f t="shared" si="1"/>
        <v>Middle Age (36-55)</v>
      </c>
      <c r="J232" s="3">
        <f t="shared" si="2"/>
        <v>8</v>
      </c>
      <c r="K232" s="3">
        <f t="shared" si="3"/>
        <v>2024</v>
      </c>
      <c r="L232" s="3" t="str">
        <f t="shared" si="4"/>
        <v>August</v>
      </c>
      <c r="M232" s="3" t="str">
        <f>VLOOKUP(D232,Lookup_Practice!$A$2:$B$7,2,FALSE)</f>
        <v>Standard</v>
      </c>
      <c r="N232" s="3" t="str">
        <f t="array" ref="N232">INDEX(Lookup_Practice!$B$2:$B$7,MATCH(D232,Lookup_Practice!$A$2:$A$7,0))</f>
        <v>Standard</v>
      </c>
      <c r="O232" s="3" t="str">
        <f t="array" ref="O232">XLOOKUP(D232,Lookup_Practice!$A$2:$A$7,Lookup_Practice!$B$2:$B$7)</f>
        <v>Standard</v>
      </c>
    </row>
    <row r="233">
      <c r="A233" s="1">
        <v>28.0</v>
      </c>
      <c r="B233" s="1" t="s">
        <v>18</v>
      </c>
      <c r="C233" s="1" t="s">
        <v>19</v>
      </c>
      <c r="D233" s="1" t="s">
        <v>26</v>
      </c>
      <c r="E233" s="1" t="s">
        <v>17</v>
      </c>
      <c r="F233" s="1">
        <v>666.0</v>
      </c>
      <c r="G233" s="1">
        <v>19.0</v>
      </c>
      <c r="H233" s="2">
        <v>45573.0</v>
      </c>
      <c r="I233" s="3" t="str">
        <f t="shared" si="1"/>
        <v>Young Adult (18-35)</v>
      </c>
      <c r="J233" s="3">
        <f t="shared" si="2"/>
        <v>10</v>
      </c>
      <c r="K233" s="3">
        <f t="shared" si="3"/>
        <v>2024</v>
      </c>
      <c r="L233" s="3" t="str">
        <f t="shared" si="4"/>
        <v>October</v>
      </c>
      <c r="M233" s="3" t="str">
        <f>VLOOKUP(D233,Lookup_Practice!$A$2:$B$7,2,FALSE)</f>
        <v>Premium</v>
      </c>
      <c r="N233" s="3" t="str">
        <f t="array" ref="N233">INDEX(Lookup_Practice!$B$2:$B$7,MATCH(D233,Lookup_Practice!$A$2:$A$7,0))</f>
        <v>Premium</v>
      </c>
      <c r="O233" s="3" t="str">
        <f t="array" ref="O233">XLOOKUP(D233,Lookup_Practice!$A$2:$A$7,Lookup_Practice!$B$2:$B$7)</f>
        <v>Premium</v>
      </c>
    </row>
    <row r="234">
      <c r="A234" s="1">
        <v>79.0</v>
      </c>
      <c r="B234" s="1" t="s">
        <v>18</v>
      </c>
      <c r="C234" s="1" t="s">
        <v>21</v>
      </c>
      <c r="D234" s="1" t="s">
        <v>23</v>
      </c>
      <c r="E234" s="1" t="s">
        <v>17</v>
      </c>
      <c r="F234" s="1">
        <v>1272.0</v>
      </c>
      <c r="G234" s="1">
        <v>16.0</v>
      </c>
      <c r="H234" s="2">
        <v>44941.0</v>
      </c>
      <c r="I234" s="3" t="str">
        <f t="shared" si="1"/>
        <v>Senior (56+)</v>
      </c>
      <c r="J234" s="3">
        <f t="shared" si="2"/>
        <v>1</v>
      </c>
      <c r="K234" s="3">
        <f t="shared" si="3"/>
        <v>2023</v>
      </c>
      <c r="L234" s="3" t="str">
        <f t="shared" si="4"/>
        <v>January</v>
      </c>
      <c r="M234" s="3" t="str">
        <f>VLOOKUP(D234,Lookup_Practice!$A$2:$B$7,2,FALSE)</f>
        <v>Standard</v>
      </c>
      <c r="N234" s="3" t="str">
        <f t="array" ref="N234">INDEX(Lookup_Practice!$B$2:$B$7,MATCH(D234,Lookup_Practice!$A$2:$A$7,0))</f>
        <v>Standard</v>
      </c>
      <c r="O234" s="3" t="str">
        <f t="array" ref="O234">XLOOKUP(D234,Lookup_Practice!$A$2:$A$7,Lookup_Practice!$B$2:$B$7)</f>
        <v>Standard</v>
      </c>
    </row>
    <row r="235">
      <c r="A235" s="1">
        <v>76.0</v>
      </c>
      <c r="B235" s="1" t="s">
        <v>14</v>
      </c>
      <c r="C235" s="1" t="s">
        <v>31</v>
      </c>
      <c r="D235" s="1" t="s">
        <v>23</v>
      </c>
      <c r="E235" s="1" t="s">
        <v>17</v>
      </c>
      <c r="F235" s="1">
        <v>1146.0</v>
      </c>
      <c r="G235" s="1">
        <v>7.0</v>
      </c>
      <c r="H235" s="2">
        <v>45495.0</v>
      </c>
      <c r="I235" s="3" t="str">
        <f t="shared" si="1"/>
        <v>Senior (56+)</v>
      </c>
      <c r="J235" s="3">
        <f t="shared" si="2"/>
        <v>7</v>
      </c>
      <c r="K235" s="3">
        <f t="shared" si="3"/>
        <v>2024</v>
      </c>
      <c r="L235" s="3" t="str">
        <f t="shared" si="4"/>
        <v>July</v>
      </c>
      <c r="M235" s="3" t="str">
        <f>VLOOKUP(D235,Lookup_Practice!$A$2:$B$7,2,FALSE)</f>
        <v>Standard</v>
      </c>
      <c r="N235" s="3" t="str">
        <f t="array" ref="N235">INDEX(Lookup_Practice!$B$2:$B$7,MATCH(D235,Lookup_Practice!$A$2:$A$7,0))</f>
        <v>Standard</v>
      </c>
      <c r="O235" s="3" t="str">
        <f t="array" ref="O235">XLOOKUP(D235,Lookup_Practice!$A$2:$A$7,Lookup_Practice!$B$2:$B$7)</f>
        <v>Standard</v>
      </c>
    </row>
    <row r="236">
      <c r="A236" s="1">
        <v>40.0</v>
      </c>
      <c r="B236" s="1" t="s">
        <v>18</v>
      </c>
      <c r="C236" s="1" t="s">
        <v>21</v>
      </c>
      <c r="D236" s="1" t="s">
        <v>30</v>
      </c>
      <c r="E236" s="1" t="s">
        <v>28</v>
      </c>
      <c r="F236" s="1">
        <v>1039.0</v>
      </c>
      <c r="G236" s="1">
        <v>14.0</v>
      </c>
      <c r="H236" s="2">
        <v>45073.0</v>
      </c>
      <c r="I236" s="3" t="str">
        <f t="shared" si="1"/>
        <v>Middle Age (36-55)</v>
      </c>
      <c r="J236" s="3">
        <f t="shared" si="2"/>
        <v>5</v>
      </c>
      <c r="K236" s="3">
        <f t="shared" si="3"/>
        <v>2023</v>
      </c>
      <c r="L236" s="3" t="str">
        <f t="shared" si="4"/>
        <v>May</v>
      </c>
      <c r="M236" s="3" t="str">
        <f>VLOOKUP(D236,Lookup_Practice!$A$2:$B$7,2,FALSE)</f>
        <v>Standard</v>
      </c>
      <c r="N236" s="3" t="str">
        <f t="array" ref="N236">INDEX(Lookup_Practice!$B$2:$B$7,MATCH(D236,Lookup_Practice!$A$2:$A$7,0))</f>
        <v>Standard</v>
      </c>
      <c r="O236" s="3" t="str">
        <f t="array" ref="O236">XLOOKUP(D236,Lookup_Practice!$A$2:$A$7,Lookup_Practice!$B$2:$B$7)</f>
        <v>Standard</v>
      </c>
    </row>
    <row r="237">
      <c r="A237" s="1">
        <v>42.0</v>
      </c>
      <c r="B237" s="1" t="s">
        <v>14</v>
      </c>
      <c r="C237" s="1" t="s">
        <v>31</v>
      </c>
      <c r="D237" s="1" t="s">
        <v>23</v>
      </c>
      <c r="E237" s="1" t="s">
        <v>17</v>
      </c>
      <c r="F237" s="1">
        <v>1345.0</v>
      </c>
      <c r="G237" s="1">
        <v>14.0</v>
      </c>
      <c r="H237" s="2">
        <v>45212.0</v>
      </c>
      <c r="I237" s="3" t="str">
        <f t="shared" si="1"/>
        <v>Middle Age (36-55)</v>
      </c>
      <c r="J237" s="3">
        <f t="shared" si="2"/>
        <v>10</v>
      </c>
      <c r="K237" s="3">
        <f t="shared" si="3"/>
        <v>2023</v>
      </c>
      <c r="L237" s="3" t="str">
        <f t="shared" si="4"/>
        <v>October</v>
      </c>
      <c r="M237" s="3" t="str">
        <f>VLOOKUP(D237,Lookup_Practice!$A$2:$B$7,2,FALSE)</f>
        <v>Standard</v>
      </c>
      <c r="N237" s="3" t="str">
        <f t="array" ref="N237">INDEX(Lookup_Practice!$B$2:$B$7,MATCH(D237,Lookup_Practice!$A$2:$A$7,0))</f>
        <v>Standard</v>
      </c>
      <c r="O237" s="3" t="str">
        <f t="array" ref="O237">XLOOKUP(D237,Lookup_Practice!$A$2:$A$7,Lookup_Practice!$B$2:$B$7)</f>
        <v>Standard</v>
      </c>
    </row>
    <row r="238">
      <c r="A238" s="1">
        <v>29.0</v>
      </c>
      <c r="B238" s="1" t="s">
        <v>14</v>
      </c>
      <c r="C238" s="1" t="s">
        <v>21</v>
      </c>
      <c r="D238" s="1" t="s">
        <v>22</v>
      </c>
      <c r="E238" s="1" t="s">
        <v>17</v>
      </c>
      <c r="F238" s="1">
        <v>848.0</v>
      </c>
      <c r="G238" s="1">
        <v>4.0</v>
      </c>
      <c r="H238" s="2">
        <v>45308.0</v>
      </c>
      <c r="I238" s="3" t="str">
        <f t="shared" si="1"/>
        <v>Young Adult (18-35)</v>
      </c>
      <c r="J238" s="3">
        <f t="shared" si="2"/>
        <v>1</v>
      </c>
      <c r="K238" s="3">
        <f t="shared" si="3"/>
        <v>2024</v>
      </c>
      <c r="L238" s="3" t="str">
        <f t="shared" si="4"/>
        <v>January</v>
      </c>
      <c r="M238" s="3" t="str">
        <f>VLOOKUP(D238,Lookup_Practice!$A$2:$B$7,2,FALSE)</f>
        <v>Basic</v>
      </c>
      <c r="N238" s="3" t="str">
        <f t="array" ref="N238">INDEX(Lookup_Practice!$B$2:$B$7,MATCH(D238,Lookup_Practice!$A$2:$A$7,0))</f>
        <v>Basic</v>
      </c>
      <c r="O238" s="3" t="str">
        <f t="array" ref="O238">XLOOKUP(D238,Lookup_Practice!$A$2:$A$7,Lookup_Practice!$B$2:$B$7)</f>
        <v>Basic</v>
      </c>
    </row>
    <row r="239">
      <c r="A239" s="1">
        <v>22.0</v>
      </c>
      <c r="B239" s="1" t="s">
        <v>18</v>
      </c>
      <c r="C239" s="1" t="s">
        <v>21</v>
      </c>
      <c r="D239" s="1" t="s">
        <v>16</v>
      </c>
      <c r="E239" s="1" t="s">
        <v>17</v>
      </c>
      <c r="F239" s="1">
        <v>1145.0</v>
      </c>
      <c r="G239" s="1">
        <v>15.0</v>
      </c>
      <c r="H239" s="2">
        <v>45372.0</v>
      </c>
      <c r="I239" s="3" t="str">
        <f t="shared" si="1"/>
        <v>Young Adult (18-35)</v>
      </c>
      <c r="J239" s="3">
        <f t="shared" si="2"/>
        <v>3</v>
      </c>
      <c r="K239" s="3">
        <f t="shared" si="3"/>
        <v>2024</v>
      </c>
      <c r="L239" s="3" t="str">
        <f t="shared" si="4"/>
        <v>March</v>
      </c>
      <c r="M239" s="3" t="str">
        <f>VLOOKUP(D239,Lookup_Practice!$A$2:$B$7,2,FALSE)</f>
        <v>Premium</v>
      </c>
      <c r="N239" s="3" t="str">
        <f t="array" ref="N239">INDEX(Lookup_Practice!$B$2:$B$7,MATCH(D239,Lookup_Practice!$A$2:$A$7,0))</f>
        <v>Premium</v>
      </c>
      <c r="O239" s="3" t="str">
        <f t="array" ref="O239">XLOOKUP(D239,Lookup_Practice!$A$2:$A$7,Lookup_Practice!$B$2:$B$7)</f>
        <v>Premium</v>
      </c>
    </row>
    <row r="240">
      <c r="A240" s="1">
        <v>70.0</v>
      </c>
      <c r="B240" s="1" t="s">
        <v>14</v>
      </c>
      <c r="C240" s="1" t="s">
        <v>29</v>
      </c>
      <c r="D240" s="1" t="s">
        <v>22</v>
      </c>
      <c r="E240" s="1" t="s">
        <v>17</v>
      </c>
      <c r="F240" s="1">
        <v>704.0</v>
      </c>
      <c r="G240" s="1">
        <v>3.0</v>
      </c>
      <c r="H240" s="2">
        <v>45131.0</v>
      </c>
      <c r="I240" s="3" t="str">
        <f t="shared" si="1"/>
        <v>Senior (56+)</v>
      </c>
      <c r="J240" s="3">
        <f t="shared" si="2"/>
        <v>7</v>
      </c>
      <c r="K240" s="3">
        <f t="shared" si="3"/>
        <v>2023</v>
      </c>
      <c r="L240" s="3" t="str">
        <f t="shared" si="4"/>
        <v>July</v>
      </c>
      <c r="M240" s="3" t="str">
        <f>VLOOKUP(D240,Lookup_Practice!$A$2:$B$7,2,FALSE)</f>
        <v>Basic</v>
      </c>
      <c r="N240" s="3" t="str">
        <f t="array" ref="N240">INDEX(Lookup_Practice!$B$2:$B$7,MATCH(D240,Lookup_Practice!$A$2:$A$7,0))</f>
        <v>Basic</v>
      </c>
      <c r="O240" s="3" t="str">
        <f t="array" ref="O240">XLOOKUP(D240,Lookup_Practice!$A$2:$A$7,Lookup_Practice!$B$2:$B$7)</f>
        <v>Basic</v>
      </c>
    </row>
    <row r="241">
      <c r="A241" s="1">
        <v>58.0</v>
      </c>
      <c r="B241" s="1" t="s">
        <v>14</v>
      </c>
      <c r="C241" s="1" t="s">
        <v>32</v>
      </c>
      <c r="D241" s="1" t="s">
        <v>30</v>
      </c>
      <c r="E241" s="1" t="s">
        <v>17</v>
      </c>
      <c r="F241" s="1">
        <v>1083.0</v>
      </c>
      <c r="G241" s="1">
        <v>5.0</v>
      </c>
      <c r="H241" s="2">
        <v>45568.0</v>
      </c>
      <c r="I241" s="3" t="str">
        <f t="shared" si="1"/>
        <v>Senior (56+)</v>
      </c>
      <c r="J241" s="3">
        <f t="shared" si="2"/>
        <v>10</v>
      </c>
      <c r="K241" s="3">
        <f t="shared" si="3"/>
        <v>2024</v>
      </c>
      <c r="L241" s="3" t="str">
        <f t="shared" si="4"/>
        <v>October</v>
      </c>
      <c r="M241" s="3" t="str">
        <f>VLOOKUP(D241,Lookup_Practice!$A$2:$B$7,2,FALSE)</f>
        <v>Standard</v>
      </c>
      <c r="N241" s="3" t="str">
        <f t="array" ref="N241">INDEX(Lookup_Practice!$B$2:$B$7,MATCH(D241,Lookup_Practice!$A$2:$A$7,0))</f>
        <v>Standard</v>
      </c>
      <c r="O241" s="3" t="str">
        <f t="array" ref="O241">XLOOKUP(D241,Lookup_Practice!$A$2:$A$7,Lookup_Practice!$B$2:$B$7)</f>
        <v>Standard</v>
      </c>
    </row>
    <row r="242">
      <c r="A242" s="1">
        <v>39.0</v>
      </c>
      <c r="B242" s="1" t="s">
        <v>14</v>
      </c>
      <c r="C242" s="1" t="s">
        <v>19</v>
      </c>
      <c r="D242" s="1" t="s">
        <v>22</v>
      </c>
      <c r="E242" s="1" t="s">
        <v>17</v>
      </c>
      <c r="F242" s="1">
        <v>719.0</v>
      </c>
      <c r="G242" s="1">
        <v>1.0</v>
      </c>
      <c r="H242" s="2">
        <v>45297.0</v>
      </c>
      <c r="I242" s="3" t="str">
        <f t="shared" si="1"/>
        <v>Middle Age (36-55)</v>
      </c>
      <c r="J242" s="3">
        <f t="shared" si="2"/>
        <v>1</v>
      </c>
      <c r="K242" s="3">
        <f t="shared" si="3"/>
        <v>2024</v>
      </c>
      <c r="L242" s="3" t="str">
        <f t="shared" si="4"/>
        <v>January</v>
      </c>
      <c r="M242" s="3" t="str">
        <f>VLOOKUP(D242,Lookup_Practice!$A$2:$B$7,2,FALSE)</f>
        <v>Basic</v>
      </c>
      <c r="N242" s="3" t="str">
        <f t="array" ref="N242">INDEX(Lookup_Practice!$B$2:$B$7,MATCH(D242,Lookup_Practice!$A$2:$A$7,0))</f>
        <v>Basic</v>
      </c>
      <c r="O242" s="3" t="str">
        <f t="array" ref="O242">XLOOKUP(D242,Lookup_Practice!$A$2:$A$7,Lookup_Practice!$B$2:$B$7)</f>
        <v>Basic</v>
      </c>
    </row>
    <row r="243">
      <c r="A243" s="1">
        <v>65.0</v>
      </c>
      <c r="B243" s="1" t="s">
        <v>14</v>
      </c>
      <c r="C243" s="1" t="s">
        <v>25</v>
      </c>
      <c r="D243" s="1" t="s">
        <v>16</v>
      </c>
      <c r="E243" s="1" t="s">
        <v>17</v>
      </c>
      <c r="F243" s="1">
        <v>945.0</v>
      </c>
      <c r="G243" s="1">
        <v>3.0</v>
      </c>
      <c r="H243" s="2">
        <v>45112.0</v>
      </c>
      <c r="I243" s="3" t="str">
        <f t="shared" si="1"/>
        <v>Senior (56+)</v>
      </c>
      <c r="J243" s="3">
        <f t="shared" si="2"/>
        <v>7</v>
      </c>
      <c r="K243" s="3">
        <f t="shared" si="3"/>
        <v>2023</v>
      </c>
      <c r="L243" s="3" t="str">
        <f t="shared" si="4"/>
        <v>July</v>
      </c>
      <c r="M243" s="3" t="str">
        <f>VLOOKUP(D243,Lookup_Practice!$A$2:$B$7,2,FALSE)</f>
        <v>Premium</v>
      </c>
      <c r="N243" s="3" t="str">
        <f t="array" ref="N243">INDEX(Lookup_Practice!$B$2:$B$7,MATCH(D243,Lookup_Practice!$A$2:$A$7,0))</f>
        <v>Premium</v>
      </c>
      <c r="O243" s="3" t="str">
        <f t="array" ref="O243">XLOOKUP(D243,Lookup_Practice!$A$2:$A$7,Lookup_Practice!$B$2:$B$7)</f>
        <v>Premium</v>
      </c>
    </row>
    <row r="244">
      <c r="A244" s="1">
        <v>45.0</v>
      </c>
      <c r="B244" s="1" t="s">
        <v>14</v>
      </c>
      <c r="C244" s="1" t="s">
        <v>27</v>
      </c>
      <c r="D244" s="1" t="s">
        <v>20</v>
      </c>
      <c r="E244" s="1" t="s">
        <v>24</v>
      </c>
      <c r="F244" s="1">
        <v>1411.0</v>
      </c>
      <c r="G244" s="1">
        <v>15.0</v>
      </c>
      <c r="H244" s="2">
        <v>45068.0</v>
      </c>
      <c r="I244" s="3" t="str">
        <f t="shared" si="1"/>
        <v>Middle Age (36-55)</v>
      </c>
      <c r="J244" s="3">
        <f t="shared" si="2"/>
        <v>5</v>
      </c>
      <c r="K244" s="3">
        <f t="shared" si="3"/>
        <v>2023</v>
      </c>
      <c r="L244" s="3" t="str">
        <f t="shared" si="4"/>
        <v>May</v>
      </c>
      <c r="M244" s="3" t="str">
        <f>VLOOKUP(D244,Lookup_Practice!$A$2:$B$7,2,FALSE)</f>
        <v>Standard</v>
      </c>
      <c r="N244" s="3" t="str">
        <f t="array" ref="N244">INDEX(Lookup_Practice!$B$2:$B$7,MATCH(D244,Lookup_Practice!$A$2:$A$7,0))</f>
        <v>Standard</v>
      </c>
      <c r="O244" s="3" t="str">
        <f t="array" ref="O244">XLOOKUP(D244,Lookup_Practice!$A$2:$A$7,Lookup_Practice!$B$2:$B$7)</f>
        <v>Standard</v>
      </c>
    </row>
    <row r="245">
      <c r="A245" s="1">
        <v>37.0</v>
      </c>
      <c r="B245" s="1" t="s">
        <v>18</v>
      </c>
      <c r="C245" s="1" t="s">
        <v>21</v>
      </c>
      <c r="D245" s="1" t="s">
        <v>30</v>
      </c>
      <c r="E245" s="1" t="s">
        <v>28</v>
      </c>
      <c r="F245" s="1">
        <v>969.0</v>
      </c>
      <c r="G245" s="1">
        <v>8.0</v>
      </c>
      <c r="H245" s="2">
        <v>45317.0</v>
      </c>
      <c r="I245" s="3" t="str">
        <f t="shared" si="1"/>
        <v>Middle Age (36-55)</v>
      </c>
      <c r="J245" s="3">
        <f t="shared" si="2"/>
        <v>1</v>
      </c>
      <c r="K245" s="3">
        <f t="shared" si="3"/>
        <v>2024</v>
      </c>
      <c r="L245" s="3" t="str">
        <f t="shared" si="4"/>
        <v>January</v>
      </c>
      <c r="M245" s="3" t="str">
        <f>VLOOKUP(D245,Lookup_Practice!$A$2:$B$7,2,FALSE)</f>
        <v>Standard</v>
      </c>
      <c r="N245" s="3" t="str">
        <f t="array" ref="N245">INDEX(Lookup_Practice!$B$2:$B$7,MATCH(D245,Lookup_Practice!$A$2:$A$7,0))</f>
        <v>Standard</v>
      </c>
      <c r="O245" s="3" t="str">
        <f t="array" ref="O245">XLOOKUP(D245,Lookup_Practice!$A$2:$A$7,Lookup_Practice!$B$2:$B$7)</f>
        <v>Standard</v>
      </c>
    </row>
    <row r="246">
      <c r="A246" s="1">
        <v>72.0</v>
      </c>
      <c r="B246" s="1" t="s">
        <v>18</v>
      </c>
      <c r="C246" s="1" t="s">
        <v>32</v>
      </c>
      <c r="D246" s="1" t="s">
        <v>20</v>
      </c>
      <c r="E246" s="1" t="s">
        <v>17</v>
      </c>
      <c r="F246" s="1">
        <v>1416.0</v>
      </c>
      <c r="G246" s="1">
        <v>4.0</v>
      </c>
      <c r="H246" s="2">
        <v>44943.0</v>
      </c>
      <c r="I246" s="3" t="str">
        <f t="shared" si="1"/>
        <v>Senior (56+)</v>
      </c>
      <c r="J246" s="3">
        <f t="shared" si="2"/>
        <v>1</v>
      </c>
      <c r="K246" s="3">
        <f t="shared" si="3"/>
        <v>2023</v>
      </c>
      <c r="L246" s="3" t="str">
        <f t="shared" si="4"/>
        <v>January</v>
      </c>
      <c r="M246" s="3" t="str">
        <f>VLOOKUP(D246,Lookup_Practice!$A$2:$B$7,2,FALSE)</f>
        <v>Standard</v>
      </c>
      <c r="N246" s="3" t="str">
        <f t="array" ref="N246">INDEX(Lookup_Practice!$B$2:$B$7,MATCH(D246,Lookup_Practice!$A$2:$A$7,0))</f>
        <v>Standard</v>
      </c>
      <c r="O246" s="3" t="str">
        <f t="array" ref="O246">XLOOKUP(D246,Lookup_Practice!$A$2:$A$7,Lookup_Practice!$B$2:$B$7)</f>
        <v>Standard</v>
      </c>
    </row>
    <row r="247">
      <c r="A247" s="1">
        <v>37.0</v>
      </c>
      <c r="B247" s="1" t="s">
        <v>14</v>
      </c>
      <c r="C247" s="1" t="s">
        <v>15</v>
      </c>
      <c r="D247" s="1" t="s">
        <v>26</v>
      </c>
      <c r="E247" s="1" t="s">
        <v>17</v>
      </c>
      <c r="F247" s="1">
        <v>546.0</v>
      </c>
      <c r="G247" s="1">
        <v>2.0</v>
      </c>
      <c r="H247" s="2">
        <v>44949.0</v>
      </c>
      <c r="I247" s="3" t="str">
        <f t="shared" si="1"/>
        <v>Middle Age (36-55)</v>
      </c>
      <c r="J247" s="3">
        <f t="shared" si="2"/>
        <v>1</v>
      </c>
      <c r="K247" s="3">
        <f t="shared" si="3"/>
        <v>2023</v>
      </c>
      <c r="L247" s="3" t="str">
        <f t="shared" si="4"/>
        <v>January</v>
      </c>
      <c r="M247" s="3" t="str">
        <f>VLOOKUP(D247,Lookup_Practice!$A$2:$B$7,2,FALSE)</f>
        <v>Premium</v>
      </c>
      <c r="N247" s="3" t="str">
        <f t="array" ref="N247">INDEX(Lookup_Practice!$B$2:$B$7,MATCH(D247,Lookup_Practice!$A$2:$A$7,0))</f>
        <v>Premium</v>
      </c>
      <c r="O247" s="3" t="str">
        <f t="array" ref="O247">XLOOKUP(D247,Lookup_Practice!$A$2:$A$7,Lookup_Practice!$B$2:$B$7)</f>
        <v>Premium</v>
      </c>
    </row>
    <row r="248">
      <c r="A248" s="1">
        <v>18.0</v>
      </c>
      <c r="B248" s="1" t="s">
        <v>18</v>
      </c>
      <c r="C248" s="1" t="s">
        <v>29</v>
      </c>
      <c r="D248" s="1" t="s">
        <v>20</v>
      </c>
      <c r="E248" s="1" t="s">
        <v>24</v>
      </c>
      <c r="F248" s="1">
        <v>1553.0</v>
      </c>
      <c r="G248" s="1">
        <v>10.0</v>
      </c>
      <c r="H248" s="2">
        <v>45255.0</v>
      </c>
      <c r="I248" s="3" t="str">
        <f t="shared" si="1"/>
        <v>Young Adult (18-35)</v>
      </c>
      <c r="J248" s="3">
        <f t="shared" si="2"/>
        <v>11</v>
      </c>
      <c r="K248" s="3">
        <f t="shared" si="3"/>
        <v>2023</v>
      </c>
      <c r="L248" s="3" t="str">
        <f t="shared" si="4"/>
        <v>November</v>
      </c>
      <c r="M248" s="3" t="str">
        <f>VLOOKUP(D248,Lookup_Practice!$A$2:$B$7,2,FALSE)</f>
        <v>Standard</v>
      </c>
      <c r="N248" s="3" t="str">
        <f t="array" ref="N248">INDEX(Lookup_Practice!$B$2:$B$7,MATCH(D248,Lookup_Practice!$A$2:$A$7,0))</f>
        <v>Standard</v>
      </c>
      <c r="O248" s="3" t="str">
        <f t="array" ref="O248">XLOOKUP(D248,Lookup_Practice!$A$2:$A$7,Lookup_Practice!$B$2:$B$7)</f>
        <v>Standard</v>
      </c>
    </row>
    <row r="249">
      <c r="A249" s="1">
        <v>25.0</v>
      </c>
      <c r="B249" s="1" t="s">
        <v>18</v>
      </c>
      <c r="C249" s="1" t="s">
        <v>31</v>
      </c>
      <c r="D249" s="1" t="s">
        <v>26</v>
      </c>
      <c r="E249" s="1" t="s">
        <v>17</v>
      </c>
      <c r="F249" s="1">
        <v>507.0</v>
      </c>
      <c r="G249" s="1">
        <v>4.0</v>
      </c>
      <c r="H249" s="2">
        <v>45171.0</v>
      </c>
      <c r="I249" s="3" t="str">
        <f t="shared" si="1"/>
        <v>Young Adult (18-35)</v>
      </c>
      <c r="J249" s="3">
        <f t="shared" si="2"/>
        <v>9</v>
      </c>
      <c r="K249" s="3">
        <f t="shared" si="3"/>
        <v>2023</v>
      </c>
      <c r="L249" s="3" t="str">
        <f t="shared" si="4"/>
        <v>September</v>
      </c>
      <c r="M249" s="3" t="str">
        <f>VLOOKUP(D249,Lookup_Practice!$A$2:$B$7,2,FALSE)</f>
        <v>Premium</v>
      </c>
      <c r="N249" s="3" t="str">
        <f t="array" ref="N249">INDEX(Lookup_Practice!$B$2:$B$7,MATCH(D249,Lookup_Practice!$A$2:$A$7,0))</f>
        <v>Premium</v>
      </c>
      <c r="O249" s="3" t="str">
        <f t="array" ref="O249">XLOOKUP(D249,Lookup_Practice!$A$2:$A$7,Lookup_Practice!$B$2:$B$7)</f>
        <v>Premium</v>
      </c>
    </row>
    <row r="250">
      <c r="A250" s="1">
        <v>52.0</v>
      </c>
      <c r="B250" s="1" t="s">
        <v>18</v>
      </c>
      <c r="C250" s="1" t="s">
        <v>29</v>
      </c>
      <c r="D250" s="1" t="s">
        <v>26</v>
      </c>
      <c r="E250" s="1" t="s">
        <v>17</v>
      </c>
      <c r="F250" s="1">
        <v>635.0</v>
      </c>
      <c r="G250" s="1">
        <v>3.0</v>
      </c>
      <c r="H250" s="2">
        <v>45256.0</v>
      </c>
      <c r="I250" s="3" t="str">
        <f t="shared" si="1"/>
        <v>Middle Age (36-55)</v>
      </c>
      <c r="J250" s="3">
        <f t="shared" si="2"/>
        <v>11</v>
      </c>
      <c r="K250" s="3">
        <f t="shared" si="3"/>
        <v>2023</v>
      </c>
      <c r="L250" s="3" t="str">
        <f t="shared" si="4"/>
        <v>November</v>
      </c>
      <c r="M250" s="3" t="str">
        <f>VLOOKUP(D250,Lookup_Practice!$A$2:$B$7,2,FALSE)</f>
        <v>Premium</v>
      </c>
      <c r="N250" s="3" t="str">
        <f t="array" ref="N250">INDEX(Lookup_Practice!$B$2:$B$7,MATCH(D250,Lookup_Practice!$A$2:$A$7,0))</f>
        <v>Premium</v>
      </c>
      <c r="O250" s="3" t="str">
        <f t="array" ref="O250">XLOOKUP(D250,Lookup_Practice!$A$2:$A$7,Lookup_Practice!$B$2:$B$7)</f>
        <v>Premium</v>
      </c>
    </row>
    <row r="251">
      <c r="A251" s="1">
        <v>24.0</v>
      </c>
      <c r="B251" s="1" t="s">
        <v>14</v>
      </c>
      <c r="C251" s="1" t="s">
        <v>15</v>
      </c>
      <c r="D251" s="1" t="s">
        <v>20</v>
      </c>
      <c r="E251" s="1" t="s">
        <v>24</v>
      </c>
      <c r="F251" s="1">
        <v>1469.0</v>
      </c>
      <c r="G251" s="1">
        <v>2.0</v>
      </c>
      <c r="H251" s="2">
        <v>45000.0</v>
      </c>
      <c r="I251" s="3" t="str">
        <f t="shared" si="1"/>
        <v>Young Adult (18-35)</v>
      </c>
      <c r="J251" s="3">
        <f t="shared" si="2"/>
        <v>3</v>
      </c>
      <c r="K251" s="3">
        <f t="shared" si="3"/>
        <v>2023</v>
      </c>
      <c r="L251" s="3" t="str">
        <f t="shared" si="4"/>
        <v>March</v>
      </c>
      <c r="M251" s="3" t="str">
        <f>VLOOKUP(D251,Lookup_Practice!$A$2:$B$7,2,FALSE)</f>
        <v>Standard</v>
      </c>
      <c r="N251" s="3" t="str">
        <f t="array" ref="N251">INDEX(Lookup_Practice!$B$2:$B$7,MATCH(D251,Lookup_Practice!$A$2:$A$7,0))</f>
        <v>Standard</v>
      </c>
      <c r="O251" s="3" t="str">
        <f t="array" ref="O251">XLOOKUP(D251,Lookup_Practice!$A$2:$A$7,Lookup_Practice!$B$2:$B$7)</f>
        <v>Standard</v>
      </c>
    </row>
    <row r="252">
      <c r="A252" s="1">
        <v>12.0</v>
      </c>
      <c r="B252" s="1" t="s">
        <v>14</v>
      </c>
      <c r="C252" s="1" t="s">
        <v>15</v>
      </c>
      <c r="D252" s="1" t="s">
        <v>30</v>
      </c>
      <c r="E252" s="1" t="s">
        <v>17</v>
      </c>
      <c r="F252" s="1">
        <v>1082.0</v>
      </c>
      <c r="G252" s="1">
        <v>17.0</v>
      </c>
      <c r="H252" s="2">
        <v>45051.0</v>
      </c>
      <c r="I252" s="3" t="str">
        <f t="shared" si="1"/>
        <v>Child (0-17)</v>
      </c>
      <c r="J252" s="3">
        <f t="shared" si="2"/>
        <v>5</v>
      </c>
      <c r="K252" s="3">
        <f t="shared" si="3"/>
        <v>2023</v>
      </c>
      <c r="L252" s="3" t="str">
        <f t="shared" si="4"/>
        <v>May</v>
      </c>
      <c r="M252" s="3" t="str">
        <f>VLOOKUP(D252,Lookup_Practice!$A$2:$B$7,2,FALSE)</f>
        <v>Standard</v>
      </c>
      <c r="N252" s="3" t="str">
        <f t="array" ref="N252">INDEX(Lookup_Practice!$B$2:$B$7,MATCH(D252,Lookup_Practice!$A$2:$A$7,0))</f>
        <v>Standard</v>
      </c>
      <c r="O252" s="3" t="str">
        <f t="array" ref="O252">XLOOKUP(D252,Lookup_Practice!$A$2:$A$7,Lookup_Practice!$B$2:$B$7)</f>
        <v>Standard</v>
      </c>
    </row>
    <row r="253">
      <c r="A253" s="1">
        <v>11.0</v>
      </c>
      <c r="B253" s="1" t="s">
        <v>14</v>
      </c>
      <c r="C253" s="1" t="s">
        <v>31</v>
      </c>
      <c r="D253" s="1" t="s">
        <v>16</v>
      </c>
      <c r="E253" s="1" t="s">
        <v>17</v>
      </c>
      <c r="F253" s="1">
        <v>1149.0</v>
      </c>
      <c r="G253" s="1">
        <v>20.0</v>
      </c>
      <c r="H253" s="2">
        <v>45622.0</v>
      </c>
      <c r="I253" s="3" t="str">
        <f t="shared" si="1"/>
        <v>Child (0-17)</v>
      </c>
      <c r="J253" s="3">
        <f t="shared" si="2"/>
        <v>11</v>
      </c>
      <c r="K253" s="3">
        <f t="shared" si="3"/>
        <v>2024</v>
      </c>
      <c r="L253" s="3" t="str">
        <f t="shared" si="4"/>
        <v>November</v>
      </c>
      <c r="M253" s="3" t="str">
        <f>VLOOKUP(D253,Lookup_Practice!$A$2:$B$7,2,FALSE)</f>
        <v>Premium</v>
      </c>
      <c r="N253" s="3" t="str">
        <f t="array" ref="N253">INDEX(Lookup_Practice!$B$2:$B$7,MATCH(D253,Lookup_Practice!$A$2:$A$7,0))</f>
        <v>Premium</v>
      </c>
      <c r="O253" s="3" t="str">
        <f t="array" ref="O253">XLOOKUP(D253,Lookup_Practice!$A$2:$A$7,Lookup_Practice!$B$2:$B$7)</f>
        <v>Premium</v>
      </c>
    </row>
    <row r="254">
      <c r="A254" s="1">
        <v>71.0</v>
      </c>
      <c r="B254" s="1" t="s">
        <v>14</v>
      </c>
      <c r="C254" s="1" t="s">
        <v>21</v>
      </c>
      <c r="D254" s="1" t="s">
        <v>22</v>
      </c>
      <c r="E254" s="1" t="s">
        <v>17</v>
      </c>
      <c r="F254" s="1">
        <v>927.0</v>
      </c>
      <c r="G254" s="1">
        <v>13.0</v>
      </c>
      <c r="H254" s="2">
        <v>45219.0</v>
      </c>
      <c r="I254" s="3" t="str">
        <f t="shared" si="1"/>
        <v>Senior (56+)</v>
      </c>
      <c r="J254" s="3">
        <f t="shared" si="2"/>
        <v>10</v>
      </c>
      <c r="K254" s="3">
        <f t="shared" si="3"/>
        <v>2023</v>
      </c>
      <c r="L254" s="3" t="str">
        <f t="shared" si="4"/>
        <v>October</v>
      </c>
      <c r="M254" s="3" t="str">
        <f>VLOOKUP(D254,Lookup_Practice!$A$2:$B$7,2,FALSE)</f>
        <v>Basic</v>
      </c>
      <c r="N254" s="3" t="str">
        <f t="array" ref="N254">INDEX(Lookup_Practice!$B$2:$B$7,MATCH(D254,Lookup_Practice!$A$2:$A$7,0))</f>
        <v>Basic</v>
      </c>
      <c r="O254" s="3" t="str">
        <f t="array" ref="O254">XLOOKUP(D254,Lookup_Practice!$A$2:$A$7,Lookup_Practice!$B$2:$B$7)</f>
        <v>Basic</v>
      </c>
    </row>
    <row r="255">
      <c r="A255" s="1">
        <v>21.0</v>
      </c>
      <c r="B255" s="1" t="s">
        <v>14</v>
      </c>
      <c r="C255" s="1" t="s">
        <v>32</v>
      </c>
      <c r="D255" s="1" t="s">
        <v>22</v>
      </c>
      <c r="E255" s="1" t="s">
        <v>17</v>
      </c>
      <c r="F255" s="1">
        <v>801.0</v>
      </c>
      <c r="G255" s="1">
        <v>5.0</v>
      </c>
      <c r="H255" s="2">
        <v>45632.0</v>
      </c>
      <c r="I255" s="3" t="str">
        <f t="shared" si="1"/>
        <v>Young Adult (18-35)</v>
      </c>
      <c r="J255" s="3">
        <f t="shared" si="2"/>
        <v>12</v>
      </c>
      <c r="K255" s="3">
        <f t="shared" si="3"/>
        <v>2024</v>
      </c>
      <c r="L255" s="3" t="str">
        <f t="shared" si="4"/>
        <v>December</v>
      </c>
      <c r="M255" s="3" t="str">
        <f>VLOOKUP(D255,Lookup_Practice!$A$2:$B$7,2,FALSE)</f>
        <v>Basic</v>
      </c>
      <c r="N255" s="3" t="str">
        <f t="array" ref="N255">INDEX(Lookup_Practice!$B$2:$B$7,MATCH(D255,Lookup_Practice!$A$2:$A$7,0))</f>
        <v>Basic</v>
      </c>
      <c r="O255" s="3" t="str">
        <f t="array" ref="O255">XLOOKUP(D255,Lookup_Practice!$A$2:$A$7,Lookup_Practice!$B$2:$B$7)</f>
        <v>Basic</v>
      </c>
    </row>
    <row r="256">
      <c r="A256" s="1">
        <v>37.0</v>
      </c>
      <c r="B256" s="1" t="s">
        <v>18</v>
      </c>
      <c r="C256" s="1" t="s">
        <v>29</v>
      </c>
      <c r="D256" s="1" t="s">
        <v>16</v>
      </c>
      <c r="E256" s="1" t="s">
        <v>17</v>
      </c>
      <c r="F256" s="1">
        <v>974.0</v>
      </c>
      <c r="G256" s="1">
        <v>9.0</v>
      </c>
      <c r="H256" s="2">
        <v>45541.0</v>
      </c>
      <c r="I256" s="3" t="str">
        <f t="shared" si="1"/>
        <v>Middle Age (36-55)</v>
      </c>
      <c r="J256" s="3">
        <f t="shared" si="2"/>
        <v>9</v>
      </c>
      <c r="K256" s="3">
        <f t="shared" si="3"/>
        <v>2024</v>
      </c>
      <c r="L256" s="3" t="str">
        <f t="shared" si="4"/>
        <v>September</v>
      </c>
      <c r="M256" s="3" t="str">
        <f>VLOOKUP(D256,Lookup_Practice!$A$2:$B$7,2,FALSE)</f>
        <v>Premium</v>
      </c>
      <c r="N256" s="3" t="str">
        <f t="array" ref="N256">INDEX(Lookup_Practice!$B$2:$B$7,MATCH(D256,Lookup_Practice!$A$2:$A$7,0))</f>
        <v>Premium</v>
      </c>
      <c r="O256" s="3" t="str">
        <f t="array" ref="O256">XLOOKUP(D256,Lookup_Practice!$A$2:$A$7,Lookup_Practice!$B$2:$B$7)</f>
        <v>Premium</v>
      </c>
    </row>
    <row r="257">
      <c r="A257" s="1">
        <v>52.0</v>
      </c>
      <c r="B257" s="1" t="s">
        <v>14</v>
      </c>
      <c r="C257" s="1" t="s">
        <v>21</v>
      </c>
      <c r="D257" s="1" t="s">
        <v>26</v>
      </c>
      <c r="E257" s="1" t="s">
        <v>24</v>
      </c>
      <c r="F257" s="1">
        <v>615.0</v>
      </c>
      <c r="G257" s="1">
        <v>6.0</v>
      </c>
      <c r="H257" s="2">
        <v>45470.0</v>
      </c>
      <c r="I257" s="3" t="str">
        <f t="shared" si="1"/>
        <v>Middle Age (36-55)</v>
      </c>
      <c r="J257" s="3">
        <f t="shared" si="2"/>
        <v>6</v>
      </c>
      <c r="K257" s="3">
        <f t="shared" si="3"/>
        <v>2024</v>
      </c>
      <c r="L257" s="3" t="str">
        <f t="shared" si="4"/>
        <v>June</v>
      </c>
      <c r="M257" s="3" t="str">
        <f>VLOOKUP(D257,Lookup_Practice!$A$2:$B$7,2,FALSE)</f>
        <v>Premium</v>
      </c>
      <c r="N257" s="3" t="str">
        <f t="array" ref="N257">INDEX(Lookup_Practice!$B$2:$B$7,MATCH(D257,Lookup_Practice!$A$2:$A$7,0))</f>
        <v>Premium</v>
      </c>
      <c r="O257" s="3" t="str">
        <f t="array" ref="O257">XLOOKUP(D257,Lookup_Practice!$A$2:$A$7,Lookup_Practice!$B$2:$B$7)</f>
        <v>Premium</v>
      </c>
    </row>
    <row r="258">
      <c r="A258" s="1">
        <v>63.0</v>
      </c>
      <c r="B258" s="1" t="s">
        <v>18</v>
      </c>
      <c r="C258" s="1" t="s">
        <v>29</v>
      </c>
      <c r="D258" s="1" t="s">
        <v>26</v>
      </c>
      <c r="E258" s="1" t="s">
        <v>17</v>
      </c>
      <c r="F258" s="1">
        <v>602.0</v>
      </c>
      <c r="G258" s="1">
        <v>5.0</v>
      </c>
      <c r="H258" s="2">
        <v>45278.0</v>
      </c>
      <c r="I258" s="3" t="str">
        <f t="shared" si="1"/>
        <v>Senior (56+)</v>
      </c>
      <c r="J258" s="3">
        <f t="shared" si="2"/>
        <v>12</v>
      </c>
      <c r="K258" s="3">
        <f t="shared" si="3"/>
        <v>2023</v>
      </c>
      <c r="L258" s="3" t="str">
        <f t="shared" si="4"/>
        <v>December</v>
      </c>
      <c r="M258" s="3" t="str">
        <f>VLOOKUP(D258,Lookup_Practice!$A$2:$B$7,2,FALSE)</f>
        <v>Premium</v>
      </c>
      <c r="N258" s="3" t="str">
        <f t="array" ref="N258">INDEX(Lookup_Practice!$B$2:$B$7,MATCH(D258,Lookup_Practice!$A$2:$A$7,0))</f>
        <v>Premium</v>
      </c>
      <c r="O258" s="3" t="str">
        <f t="array" ref="O258">XLOOKUP(D258,Lookup_Practice!$A$2:$A$7,Lookup_Practice!$B$2:$B$7)</f>
        <v>Premium</v>
      </c>
    </row>
    <row r="259">
      <c r="A259" s="1">
        <v>26.0</v>
      </c>
      <c r="B259" s="1" t="s">
        <v>14</v>
      </c>
      <c r="C259" s="1" t="s">
        <v>15</v>
      </c>
      <c r="D259" s="1" t="s">
        <v>30</v>
      </c>
      <c r="E259" s="1" t="s">
        <v>17</v>
      </c>
      <c r="F259" s="1">
        <v>1091.0</v>
      </c>
      <c r="G259" s="1">
        <v>10.0</v>
      </c>
      <c r="H259" s="2">
        <v>45187.0</v>
      </c>
      <c r="I259" s="3" t="str">
        <f t="shared" si="1"/>
        <v>Young Adult (18-35)</v>
      </c>
      <c r="J259" s="3">
        <f t="shared" si="2"/>
        <v>9</v>
      </c>
      <c r="K259" s="3">
        <f t="shared" si="3"/>
        <v>2023</v>
      </c>
      <c r="L259" s="3" t="str">
        <f t="shared" si="4"/>
        <v>September</v>
      </c>
      <c r="M259" s="3" t="str">
        <f>VLOOKUP(D259,Lookup_Practice!$A$2:$B$7,2,FALSE)</f>
        <v>Standard</v>
      </c>
      <c r="N259" s="3" t="str">
        <f t="array" ref="N259">INDEX(Lookup_Practice!$B$2:$B$7,MATCH(D259,Lookup_Practice!$A$2:$A$7,0))</f>
        <v>Standard</v>
      </c>
      <c r="O259" s="3" t="str">
        <f t="array" ref="O259">XLOOKUP(D259,Lookup_Practice!$A$2:$A$7,Lookup_Practice!$B$2:$B$7)</f>
        <v>Standard</v>
      </c>
    </row>
    <row r="260">
      <c r="A260" s="1">
        <v>34.0</v>
      </c>
      <c r="B260" s="1" t="s">
        <v>14</v>
      </c>
      <c r="C260" s="1" t="s">
        <v>29</v>
      </c>
      <c r="D260" s="1" t="s">
        <v>23</v>
      </c>
      <c r="E260" s="1" t="s">
        <v>24</v>
      </c>
      <c r="F260" s="1">
        <v>1348.0</v>
      </c>
      <c r="G260" s="1">
        <v>8.0</v>
      </c>
      <c r="H260" s="2">
        <v>45508.0</v>
      </c>
      <c r="I260" s="3" t="str">
        <f t="shared" si="1"/>
        <v>Young Adult (18-35)</v>
      </c>
      <c r="J260" s="3">
        <f t="shared" si="2"/>
        <v>8</v>
      </c>
      <c r="K260" s="3">
        <f t="shared" si="3"/>
        <v>2024</v>
      </c>
      <c r="L260" s="3" t="str">
        <f t="shared" si="4"/>
        <v>August</v>
      </c>
      <c r="M260" s="3" t="str">
        <f>VLOOKUP(D260,Lookup_Practice!$A$2:$B$7,2,FALSE)</f>
        <v>Standard</v>
      </c>
      <c r="N260" s="3" t="str">
        <f t="array" ref="N260">INDEX(Lookup_Practice!$B$2:$B$7,MATCH(D260,Lookup_Practice!$A$2:$A$7,0))</f>
        <v>Standard</v>
      </c>
      <c r="O260" s="3" t="str">
        <f t="array" ref="O260">XLOOKUP(D260,Lookup_Practice!$A$2:$A$7,Lookup_Practice!$B$2:$B$7)</f>
        <v>Standard</v>
      </c>
    </row>
    <row r="261">
      <c r="A261" s="1">
        <v>42.0</v>
      </c>
      <c r="B261" s="1" t="s">
        <v>18</v>
      </c>
      <c r="C261" s="1" t="s">
        <v>29</v>
      </c>
      <c r="D261" s="1" t="s">
        <v>20</v>
      </c>
      <c r="E261" s="1" t="s">
        <v>17</v>
      </c>
      <c r="F261" s="1">
        <v>1641.0</v>
      </c>
      <c r="G261" s="1">
        <v>7.0</v>
      </c>
      <c r="H261" s="2">
        <v>45155.0</v>
      </c>
      <c r="I261" s="3" t="str">
        <f t="shared" si="1"/>
        <v>Middle Age (36-55)</v>
      </c>
      <c r="J261" s="3">
        <f t="shared" si="2"/>
        <v>8</v>
      </c>
      <c r="K261" s="3">
        <f t="shared" si="3"/>
        <v>2023</v>
      </c>
      <c r="L261" s="3" t="str">
        <f t="shared" si="4"/>
        <v>August</v>
      </c>
      <c r="M261" s="3" t="str">
        <f>VLOOKUP(D261,Lookup_Practice!$A$2:$B$7,2,FALSE)</f>
        <v>Standard</v>
      </c>
      <c r="N261" s="3" t="str">
        <f t="array" ref="N261">INDEX(Lookup_Practice!$B$2:$B$7,MATCH(D261,Lookup_Practice!$A$2:$A$7,0))</f>
        <v>Standard</v>
      </c>
      <c r="O261" s="3" t="str">
        <f t="array" ref="O261">XLOOKUP(D261,Lookup_Practice!$A$2:$A$7,Lookup_Practice!$B$2:$B$7)</f>
        <v>Standard</v>
      </c>
    </row>
    <row r="262">
      <c r="A262" s="1">
        <v>55.0</v>
      </c>
      <c r="B262" s="1" t="s">
        <v>18</v>
      </c>
      <c r="C262" s="1" t="s">
        <v>21</v>
      </c>
      <c r="D262" s="1" t="s">
        <v>26</v>
      </c>
      <c r="E262" s="1" t="s">
        <v>17</v>
      </c>
      <c r="F262" s="1">
        <v>578.0</v>
      </c>
      <c r="G262" s="1">
        <v>7.0</v>
      </c>
      <c r="H262" s="2">
        <v>45316.0</v>
      </c>
      <c r="I262" s="3" t="str">
        <f t="shared" si="1"/>
        <v>Middle Age (36-55)</v>
      </c>
      <c r="J262" s="3">
        <f t="shared" si="2"/>
        <v>1</v>
      </c>
      <c r="K262" s="3">
        <f t="shared" si="3"/>
        <v>2024</v>
      </c>
      <c r="L262" s="3" t="str">
        <f t="shared" si="4"/>
        <v>January</v>
      </c>
      <c r="M262" s="3" t="str">
        <f>VLOOKUP(D262,Lookup_Practice!$A$2:$B$7,2,FALSE)</f>
        <v>Premium</v>
      </c>
      <c r="N262" s="3" t="str">
        <f t="array" ref="N262">INDEX(Lookup_Practice!$B$2:$B$7,MATCH(D262,Lookup_Practice!$A$2:$A$7,0))</f>
        <v>Premium</v>
      </c>
      <c r="O262" s="3" t="str">
        <f t="array" ref="O262">XLOOKUP(D262,Lookup_Practice!$A$2:$A$7,Lookup_Practice!$B$2:$B$7)</f>
        <v>Premium</v>
      </c>
    </row>
    <row r="263">
      <c r="A263" s="1">
        <v>58.0</v>
      </c>
      <c r="B263" s="1" t="s">
        <v>18</v>
      </c>
      <c r="C263" s="1" t="s">
        <v>15</v>
      </c>
      <c r="D263" s="1" t="s">
        <v>22</v>
      </c>
      <c r="E263" s="1" t="s">
        <v>28</v>
      </c>
      <c r="F263" s="1">
        <v>918.0</v>
      </c>
      <c r="G263" s="1">
        <v>6.0</v>
      </c>
      <c r="H263" s="2">
        <v>45183.0</v>
      </c>
      <c r="I263" s="3" t="str">
        <f t="shared" si="1"/>
        <v>Senior (56+)</v>
      </c>
      <c r="J263" s="3">
        <f t="shared" si="2"/>
        <v>9</v>
      </c>
      <c r="K263" s="3">
        <f t="shared" si="3"/>
        <v>2023</v>
      </c>
      <c r="L263" s="3" t="str">
        <f t="shared" si="4"/>
        <v>September</v>
      </c>
      <c r="M263" s="3" t="str">
        <f>VLOOKUP(D263,Lookup_Practice!$A$2:$B$7,2,FALSE)</f>
        <v>Basic</v>
      </c>
      <c r="N263" s="3" t="str">
        <f t="array" ref="N263">INDEX(Lookup_Practice!$B$2:$B$7,MATCH(D263,Lookup_Practice!$A$2:$A$7,0))</f>
        <v>Basic</v>
      </c>
      <c r="O263" s="3" t="str">
        <f t="array" ref="O263">XLOOKUP(D263,Lookup_Practice!$A$2:$A$7,Lookup_Practice!$B$2:$B$7)</f>
        <v>Basic</v>
      </c>
    </row>
    <row r="264">
      <c r="A264" s="1">
        <v>12.0</v>
      </c>
      <c r="B264" s="1" t="s">
        <v>18</v>
      </c>
      <c r="C264" s="1" t="s">
        <v>27</v>
      </c>
      <c r="D264" s="1" t="s">
        <v>30</v>
      </c>
      <c r="E264" s="1" t="s">
        <v>17</v>
      </c>
      <c r="F264" s="1">
        <v>981.0</v>
      </c>
      <c r="G264" s="1">
        <v>20.0</v>
      </c>
      <c r="H264" s="2">
        <v>45091.0</v>
      </c>
      <c r="I264" s="3" t="str">
        <f t="shared" si="1"/>
        <v>Child (0-17)</v>
      </c>
      <c r="J264" s="3">
        <f t="shared" si="2"/>
        <v>6</v>
      </c>
      <c r="K264" s="3">
        <f t="shared" si="3"/>
        <v>2023</v>
      </c>
      <c r="L264" s="3" t="str">
        <f t="shared" si="4"/>
        <v>June</v>
      </c>
      <c r="M264" s="3" t="str">
        <f>VLOOKUP(D264,Lookup_Practice!$A$2:$B$7,2,FALSE)</f>
        <v>Standard</v>
      </c>
      <c r="N264" s="3" t="str">
        <f t="array" ref="N264">INDEX(Lookup_Practice!$B$2:$B$7,MATCH(D264,Lookup_Practice!$A$2:$A$7,0))</f>
        <v>Standard</v>
      </c>
      <c r="O264" s="3" t="str">
        <f t="array" ref="O264">XLOOKUP(D264,Lookup_Practice!$A$2:$A$7,Lookup_Practice!$B$2:$B$7)</f>
        <v>Standard</v>
      </c>
    </row>
    <row r="265">
      <c r="A265" s="1">
        <v>31.0</v>
      </c>
      <c r="B265" s="1" t="s">
        <v>18</v>
      </c>
      <c r="C265" s="1" t="s">
        <v>21</v>
      </c>
      <c r="D265" s="1" t="s">
        <v>20</v>
      </c>
      <c r="E265" s="1" t="s">
        <v>24</v>
      </c>
      <c r="F265" s="1">
        <v>1491.0</v>
      </c>
      <c r="G265" s="1">
        <v>3.0</v>
      </c>
      <c r="H265" s="2">
        <v>45548.0</v>
      </c>
      <c r="I265" s="3" t="str">
        <f t="shared" si="1"/>
        <v>Young Adult (18-35)</v>
      </c>
      <c r="J265" s="3">
        <f t="shared" si="2"/>
        <v>9</v>
      </c>
      <c r="K265" s="3">
        <f t="shared" si="3"/>
        <v>2024</v>
      </c>
      <c r="L265" s="3" t="str">
        <f t="shared" si="4"/>
        <v>September</v>
      </c>
      <c r="M265" s="3" t="str">
        <f>VLOOKUP(D265,Lookup_Practice!$A$2:$B$7,2,FALSE)</f>
        <v>Standard</v>
      </c>
      <c r="N265" s="3" t="str">
        <f t="array" ref="N265">INDEX(Lookup_Practice!$B$2:$B$7,MATCH(D265,Lookup_Practice!$A$2:$A$7,0))</f>
        <v>Standard</v>
      </c>
      <c r="O265" s="3" t="str">
        <f t="array" ref="O265">XLOOKUP(D265,Lookup_Practice!$A$2:$A$7,Lookup_Practice!$B$2:$B$7)</f>
        <v>Standard</v>
      </c>
    </row>
    <row r="266">
      <c r="A266" s="1">
        <v>31.0</v>
      </c>
      <c r="B266" s="1" t="s">
        <v>14</v>
      </c>
      <c r="C266" s="1" t="s">
        <v>25</v>
      </c>
      <c r="D266" s="1" t="s">
        <v>30</v>
      </c>
      <c r="E266" s="1" t="s">
        <v>24</v>
      </c>
      <c r="F266" s="1">
        <v>1074.0</v>
      </c>
      <c r="G266" s="1">
        <v>19.0</v>
      </c>
      <c r="H266" s="2">
        <v>45358.0</v>
      </c>
      <c r="I266" s="3" t="str">
        <f t="shared" si="1"/>
        <v>Young Adult (18-35)</v>
      </c>
      <c r="J266" s="3">
        <f t="shared" si="2"/>
        <v>3</v>
      </c>
      <c r="K266" s="3">
        <f t="shared" si="3"/>
        <v>2024</v>
      </c>
      <c r="L266" s="3" t="str">
        <f t="shared" si="4"/>
        <v>March</v>
      </c>
      <c r="M266" s="3" t="str">
        <f>VLOOKUP(D266,Lookup_Practice!$A$2:$B$7,2,FALSE)</f>
        <v>Standard</v>
      </c>
      <c r="N266" s="3" t="str">
        <f t="array" ref="N266">INDEX(Lookup_Practice!$B$2:$B$7,MATCH(D266,Lookup_Practice!$A$2:$A$7,0))</f>
        <v>Standard</v>
      </c>
      <c r="O266" s="3" t="str">
        <f t="array" ref="O266">XLOOKUP(D266,Lookup_Practice!$A$2:$A$7,Lookup_Practice!$B$2:$B$7)</f>
        <v>Standard</v>
      </c>
    </row>
    <row r="267">
      <c r="A267" s="1">
        <v>25.0</v>
      </c>
      <c r="B267" s="1" t="s">
        <v>14</v>
      </c>
      <c r="C267" s="1" t="s">
        <v>15</v>
      </c>
      <c r="D267" s="1" t="s">
        <v>20</v>
      </c>
      <c r="E267" s="1" t="s">
        <v>17</v>
      </c>
      <c r="F267" s="1">
        <v>1638.0</v>
      </c>
      <c r="G267" s="1">
        <v>15.0</v>
      </c>
      <c r="H267" s="2">
        <v>45638.0</v>
      </c>
      <c r="I267" s="3" t="str">
        <f t="shared" si="1"/>
        <v>Young Adult (18-35)</v>
      </c>
      <c r="J267" s="3">
        <f t="shared" si="2"/>
        <v>12</v>
      </c>
      <c r="K267" s="3">
        <f t="shared" si="3"/>
        <v>2024</v>
      </c>
      <c r="L267" s="3" t="str">
        <f t="shared" si="4"/>
        <v>December</v>
      </c>
      <c r="M267" s="3" t="str">
        <f>VLOOKUP(D267,Lookup_Practice!$A$2:$B$7,2,FALSE)</f>
        <v>Standard</v>
      </c>
      <c r="N267" s="3" t="str">
        <f t="array" ref="N267">INDEX(Lookup_Practice!$B$2:$B$7,MATCH(D267,Lookup_Practice!$A$2:$A$7,0))</f>
        <v>Standard</v>
      </c>
      <c r="O267" s="3" t="str">
        <f t="array" ref="O267">XLOOKUP(D267,Lookup_Practice!$A$2:$A$7,Lookup_Practice!$B$2:$B$7)</f>
        <v>Standard</v>
      </c>
    </row>
    <row r="268">
      <c r="A268" s="1">
        <v>34.0</v>
      </c>
      <c r="B268" s="1" t="s">
        <v>14</v>
      </c>
      <c r="C268" s="1" t="s">
        <v>15</v>
      </c>
      <c r="D268" s="1" t="s">
        <v>20</v>
      </c>
      <c r="E268" s="1" t="s">
        <v>17</v>
      </c>
      <c r="F268" s="1">
        <v>1659.0</v>
      </c>
      <c r="G268" s="1">
        <v>4.0</v>
      </c>
      <c r="H268" s="2">
        <v>45008.0</v>
      </c>
      <c r="I268" s="3" t="str">
        <f t="shared" si="1"/>
        <v>Young Adult (18-35)</v>
      </c>
      <c r="J268" s="3">
        <f t="shared" si="2"/>
        <v>3</v>
      </c>
      <c r="K268" s="3">
        <f t="shared" si="3"/>
        <v>2023</v>
      </c>
      <c r="L268" s="3" t="str">
        <f t="shared" si="4"/>
        <v>March</v>
      </c>
      <c r="M268" s="3" t="str">
        <f>VLOOKUP(D268,Lookup_Practice!$A$2:$B$7,2,FALSE)</f>
        <v>Standard</v>
      </c>
      <c r="N268" s="3" t="str">
        <f t="array" ref="N268">INDEX(Lookup_Practice!$B$2:$B$7,MATCH(D268,Lookup_Practice!$A$2:$A$7,0))</f>
        <v>Standard</v>
      </c>
      <c r="O268" s="3" t="str">
        <f t="array" ref="O268">XLOOKUP(D268,Lookup_Practice!$A$2:$A$7,Lookup_Practice!$B$2:$B$7)</f>
        <v>Standard</v>
      </c>
    </row>
    <row r="269">
      <c r="A269" s="1">
        <v>32.0</v>
      </c>
      <c r="B269" s="1" t="s">
        <v>14</v>
      </c>
      <c r="C269" s="1" t="s">
        <v>15</v>
      </c>
      <c r="D269" s="1" t="s">
        <v>16</v>
      </c>
      <c r="E269" s="1" t="s">
        <v>28</v>
      </c>
      <c r="F269" s="1">
        <v>1062.0</v>
      </c>
      <c r="G269" s="1">
        <v>12.0</v>
      </c>
      <c r="H269" s="2">
        <v>45458.0</v>
      </c>
      <c r="I269" s="3" t="str">
        <f t="shared" si="1"/>
        <v>Young Adult (18-35)</v>
      </c>
      <c r="J269" s="3">
        <f t="shared" si="2"/>
        <v>6</v>
      </c>
      <c r="K269" s="3">
        <f t="shared" si="3"/>
        <v>2024</v>
      </c>
      <c r="L269" s="3" t="str">
        <f t="shared" si="4"/>
        <v>June</v>
      </c>
      <c r="M269" s="3" t="str">
        <f>VLOOKUP(D269,Lookup_Practice!$A$2:$B$7,2,FALSE)</f>
        <v>Premium</v>
      </c>
      <c r="N269" s="3" t="str">
        <f t="array" ref="N269">INDEX(Lookup_Practice!$B$2:$B$7,MATCH(D269,Lookup_Practice!$A$2:$A$7,0))</f>
        <v>Premium</v>
      </c>
      <c r="O269" s="3" t="str">
        <f t="array" ref="O269">XLOOKUP(D269,Lookup_Practice!$A$2:$A$7,Lookup_Practice!$B$2:$B$7)</f>
        <v>Premium</v>
      </c>
    </row>
    <row r="270">
      <c r="A270" s="1">
        <v>68.0</v>
      </c>
      <c r="B270" s="1" t="s">
        <v>14</v>
      </c>
      <c r="C270" s="1" t="s">
        <v>15</v>
      </c>
      <c r="D270" s="1" t="s">
        <v>26</v>
      </c>
      <c r="E270" s="1" t="s">
        <v>17</v>
      </c>
      <c r="F270" s="1">
        <v>447.0</v>
      </c>
      <c r="G270" s="1">
        <v>6.0</v>
      </c>
      <c r="H270" s="2">
        <v>45188.0</v>
      </c>
      <c r="I270" s="3" t="str">
        <f t="shared" si="1"/>
        <v>Senior (56+)</v>
      </c>
      <c r="J270" s="3">
        <f t="shared" si="2"/>
        <v>9</v>
      </c>
      <c r="K270" s="3">
        <f t="shared" si="3"/>
        <v>2023</v>
      </c>
      <c r="L270" s="3" t="str">
        <f t="shared" si="4"/>
        <v>September</v>
      </c>
      <c r="M270" s="3" t="str">
        <f>VLOOKUP(D270,Lookup_Practice!$A$2:$B$7,2,FALSE)</f>
        <v>Premium</v>
      </c>
      <c r="N270" s="3" t="str">
        <f t="array" ref="N270">INDEX(Lookup_Practice!$B$2:$B$7,MATCH(D270,Lookup_Practice!$A$2:$A$7,0))</f>
        <v>Premium</v>
      </c>
      <c r="O270" s="3" t="str">
        <f t="array" ref="O270">XLOOKUP(D270,Lookup_Practice!$A$2:$A$7,Lookup_Practice!$B$2:$B$7)</f>
        <v>Premium</v>
      </c>
    </row>
    <row r="271">
      <c r="A271" s="1">
        <v>73.0</v>
      </c>
      <c r="B271" s="1" t="s">
        <v>14</v>
      </c>
      <c r="C271" s="1" t="s">
        <v>21</v>
      </c>
      <c r="D271" s="1" t="s">
        <v>30</v>
      </c>
      <c r="E271" s="1" t="s">
        <v>24</v>
      </c>
      <c r="F271" s="1">
        <v>1015.0</v>
      </c>
      <c r="G271" s="1">
        <v>19.0</v>
      </c>
      <c r="H271" s="2">
        <v>45118.0</v>
      </c>
      <c r="I271" s="3" t="str">
        <f t="shared" si="1"/>
        <v>Senior (56+)</v>
      </c>
      <c r="J271" s="3">
        <f t="shared" si="2"/>
        <v>7</v>
      </c>
      <c r="K271" s="3">
        <f t="shared" si="3"/>
        <v>2023</v>
      </c>
      <c r="L271" s="3" t="str">
        <f t="shared" si="4"/>
        <v>July</v>
      </c>
      <c r="M271" s="3" t="str">
        <f>VLOOKUP(D271,Lookup_Practice!$A$2:$B$7,2,FALSE)</f>
        <v>Standard</v>
      </c>
      <c r="N271" s="3" t="str">
        <f t="array" ref="N271">INDEX(Lookup_Practice!$B$2:$B$7,MATCH(D271,Lookup_Practice!$A$2:$A$7,0))</f>
        <v>Standard</v>
      </c>
      <c r="O271" s="3" t="str">
        <f t="array" ref="O271">XLOOKUP(D271,Lookup_Practice!$A$2:$A$7,Lookup_Practice!$B$2:$B$7)</f>
        <v>Standard</v>
      </c>
    </row>
    <row r="272">
      <c r="A272" s="1">
        <v>65.0</v>
      </c>
      <c r="B272" s="1" t="s">
        <v>18</v>
      </c>
      <c r="C272" s="1" t="s">
        <v>29</v>
      </c>
      <c r="D272" s="1" t="s">
        <v>30</v>
      </c>
      <c r="E272" s="1" t="s">
        <v>17</v>
      </c>
      <c r="F272" s="1">
        <v>1124.0</v>
      </c>
      <c r="G272" s="1">
        <v>4.0</v>
      </c>
      <c r="H272" s="2">
        <v>45000.0</v>
      </c>
      <c r="I272" s="3" t="str">
        <f t="shared" si="1"/>
        <v>Senior (56+)</v>
      </c>
      <c r="J272" s="3">
        <f t="shared" si="2"/>
        <v>3</v>
      </c>
      <c r="K272" s="3">
        <f t="shared" si="3"/>
        <v>2023</v>
      </c>
      <c r="L272" s="3" t="str">
        <f t="shared" si="4"/>
        <v>March</v>
      </c>
      <c r="M272" s="3" t="str">
        <f>VLOOKUP(D272,Lookup_Practice!$A$2:$B$7,2,FALSE)</f>
        <v>Standard</v>
      </c>
      <c r="N272" s="3" t="str">
        <f t="array" ref="N272">INDEX(Lookup_Practice!$B$2:$B$7,MATCH(D272,Lookup_Practice!$A$2:$A$7,0))</f>
        <v>Standard</v>
      </c>
      <c r="O272" s="3" t="str">
        <f t="array" ref="O272">XLOOKUP(D272,Lookup_Practice!$A$2:$A$7,Lookup_Practice!$B$2:$B$7)</f>
        <v>Standard</v>
      </c>
    </row>
    <row r="273">
      <c r="A273" s="1">
        <v>52.0</v>
      </c>
      <c r="B273" s="1" t="s">
        <v>14</v>
      </c>
      <c r="C273" s="1" t="s">
        <v>21</v>
      </c>
      <c r="D273" s="1" t="s">
        <v>16</v>
      </c>
      <c r="E273" s="1" t="s">
        <v>17</v>
      </c>
      <c r="F273" s="1">
        <v>1046.0</v>
      </c>
      <c r="G273" s="1">
        <v>15.0</v>
      </c>
      <c r="H273" s="2">
        <v>45363.0</v>
      </c>
      <c r="I273" s="3" t="str">
        <f t="shared" si="1"/>
        <v>Middle Age (36-55)</v>
      </c>
      <c r="J273" s="3">
        <f t="shared" si="2"/>
        <v>3</v>
      </c>
      <c r="K273" s="3">
        <f t="shared" si="3"/>
        <v>2024</v>
      </c>
      <c r="L273" s="3" t="str">
        <f t="shared" si="4"/>
        <v>March</v>
      </c>
      <c r="M273" s="3" t="str">
        <f>VLOOKUP(D273,Lookup_Practice!$A$2:$B$7,2,FALSE)</f>
        <v>Premium</v>
      </c>
      <c r="N273" s="3" t="str">
        <f t="array" ref="N273">INDEX(Lookup_Practice!$B$2:$B$7,MATCH(D273,Lookup_Practice!$A$2:$A$7,0))</f>
        <v>Premium</v>
      </c>
      <c r="O273" s="3" t="str">
        <f t="array" ref="O273">XLOOKUP(D273,Lookup_Practice!$A$2:$A$7,Lookup_Practice!$B$2:$B$7)</f>
        <v>Premium</v>
      </c>
    </row>
    <row r="274">
      <c r="A274" s="1">
        <v>23.0</v>
      </c>
      <c r="B274" s="1" t="s">
        <v>18</v>
      </c>
      <c r="C274" s="1" t="s">
        <v>21</v>
      </c>
      <c r="D274" s="1" t="s">
        <v>22</v>
      </c>
      <c r="E274" s="1" t="s">
        <v>17</v>
      </c>
      <c r="F274" s="1">
        <v>762.0</v>
      </c>
      <c r="G274" s="1">
        <v>9.0</v>
      </c>
      <c r="H274" s="2">
        <v>45325.0</v>
      </c>
      <c r="I274" s="3" t="str">
        <f t="shared" si="1"/>
        <v>Young Adult (18-35)</v>
      </c>
      <c r="J274" s="3">
        <f t="shared" si="2"/>
        <v>2</v>
      </c>
      <c r="K274" s="3">
        <f t="shared" si="3"/>
        <v>2024</v>
      </c>
      <c r="L274" s="3" t="str">
        <f t="shared" si="4"/>
        <v>February</v>
      </c>
      <c r="M274" s="3" t="str">
        <f>VLOOKUP(D274,Lookup_Practice!$A$2:$B$7,2,FALSE)</f>
        <v>Basic</v>
      </c>
      <c r="N274" s="3" t="str">
        <f t="array" ref="N274">INDEX(Lookup_Practice!$B$2:$B$7,MATCH(D274,Lookup_Practice!$A$2:$A$7,0))</f>
        <v>Basic</v>
      </c>
      <c r="O274" s="3" t="str">
        <f t="array" ref="O274">XLOOKUP(D274,Lookup_Practice!$A$2:$A$7,Lookup_Practice!$B$2:$B$7)</f>
        <v>Basic</v>
      </c>
    </row>
    <row r="275">
      <c r="A275" s="1">
        <v>8.0</v>
      </c>
      <c r="B275" s="1" t="s">
        <v>14</v>
      </c>
      <c r="C275" s="1" t="s">
        <v>21</v>
      </c>
      <c r="D275" s="1" t="s">
        <v>22</v>
      </c>
      <c r="E275" s="1" t="s">
        <v>28</v>
      </c>
      <c r="F275" s="1">
        <v>993.0</v>
      </c>
      <c r="G275" s="1">
        <v>5.0</v>
      </c>
      <c r="H275" s="2">
        <v>45552.0</v>
      </c>
      <c r="I275" s="3" t="str">
        <f t="shared" si="1"/>
        <v>Child (0-17)</v>
      </c>
      <c r="J275" s="3">
        <f t="shared" si="2"/>
        <v>9</v>
      </c>
      <c r="K275" s="3">
        <f t="shared" si="3"/>
        <v>2024</v>
      </c>
      <c r="L275" s="3" t="str">
        <f t="shared" si="4"/>
        <v>September</v>
      </c>
      <c r="M275" s="3" t="str">
        <f>VLOOKUP(D275,Lookup_Practice!$A$2:$B$7,2,FALSE)</f>
        <v>Basic</v>
      </c>
      <c r="N275" s="3" t="str">
        <f t="array" ref="N275">INDEX(Lookup_Practice!$B$2:$B$7,MATCH(D275,Lookup_Practice!$A$2:$A$7,0))</f>
        <v>Basic</v>
      </c>
      <c r="O275" s="3" t="str">
        <f t="array" ref="O275">XLOOKUP(D275,Lookup_Practice!$A$2:$A$7,Lookup_Practice!$B$2:$B$7)</f>
        <v>Basic</v>
      </c>
    </row>
    <row r="276">
      <c r="A276" s="1">
        <v>39.0</v>
      </c>
      <c r="B276" s="1" t="s">
        <v>14</v>
      </c>
      <c r="C276" s="1" t="s">
        <v>21</v>
      </c>
      <c r="D276" s="1" t="s">
        <v>26</v>
      </c>
      <c r="E276" s="1" t="s">
        <v>28</v>
      </c>
      <c r="F276" s="1">
        <v>412.0</v>
      </c>
      <c r="G276" s="1">
        <v>13.0</v>
      </c>
      <c r="H276" s="2">
        <v>44988.0</v>
      </c>
      <c r="I276" s="3" t="str">
        <f t="shared" si="1"/>
        <v>Middle Age (36-55)</v>
      </c>
      <c r="J276" s="3">
        <f t="shared" si="2"/>
        <v>3</v>
      </c>
      <c r="K276" s="3">
        <f t="shared" si="3"/>
        <v>2023</v>
      </c>
      <c r="L276" s="3" t="str">
        <f t="shared" si="4"/>
        <v>March</v>
      </c>
      <c r="M276" s="3" t="str">
        <f>VLOOKUP(D276,Lookup_Practice!$A$2:$B$7,2,FALSE)</f>
        <v>Premium</v>
      </c>
      <c r="N276" s="3" t="str">
        <f t="array" ref="N276">INDEX(Lookup_Practice!$B$2:$B$7,MATCH(D276,Lookup_Practice!$A$2:$A$7,0))</f>
        <v>Premium</v>
      </c>
      <c r="O276" s="3" t="str">
        <f t="array" ref="O276">XLOOKUP(D276,Lookup_Practice!$A$2:$A$7,Lookup_Practice!$B$2:$B$7)</f>
        <v>Premium</v>
      </c>
    </row>
    <row r="277">
      <c r="A277" s="1">
        <v>68.0</v>
      </c>
      <c r="B277" s="1" t="s">
        <v>14</v>
      </c>
      <c r="C277" s="1" t="s">
        <v>15</v>
      </c>
      <c r="D277" s="1" t="s">
        <v>26</v>
      </c>
      <c r="E277" s="1" t="s">
        <v>17</v>
      </c>
      <c r="F277" s="1">
        <v>588.0</v>
      </c>
      <c r="G277" s="1">
        <v>18.0</v>
      </c>
      <c r="H277" s="2">
        <v>45249.0</v>
      </c>
      <c r="I277" s="3" t="str">
        <f t="shared" si="1"/>
        <v>Senior (56+)</v>
      </c>
      <c r="J277" s="3">
        <f t="shared" si="2"/>
        <v>11</v>
      </c>
      <c r="K277" s="3">
        <f t="shared" si="3"/>
        <v>2023</v>
      </c>
      <c r="L277" s="3" t="str">
        <f t="shared" si="4"/>
        <v>November</v>
      </c>
      <c r="M277" s="3" t="str">
        <f>VLOOKUP(D277,Lookup_Practice!$A$2:$B$7,2,FALSE)</f>
        <v>Premium</v>
      </c>
      <c r="N277" s="3" t="str">
        <f t="array" ref="N277">INDEX(Lookup_Practice!$B$2:$B$7,MATCH(D277,Lookup_Practice!$A$2:$A$7,0))</f>
        <v>Premium</v>
      </c>
      <c r="O277" s="3" t="str">
        <f t="array" ref="O277">XLOOKUP(D277,Lookup_Practice!$A$2:$A$7,Lookup_Practice!$B$2:$B$7)</f>
        <v>Premium</v>
      </c>
    </row>
    <row r="278">
      <c r="A278" s="1">
        <v>53.0</v>
      </c>
      <c r="B278" s="1" t="s">
        <v>18</v>
      </c>
      <c r="C278" s="1" t="s">
        <v>25</v>
      </c>
      <c r="D278" s="1" t="s">
        <v>23</v>
      </c>
      <c r="E278" s="1" t="s">
        <v>17</v>
      </c>
      <c r="F278" s="1">
        <v>1386.0</v>
      </c>
      <c r="G278" s="1">
        <v>5.0</v>
      </c>
      <c r="H278" s="2">
        <v>45432.0</v>
      </c>
      <c r="I278" s="3" t="str">
        <f t="shared" si="1"/>
        <v>Middle Age (36-55)</v>
      </c>
      <c r="J278" s="3">
        <f t="shared" si="2"/>
        <v>5</v>
      </c>
      <c r="K278" s="3">
        <f t="shared" si="3"/>
        <v>2024</v>
      </c>
      <c r="L278" s="3" t="str">
        <f t="shared" si="4"/>
        <v>May</v>
      </c>
      <c r="M278" s="3" t="str">
        <f>VLOOKUP(D278,Lookup_Practice!$A$2:$B$7,2,FALSE)</f>
        <v>Standard</v>
      </c>
      <c r="N278" s="3" t="str">
        <f t="array" ref="N278">INDEX(Lookup_Practice!$B$2:$B$7,MATCH(D278,Lookup_Practice!$A$2:$A$7,0))</f>
        <v>Standard</v>
      </c>
      <c r="O278" s="3" t="str">
        <f t="array" ref="O278">XLOOKUP(D278,Lookup_Practice!$A$2:$A$7,Lookup_Practice!$B$2:$B$7)</f>
        <v>Standard</v>
      </c>
    </row>
    <row r="279">
      <c r="A279" s="1">
        <v>21.0</v>
      </c>
      <c r="B279" s="1" t="s">
        <v>14</v>
      </c>
      <c r="C279" s="1" t="s">
        <v>31</v>
      </c>
      <c r="D279" s="1" t="s">
        <v>16</v>
      </c>
      <c r="E279" s="1" t="s">
        <v>24</v>
      </c>
      <c r="F279" s="1">
        <v>1107.0</v>
      </c>
      <c r="G279" s="1">
        <v>16.0</v>
      </c>
      <c r="H279" s="2">
        <v>45173.0</v>
      </c>
      <c r="I279" s="3" t="str">
        <f t="shared" si="1"/>
        <v>Young Adult (18-35)</v>
      </c>
      <c r="J279" s="3">
        <f t="shared" si="2"/>
        <v>9</v>
      </c>
      <c r="K279" s="3">
        <f t="shared" si="3"/>
        <v>2023</v>
      </c>
      <c r="L279" s="3" t="str">
        <f t="shared" si="4"/>
        <v>September</v>
      </c>
      <c r="M279" s="3" t="str">
        <f>VLOOKUP(D279,Lookup_Practice!$A$2:$B$7,2,FALSE)</f>
        <v>Premium</v>
      </c>
      <c r="N279" s="3" t="str">
        <f t="array" ref="N279">INDEX(Lookup_Practice!$B$2:$B$7,MATCH(D279,Lookup_Practice!$A$2:$A$7,0))</f>
        <v>Premium</v>
      </c>
      <c r="O279" s="3" t="str">
        <f t="array" ref="O279">XLOOKUP(D279,Lookup_Practice!$A$2:$A$7,Lookup_Practice!$B$2:$B$7)</f>
        <v>Premium</v>
      </c>
    </row>
    <row r="280">
      <c r="A280" s="1">
        <v>48.0</v>
      </c>
      <c r="B280" s="1" t="s">
        <v>14</v>
      </c>
      <c r="C280" s="1" t="s">
        <v>21</v>
      </c>
      <c r="D280" s="1" t="s">
        <v>22</v>
      </c>
      <c r="E280" s="1" t="s">
        <v>17</v>
      </c>
      <c r="F280" s="1">
        <v>813.0</v>
      </c>
      <c r="G280" s="1">
        <v>19.0</v>
      </c>
      <c r="H280" s="2">
        <v>45141.0</v>
      </c>
      <c r="I280" s="3" t="str">
        <f t="shared" si="1"/>
        <v>Middle Age (36-55)</v>
      </c>
      <c r="J280" s="3">
        <f t="shared" si="2"/>
        <v>8</v>
      </c>
      <c r="K280" s="3">
        <f t="shared" si="3"/>
        <v>2023</v>
      </c>
      <c r="L280" s="3" t="str">
        <f t="shared" si="4"/>
        <v>August</v>
      </c>
      <c r="M280" s="3" t="str">
        <f>VLOOKUP(D280,Lookup_Practice!$A$2:$B$7,2,FALSE)</f>
        <v>Basic</v>
      </c>
      <c r="N280" s="3" t="str">
        <f t="array" ref="N280">INDEX(Lookup_Practice!$B$2:$B$7,MATCH(D280,Lookup_Practice!$A$2:$A$7,0))</f>
        <v>Basic</v>
      </c>
      <c r="O280" s="3" t="str">
        <f t="array" ref="O280">XLOOKUP(D280,Lookup_Practice!$A$2:$A$7,Lookup_Practice!$B$2:$B$7)</f>
        <v>Basic</v>
      </c>
    </row>
    <row r="281">
      <c r="A281" s="1">
        <v>34.0</v>
      </c>
      <c r="B281" s="1" t="s">
        <v>18</v>
      </c>
      <c r="C281" s="1" t="s">
        <v>19</v>
      </c>
      <c r="D281" s="1" t="s">
        <v>20</v>
      </c>
      <c r="E281" s="1" t="s">
        <v>17</v>
      </c>
      <c r="F281" s="1">
        <v>1421.0</v>
      </c>
      <c r="G281" s="1">
        <v>14.0</v>
      </c>
      <c r="H281" s="2">
        <v>45348.0</v>
      </c>
      <c r="I281" s="3" t="str">
        <f t="shared" si="1"/>
        <v>Young Adult (18-35)</v>
      </c>
      <c r="J281" s="3">
        <f t="shared" si="2"/>
        <v>2</v>
      </c>
      <c r="K281" s="3">
        <f t="shared" si="3"/>
        <v>2024</v>
      </c>
      <c r="L281" s="3" t="str">
        <f t="shared" si="4"/>
        <v>February</v>
      </c>
      <c r="M281" s="3" t="str">
        <f>VLOOKUP(D281,Lookup_Practice!$A$2:$B$7,2,FALSE)</f>
        <v>Standard</v>
      </c>
      <c r="N281" s="3" t="str">
        <f t="array" ref="N281">INDEX(Lookup_Practice!$B$2:$B$7,MATCH(D281,Lookup_Practice!$A$2:$A$7,0))</f>
        <v>Standard</v>
      </c>
      <c r="O281" s="3" t="str">
        <f t="array" ref="O281">XLOOKUP(D281,Lookup_Practice!$A$2:$A$7,Lookup_Practice!$B$2:$B$7)</f>
        <v>Standard</v>
      </c>
    </row>
    <row r="282">
      <c r="A282" s="1">
        <v>50.0</v>
      </c>
      <c r="B282" s="1" t="s">
        <v>18</v>
      </c>
      <c r="C282" s="1" t="s">
        <v>29</v>
      </c>
      <c r="D282" s="1" t="s">
        <v>30</v>
      </c>
      <c r="E282" s="1" t="s">
        <v>17</v>
      </c>
      <c r="F282" s="1">
        <v>1113.0</v>
      </c>
      <c r="G282" s="1">
        <v>16.0</v>
      </c>
      <c r="H282" s="2">
        <v>45367.0</v>
      </c>
      <c r="I282" s="3" t="str">
        <f t="shared" si="1"/>
        <v>Middle Age (36-55)</v>
      </c>
      <c r="J282" s="3">
        <f t="shared" si="2"/>
        <v>3</v>
      </c>
      <c r="K282" s="3">
        <f t="shared" si="3"/>
        <v>2024</v>
      </c>
      <c r="L282" s="3" t="str">
        <f t="shared" si="4"/>
        <v>March</v>
      </c>
      <c r="M282" s="3" t="str">
        <f>VLOOKUP(D282,Lookup_Practice!$A$2:$B$7,2,FALSE)</f>
        <v>Standard</v>
      </c>
      <c r="N282" s="3" t="str">
        <f t="array" ref="N282">INDEX(Lookup_Practice!$B$2:$B$7,MATCH(D282,Lookup_Practice!$A$2:$A$7,0))</f>
        <v>Standard</v>
      </c>
      <c r="O282" s="3" t="str">
        <f t="array" ref="O282">XLOOKUP(D282,Lookup_Practice!$A$2:$A$7,Lookup_Practice!$B$2:$B$7)</f>
        <v>Standard</v>
      </c>
    </row>
    <row r="283">
      <c r="A283" s="1">
        <v>10.0</v>
      </c>
      <c r="B283" s="1" t="s">
        <v>14</v>
      </c>
      <c r="C283" s="1" t="s">
        <v>15</v>
      </c>
      <c r="D283" s="1" t="s">
        <v>26</v>
      </c>
      <c r="E283" s="1" t="s">
        <v>17</v>
      </c>
      <c r="F283" s="1">
        <v>570.0</v>
      </c>
      <c r="G283" s="1">
        <v>15.0</v>
      </c>
      <c r="H283" s="2">
        <v>45334.0</v>
      </c>
      <c r="I283" s="3" t="str">
        <f t="shared" si="1"/>
        <v>Child (0-17)</v>
      </c>
      <c r="J283" s="3">
        <f t="shared" si="2"/>
        <v>2</v>
      </c>
      <c r="K283" s="3">
        <f t="shared" si="3"/>
        <v>2024</v>
      </c>
      <c r="L283" s="3" t="str">
        <f t="shared" si="4"/>
        <v>February</v>
      </c>
      <c r="M283" s="3" t="str">
        <f>VLOOKUP(D283,Lookup_Practice!$A$2:$B$7,2,FALSE)</f>
        <v>Premium</v>
      </c>
      <c r="N283" s="3" t="str">
        <f t="array" ref="N283">INDEX(Lookup_Practice!$B$2:$B$7,MATCH(D283,Lookup_Practice!$A$2:$A$7,0))</f>
        <v>Premium</v>
      </c>
      <c r="O283" s="3" t="str">
        <f t="array" ref="O283">XLOOKUP(D283,Lookup_Practice!$A$2:$A$7,Lookup_Practice!$B$2:$B$7)</f>
        <v>Premium</v>
      </c>
    </row>
    <row r="284">
      <c r="A284" s="1">
        <v>41.0</v>
      </c>
      <c r="B284" s="1" t="s">
        <v>18</v>
      </c>
      <c r="C284" s="1" t="s">
        <v>27</v>
      </c>
      <c r="D284" s="1" t="s">
        <v>30</v>
      </c>
      <c r="E284" s="1" t="s">
        <v>28</v>
      </c>
      <c r="F284" s="1">
        <v>953.0</v>
      </c>
      <c r="G284" s="1">
        <v>4.0</v>
      </c>
      <c r="H284" s="2">
        <v>45146.0</v>
      </c>
      <c r="I284" s="3" t="str">
        <f t="shared" si="1"/>
        <v>Middle Age (36-55)</v>
      </c>
      <c r="J284" s="3">
        <f t="shared" si="2"/>
        <v>8</v>
      </c>
      <c r="K284" s="3">
        <f t="shared" si="3"/>
        <v>2023</v>
      </c>
      <c r="L284" s="3" t="str">
        <f t="shared" si="4"/>
        <v>August</v>
      </c>
      <c r="M284" s="3" t="str">
        <f>VLOOKUP(D284,Lookup_Practice!$A$2:$B$7,2,FALSE)</f>
        <v>Standard</v>
      </c>
      <c r="N284" s="3" t="str">
        <f t="array" ref="N284">INDEX(Lookup_Practice!$B$2:$B$7,MATCH(D284,Lookup_Practice!$A$2:$A$7,0))</f>
        <v>Standard</v>
      </c>
      <c r="O284" s="3" t="str">
        <f t="array" ref="O284">XLOOKUP(D284,Lookup_Practice!$A$2:$A$7,Lookup_Practice!$B$2:$B$7)</f>
        <v>Standard</v>
      </c>
    </row>
    <row r="285">
      <c r="A285" s="1">
        <v>28.0</v>
      </c>
      <c r="B285" s="1" t="s">
        <v>14</v>
      </c>
      <c r="C285" s="1" t="s">
        <v>32</v>
      </c>
      <c r="D285" s="1" t="s">
        <v>30</v>
      </c>
      <c r="E285" s="1" t="s">
        <v>17</v>
      </c>
      <c r="F285" s="1">
        <v>1197.0</v>
      </c>
      <c r="G285" s="1">
        <v>7.0</v>
      </c>
      <c r="H285" s="2">
        <v>45101.0</v>
      </c>
      <c r="I285" s="3" t="str">
        <f t="shared" si="1"/>
        <v>Young Adult (18-35)</v>
      </c>
      <c r="J285" s="3">
        <f t="shared" si="2"/>
        <v>6</v>
      </c>
      <c r="K285" s="3">
        <f t="shared" si="3"/>
        <v>2023</v>
      </c>
      <c r="L285" s="3" t="str">
        <f t="shared" si="4"/>
        <v>June</v>
      </c>
      <c r="M285" s="3" t="str">
        <f>VLOOKUP(D285,Lookup_Practice!$A$2:$B$7,2,FALSE)</f>
        <v>Standard</v>
      </c>
      <c r="N285" s="3" t="str">
        <f t="array" ref="N285">INDEX(Lookup_Practice!$B$2:$B$7,MATCH(D285,Lookup_Practice!$A$2:$A$7,0))</f>
        <v>Standard</v>
      </c>
      <c r="O285" s="3" t="str">
        <f t="array" ref="O285">XLOOKUP(D285,Lookup_Practice!$A$2:$A$7,Lookup_Practice!$B$2:$B$7)</f>
        <v>Standard</v>
      </c>
    </row>
    <row r="286">
      <c r="A286" s="1">
        <v>50.0</v>
      </c>
      <c r="B286" s="1" t="s">
        <v>18</v>
      </c>
      <c r="C286" s="1" t="s">
        <v>21</v>
      </c>
      <c r="D286" s="1" t="s">
        <v>23</v>
      </c>
      <c r="E286" s="1" t="s">
        <v>17</v>
      </c>
      <c r="F286" s="1">
        <v>1225.0</v>
      </c>
      <c r="G286" s="1">
        <v>16.0</v>
      </c>
      <c r="H286" s="2">
        <v>45094.0</v>
      </c>
      <c r="I286" s="3" t="str">
        <f t="shared" si="1"/>
        <v>Middle Age (36-55)</v>
      </c>
      <c r="J286" s="3">
        <f t="shared" si="2"/>
        <v>6</v>
      </c>
      <c r="K286" s="3">
        <f t="shared" si="3"/>
        <v>2023</v>
      </c>
      <c r="L286" s="3" t="str">
        <f t="shared" si="4"/>
        <v>June</v>
      </c>
      <c r="M286" s="3" t="str">
        <f>VLOOKUP(D286,Lookup_Practice!$A$2:$B$7,2,FALSE)</f>
        <v>Standard</v>
      </c>
      <c r="N286" s="3" t="str">
        <f t="array" ref="N286">INDEX(Lookup_Practice!$B$2:$B$7,MATCH(D286,Lookup_Practice!$A$2:$A$7,0))</f>
        <v>Standard</v>
      </c>
      <c r="O286" s="3" t="str">
        <f t="array" ref="O286">XLOOKUP(D286,Lookup_Practice!$A$2:$A$7,Lookup_Practice!$B$2:$B$7)</f>
        <v>Standard</v>
      </c>
    </row>
    <row r="287">
      <c r="A287" s="1">
        <v>57.0</v>
      </c>
      <c r="B287" s="1" t="s">
        <v>18</v>
      </c>
      <c r="C287" s="1" t="s">
        <v>15</v>
      </c>
      <c r="D287" s="1" t="s">
        <v>22</v>
      </c>
      <c r="E287" s="1" t="s">
        <v>17</v>
      </c>
      <c r="F287" s="1">
        <v>976.0</v>
      </c>
      <c r="G287" s="1">
        <v>8.0</v>
      </c>
      <c r="H287" s="2">
        <v>45267.0</v>
      </c>
      <c r="I287" s="3" t="str">
        <f t="shared" si="1"/>
        <v>Senior (56+)</v>
      </c>
      <c r="J287" s="3">
        <f t="shared" si="2"/>
        <v>12</v>
      </c>
      <c r="K287" s="3">
        <f t="shared" si="3"/>
        <v>2023</v>
      </c>
      <c r="L287" s="3" t="str">
        <f t="shared" si="4"/>
        <v>December</v>
      </c>
      <c r="M287" s="3" t="str">
        <f>VLOOKUP(D287,Lookup_Practice!$A$2:$B$7,2,FALSE)</f>
        <v>Basic</v>
      </c>
      <c r="N287" s="3" t="str">
        <f t="array" ref="N287">INDEX(Lookup_Practice!$B$2:$B$7,MATCH(D287,Lookup_Practice!$A$2:$A$7,0))</f>
        <v>Basic</v>
      </c>
      <c r="O287" s="3" t="str">
        <f t="array" ref="O287">XLOOKUP(D287,Lookup_Practice!$A$2:$A$7,Lookup_Practice!$B$2:$B$7)</f>
        <v>Basic</v>
      </c>
    </row>
    <row r="288">
      <c r="A288" s="1">
        <v>64.0</v>
      </c>
      <c r="B288" s="1" t="s">
        <v>14</v>
      </c>
      <c r="C288" s="1" t="s">
        <v>27</v>
      </c>
      <c r="D288" s="1" t="s">
        <v>26</v>
      </c>
      <c r="E288" s="1" t="s">
        <v>24</v>
      </c>
      <c r="F288" s="1">
        <v>603.0</v>
      </c>
      <c r="G288" s="1">
        <v>17.0</v>
      </c>
      <c r="H288" s="2">
        <v>45180.0</v>
      </c>
      <c r="I288" s="3" t="str">
        <f t="shared" si="1"/>
        <v>Senior (56+)</v>
      </c>
      <c r="J288" s="3">
        <f t="shared" si="2"/>
        <v>9</v>
      </c>
      <c r="K288" s="3">
        <f t="shared" si="3"/>
        <v>2023</v>
      </c>
      <c r="L288" s="3" t="str">
        <f t="shared" si="4"/>
        <v>September</v>
      </c>
      <c r="M288" s="3" t="str">
        <f>VLOOKUP(D288,Lookup_Practice!$A$2:$B$7,2,FALSE)</f>
        <v>Premium</v>
      </c>
      <c r="N288" s="3" t="str">
        <f t="array" ref="N288">INDEX(Lookup_Practice!$B$2:$B$7,MATCH(D288,Lookup_Practice!$A$2:$A$7,0))</f>
        <v>Premium</v>
      </c>
      <c r="O288" s="3" t="str">
        <f t="array" ref="O288">XLOOKUP(D288,Lookup_Practice!$A$2:$A$7,Lookup_Practice!$B$2:$B$7)</f>
        <v>Premium</v>
      </c>
    </row>
    <row r="289">
      <c r="A289" s="1">
        <v>67.0</v>
      </c>
      <c r="B289" s="1" t="s">
        <v>18</v>
      </c>
      <c r="C289" s="1" t="s">
        <v>29</v>
      </c>
      <c r="D289" s="1" t="s">
        <v>30</v>
      </c>
      <c r="E289" s="1" t="s">
        <v>17</v>
      </c>
      <c r="F289" s="1">
        <v>1093.0</v>
      </c>
      <c r="G289" s="1">
        <v>16.0</v>
      </c>
      <c r="H289" s="2">
        <v>45522.0</v>
      </c>
      <c r="I289" s="3" t="str">
        <f t="shared" si="1"/>
        <v>Senior (56+)</v>
      </c>
      <c r="J289" s="3">
        <f t="shared" si="2"/>
        <v>8</v>
      </c>
      <c r="K289" s="3">
        <f t="shared" si="3"/>
        <v>2024</v>
      </c>
      <c r="L289" s="3" t="str">
        <f t="shared" si="4"/>
        <v>August</v>
      </c>
      <c r="M289" s="3" t="str">
        <f>VLOOKUP(D289,Lookup_Practice!$A$2:$B$7,2,FALSE)</f>
        <v>Standard</v>
      </c>
      <c r="N289" s="3" t="str">
        <f t="array" ref="N289">INDEX(Lookup_Practice!$B$2:$B$7,MATCH(D289,Lookup_Practice!$A$2:$A$7,0))</f>
        <v>Standard</v>
      </c>
      <c r="O289" s="3" t="str">
        <f t="array" ref="O289">XLOOKUP(D289,Lookup_Practice!$A$2:$A$7,Lookup_Practice!$B$2:$B$7)</f>
        <v>Standard</v>
      </c>
    </row>
    <row r="290">
      <c r="A290" s="1">
        <v>36.0</v>
      </c>
      <c r="B290" s="1" t="s">
        <v>14</v>
      </c>
      <c r="C290" s="1" t="s">
        <v>21</v>
      </c>
      <c r="D290" s="1" t="s">
        <v>26</v>
      </c>
      <c r="E290" s="1" t="s">
        <v>17</v>
      </c>
      <c r="F290" s="1">
        <v>568.0</v>
      </c>
      <c r="G290" s="1">
        <v>10.0</v>
      </c>
      <c r="H290" s="2">
        <v>45017.0</v>
      </c>
      <c r="I290" s="3" t="str">
        <f t="shared" si="1"/>
        <v>Middle Age (36-55)</v>
      </c>
      <c r="J290" s="3">
        <f t="shared" si="2"/>
        <v>4</v>
      </c>
      <c r="K290" s="3">
        <f t="shared" si="3"/>
        <v>2023</v>
      </c>
      <c r="L290" s="3" t="str">
        <f t="shared" si="4"/>
        <v>April</v>
      </c>
      <c r="M290" s="3" t="str">
        <f>VLOOKUP(D290,Lookup_Practice!$A$2:$B$7,2,FALSE)</f>
        <v>Premium</v>
      </c>
      <c r="N290" s="3" t="str">
        <f t="array" ref="N290">INDEX(Lookup_Practice!$B$2:$B$7,MATCH(D290,Lookup_Practice!$A$2:$A$7,0))</f>
        <v>Premium</v>
      </c>
      <c r="O290" s="3" t="str">
        <f t="array" ref="O290">XLOOKUP(D290,Lookup_Practice!$A$2:$A$7,Lookup_Practice!$B$2:$B$7)</f>
        <v>Premium</v>
      </c>
    </row>
    <row r="291">
      <c r="A291" s="1">
        <v>37.0</v>
      </c>
      <c r="B291" s="1" t="s">
        <v>18</v>
      </c>
      <c r="C291" s="1" t="s">
        <v>31</v>
      </c>
      <c r="D291" s="1" t="s">
        <v>20</v>
      </c>
      <c r="E291" s="1" t="s">
        <v>17</v>
      </c>
      <c r="F291" s="1">
        <v>1551.0</v>
      </c>
      <c r="G291" s="1">
        <v>10.0</v>
      </c>
      <c r="H291" s="2">
        <v>45263.0</v>
      </c>
      <c r="I291" s="3" t="str">
        <f t="shared" si="1"/>
        <v>Middle Age (36-55)</v>
      </c>
      <c r="J291" s="3">
        <f t="shared" si="2"/>
        <v>12</v>
      </c>
      <c r="K291" s="3">
        <f t="shared" si="3"/>
        <v>2023</v>
      </c>
      <c r="L291" s="3" t="str">
        <f t="shared" si="4"/>
        <v>December</v>
      </c>
      <c r="M291" s="3" t="str">
        <f>VLOOKUP(D291,Lookup_Practice!$A$2:$B$7,2,FALSE)</f>
        <v>Standard</v>
      </c>
      <c r="N291" s="3" t="str">
        <f t="array" ref="N291">INDEX(Lookup_Practice!$B$2:$B$7,MATCH(D291,Lookup_Practice!$A$2:$A$7,0))</f>
        <v>Standard</v>
      </c>
      <c r="O291" s="3" t="str">
        <f t="array" ref="O291">XLOOKUP(D291,Lookup_Practice!$A$2:$A$7,Lookup_Practice!$B$2:$B$7)</f>
        <v>Standard</v>
      </c>
    </row>
    <row r="292">
      <c r="A292" s="1">
        <v>71.0</v>
      </c>
      <c r="B292" s="1" t="s">
        <v>18</v>
      </c>
      <c r="C292" s="1" t="s">
        <v>31</v>
      </c>
      <c r="D292" s="1" t="s">
        <v>23</v>
      </c>
      <c r="E292" s="1" t="s">
        <v>24</v>
      </c>
      <c r="F292" s="1">
        <v>1134.0</v>
      </c>
      <c r="G292" s="1">
        <v>2.0</v>
      </c>
      <c r="H292" s="2">
        <v>45020.0</v>
      </c>
      <c r="I292" s="3" t="str">
        <f t="shared" si="1"/>
        <v>Senior (56+)</v>
      </c>
      <c r="J292" s="3">
        <f t="shared" si="2"/>
        <v>4</v>
      </c>
      <c r="K292" s="3">
        <f t="shared" si="3"/>
        <v>2023</v>
      </c>
      <c r="L292" s="3" t="str">
        <f t="shared" si="4"/>
        <v>April</v>
      </c>
      <c r="M292" s="3" t="str">
        <f>VLOOKUP(D292,Lookup_Practice!$A$2:$B$7,2,FALSE)</f>
        <v>Standard</v>
      </c>
      <c r="N292" s="3" t="str">
        <f t="array" ref="N292">INDEX(Lookup_Practice!$B$2:$B$7,MATCH(D292,Lookup_Practice!$A$2:$A$7,0))</f>
        <v>Standard</v>
      </c>
      <c r="O292" s="3" t="str">
        <f t="array" ref="O292">XLOOKUP(D292,Lookup_Practice!$A$2:$A$7,Lookup_Practice!$B$2:$B$7)</f>
        <v>Standard</v>
      </c>
    </row>
    <row r="293">
      <c r="A293" s="1">
        <v>22.0</v>
      </c>
      <c r="B293" s="1" t="s">
        <v>14</v>
      </c>
      <c r="C293" s="1" t="s">
        <v>29</v>
      </c>
      <c r="D293" s="1" t="s">
        <v>20</v>
      </c>
      <c r="E293" s="1" t="s">
        <v>17</v>
      </c>
      <c r="F293" s="1">
        <v>1583.0</v>
      </c>
      <c r="G293" s="1">
        <v>9.0</v>
      </c>
      <c r="H293" s="2">
        <v>45548.0</v>
      </c>
      <c r="I293" s="3" t="str">
        <f t="shared" si="1"/>
        <v>Young Adult (18-35)</v>
      </c>
      <c r="J293" s="3">
        <f t="shared" si="2"/>
        <v>9</v>
      </c>
      <c r="K293" s="3">
        <f t="shared" si="3"/>
        <v>2024</v>
      </c>
      <c r="L293" s="3" t="str">
        <f t="shared" si="4"/>
        <v>September</v>
      </c>
      <c r="M293" s="3" t="str">
        <f>VLOOKUP(D293,Lookup_Practice!$A$2:$B$7,2,FALSE)</f>
        <v>Standard</v>
      </c>
      <c r="N293" s="3" t="str">
        <f t="array" ref="N293">INDEX(Lookup_Practice!$B$2:$B$7,MATCH(D293,Lookup_Practice!$A$2:$A$7,0))</f>
        <v>Standard</v>
      </c>
      <c r="O293" s="3" t="str">
        <f t="array" ref="O293">XLOOKUP(D293,Lookup_Practice!$A$2:$A$7,Lookup_Practice!$B$2:$B$7)</f>
        <v>Standard</v>
      </c>
    </row>
    <row r="294">
      <c r="A294" s="1">
        <v>29.0</v>
      </c>
      <c r="B294" s="1" t="s">
        <v>18</v>
      </c>
      <c r="C294" s="1" t="s">
        <v>31</v>
      </c>
      <c r="D294" s="1" t="s">
        <v>26</v>
      </c>
      <c r="E294" s="1" t="s">
        <v>17</v>
      </c>
      <c r="F294" s="1">
        <v>685.0</v>
      </c>
      <c r="G294" s="1">
        <v>17.0</v>
      </c>
      <c r="H294" s="2">
        <v>45297.0</v>
      </c>
      <c r="I294" s="3" t="str">
        <f t="shared" si="1"/>
        <v>Young Adult (18-35)</v>
      </c>
      <c r="J294" s="3">
        <f t="shared" si="2"/>
        <v>1</v>
      </c>
      <c r="K294" s="3">
        <f t="shared" si="3"/>
        <v>2024</v>
      </c>
      <c r="L294" s="3" t="str">
        <f t="shared" si="4"/>
        <v>January</v>
      </c>
      <c r="M294" s="3" t="str">
        <f>VLOOKUP(D294,Lookup_Practice!$A$2:$B$7,2,FALSE)</f>
        <v>Premium</v>
      </c>
      <c r="N294" s="3" t="str">
        <f t="array" ref="N294">INDEX(Lookup_Practice!$B$2:$B$7,MATCH(D294,Lookup_Practice!$A$2:$A$7,0))</f>
        <v>Premium</v>
      </c>
      <c r="O294" s="3" t="str">
        <f t="array" ref="O294">XLOOKUP(D294,Lookup_Practice!$A$2:$A$7,Lookup_Practice!$B$2:$B$7)</f>
        <v>Premium</v>
      </c>
    </row>
    <row r="295">
      <c r="A295" s="1">
        <v>58.0</v>
      </c>
      <c r="B295" s="1" t="s">
        <v>14</v>
      </c>
      <c r="C295" s="1" t="s">
        <v>31</v>
      </c>
      <c r="D295" s="1" t="s">
        <v>26</v>
      </c>
      <c r="E295" s="1" t="s">
        <v>17</v>
      </c>
      <c r="F295" s="1">
        <v>456.0</v>
      </c>
      <c r="G295" s="1">
        <v>11.0</v>
      </c>
      <c r="H295" s="2">
        <v>45348.0</v>
      </c>
      <c r="I295" s="3" t="str">
        <f t="shared" si="1"/>
        <v>Senior (56+)</v>
      </c>
      <c r="J295" s="3">
        <f t="shared" si="2"/>
        <v>2</v>
      </c>
      <c r="K295" s="3">
        <f t="shared" si="3"/>
        <v>2024</v>
      </c>
      <c r="L295" s="3" t="str">
        <f t="shared" si="4"/>
        <v>February</v>
      </c>
      <c r="M295" s="3" t="str">
        <f>VLOOKUP(D295,Lookup_Practice!$A$2:$B$7,2,FALSE)</f>
        <v>Premium</v>
      </c>
      <c r="N295" s="3" t="str">
        <f t="array" ref="N295">INDEX(Lookup_Practice!$B$2:$B$7,MATCH(D295,Lookup_Practice!$A$2:$A$7,0))</f>
        <v>Premium</v>
      </c>
      <c r="O295" s="3" t="str">
        <f t="array" ref="O295">XLOOKUP(D295,Lookup_Practice!$A$2:$A$7,Lookup_Practice!$B$2:$B$7)</f>
        <v>Premium</v>
      </c>
    </row>
    <row r="296">
      <c r="A296" s="1">
        <v>62.0</v>
      </c>
      <c r="B296" s="1" t="s">
        <v>14</v>
      </c>
      <c r="C296" s="1" t="s">
        <v>21</v>
      </c>
      <c r="D296" s="1" t="s">
        <v>22</v>
      </c>
      <c r="E296" s="1" t="s">
        <v>17</v>
      </c>
      <c r="F296" s="1">
        <v>921.0</v>
      </c>
      <c r="G296" s="1">
        <v>10.0</v>
      </c>
      <c r="H296" s="2">
        <v>44971.0</v>
      </c>
      <c r="I296" s="3" t="str">
        <f t="shared" si="1"/>
        <v>Senior (56+)</v>
      </c>
      <c r="J296" s="3">
        <f t="shared" si="2"/>
        <v>2</v>
      </c>
      <c r="K296" s="3">
        <f t="shared" si="3"/>
        <v>2023</v>
      </c>
      <c r="L296" s="3" t="str">
        <f t="shared" si="4"/>
        <v>February</v>
      </c>
      <c r="M296" s="3" t="str">
        <f>VLOOKUP(D296,Lookup_Practice!$A$2:$B$7,2,FALSE)</f>
        <v>Basic</v>
      </c>
      <c r="N296" s="3" t="str">
        <f t="array" ref="N296">INDEX(Lookup_Practice!$B$2:$B$7,MATCH(D296,Lookup_Practice!$A$2:$A$7,0))</f>
        <v>Basic</v>
      </c>
      <c r="O296" s="3" t="str">
        <f t="array" ref="O296">XLOOKUP(D296,Lookup_Practice!$A$2:$A$7,Lookup_Practice!$B$2:$B$7)</f>
        <v>Basic</v>
      </c>
    </row>
    <row r="297">
      <c r="A297" s="1">
        <v>71.0</v>
      </c>
      <c r="B297" s="1" t="s">
        <v>14</v>
      </c>
      <c r="C297" s="1" t="s">
        <v>21</v>
      </c>
      <c r="D297" s="1" t="s">
        <v>30</v>
      </c>
      <c r="E297" s="1" t="s">
        <v>17</v>
      </c>
      <c r="F297" s="1">
        <v>1062.0</v>
      </c>
      <c r="G297" s="1">
        <v>17.0</v>
      </c>
      <c r="H297" s="2">
        <v>45448.0</v>
      </c>
      <c r="I297" s="3" t="str">
        <f t="shared" si="1"/>
        <v>Senior (56+)</v>
      </c>
      <c r="J297" s="3">
        <f t="shared" si="2"/>
        <v>6</v>
      </c>
      <c r="K297" s="3">
        <f t="shared" si="3"/>
        <v>2024</v>
      </c>
      <c r="L297" s="3" t="str">
        <f t="shared" si="4"/>
        <v>June</v>
      </c>
      <c r="M297" s="3" t="str">
        <f>VLOOKUP(D297,Lookup_Practice!$A$2:$B$7,2,FALSE)</f>
        <v>Standard</v>
      </c>
      <c r="N297" s="3" t="str">
        <f t="array" ref="N297">INDEX(Lookup_Practice!$B$2:$B$7,MATCH(D297,Lookup_Practice!$A$2:$A$7,0))</f>
        <v>Standard</v>
      </c>
      <c r="O297" s="3" t="str">
        <f t="array" ref="O297">XLOOKUP(D297,Lookup_Practice!$A$2:$A$7,Lookup_Practice!$B$2:$B$7)</f>
        <v>Standard</v>
      </c>
    </row>
    <row r="298">
      <c r="A298" s="1">
        <v>50.0</v>
      </c>
      <c r="B298" s="1" t="s">
        <v>18</v>
      </c>
      <c r="C298" s="1" t="s">
        <v>25</v>
      </c>
      <c r="D298" s="1" t="s">
        <v>30</v>
      </c>
      <c r="E298" s="1" t="s">
        <v>24</v>
      </c>
      <c r="F298" s="1">
        <v>918.0</v>
      </c>
      <c r="G298" s="1">
        <v>4.0</v>
      </c>
      <c r="H298" s="2">
        <v>45398.0</v>
      </c>
      <c r="I298" s="3" t="str">
        <f t="shared" si="1"/>
        <v>Middle Age (36-55)</v>
      </c>
      <c r="J298" s="3">
        <f t="shared" si="2"/>
        <v>4</v>
      </c>
      <c r="K298" s="3">
        <f t="shared" si="3"/>
        <v>2024</v>
      </c>
      <c r="L298" s="3" t="str">
        <f t="shared" si="4"/>
        <v>April</v>
      </c>
      <c r="M298" s="3" t="str">
        <f>VLOOKUP(D298,Lookup_Practice!$A$2:$B$7,2,FALSE)</f>
        <v>Standard</v>
      </c>
      <c r="N298" s="3" t="str">
        <f t="array" ref="N298">INDEX(Lookup_Practice!$B$2:$B$7,MATCH(D298,Lookup_Practice!$A$2:$A$7,0))</f>
        <v>Standard</v>
      </c>
      <c r="O298" s="3" t="str">
        <f t="array" ref="O298">XLOOKUP(D298,Lookup_Practice!$A$2:$A$7,Lookup_Practice!$B$2:$B$7)</f>
        <v>Standard</v>
      </c>
    </row>
    <row r="299">
      <c r="A299" s="1">
        <v>28.0</v>
      </c>
      <c r="B299" s="1" t="s">
        <v>18</v>
      </c>
      <c r="C299" s="1" t="s">
        <v>27</v>
      </c>
      <c r="D299" s="1" t="s">
        <v>20</v>
      </c>
      <c r="E299" s="1" t="s">
        <v>17</v>
      </c>
      <c r="F299" s="1">
        <v>1663.0</v>
      </c>
      <c r="G299" s="1">
        <v>16.0</v>
      </c>
      <c r="H299" s="2">
        <v>45611.0</v>
      </c>
      <c r="I299" s="3" t="str">
        <f t="shared" si="1"/>
        <v>Young Adult (18-35)</v>
      </c>
      <c r="J299" s="3">
        <f t="shared" si="2"/>
        <v>11</v>
      </c>
      <c r="K299" s="3">
        <f t="shared" si="3"/>
        <v>2024</v>
      </c>
      <c r="L299" s="3" t="str">
        <f t="shared" si="4"/>
        <v>November</v>
      </c>
      <c r="M299" s="3" t="str">
        <f>VLOOKUP(D299,Lookup_Practice!$A$2:$B$7,2,FALSE)</f>
        <v>Standard</v>
      </c>
      <c r="N299" s="3" t="str">
        <f t="array" ref="N299">INDEX(Lookup_Practice!$B$2:$B$7,MATCH(D299,Lookup_Practice!$A$2:$A$7,0))</f>
        <v>Standard</v>
      </c>
      <c r="O299" s="3" t="str">
        <f t="array" ref="O299">XLOOKUP(D299,Lookup_Practice!$A$2:$A$7,Lookup_Practice!$B$2:$B$7)</f>
        <v>Standard</v>
      </c>
    </row>
    <row r="300">
      <c r="A300" s="1">
        <v>36.0</v>
      </c>
      <c r="B300" s="1" t="s">
        <v>14</v>
      </c>
      <c r="C300" s="1" t="s">
        <v>21</v>
      </c>
      <c r="D300" s="1" t="s">
        <v>23</v>
      </c>
      <c r="E300" s="1" t="s">
        <v>24</v>
      </c>
      <c r="F300" s="1">
        <v>1381.0</v>
      </c>
      <c r="G300" s="1">
        <v>20.0</v>
      </c>
      <c r="H300" s="2">
        <v>45214.0</v>
      </c>
      <c r="I300" s="3" t="str">
        <f t="shared" si="1"/>
        <v>Middle Age (36-55)</v>
      </c>
      <c r="J300" s="3">
        <f t="shared" si="2"/>
        <v>10</v>
      </c>
      <c r="K300" s="3">
        <f t="shared" si="3"/>
        <v>2023</v>
      </c>
      <c r="L300" s="3" t="str">
        <f t="shared" si="4"/>
        <v>October</v>
      </c>
      <c r="M300" s="3" t="str">
        <f>VLOOKUP(D300,Lookup_Practice!$A$2:$B$7,2,FALSE)</f>
        <v>Standard</v>
      </c>
      <c r="N300" s="3" t="str">
        <f t="array" ref="N300">INDEX(Lookup_Practice!$B$2:$B$7,MATCH(D300,Lookup_Practice!$A$2:$A$7,0))</f>
        <v>Standard</v>
      </c>
      <c r="O300" s="3" t="str">
        <f t="array" ref="O300">XLOOKUP(D300,Lookup_Practice!$A$2:$A$7,Lookup_Practice!$B$2:$B$7)</f>
        <v>Standard</v>
      </c>
    </row>
    <row r="301">
      <c r="A301" s="1">
        <v>51.0</v>
      </c>
      <c r="B301" s="1" t="s">
        <v>14</v>
      </c>
      <c r="C301" s="1" t="s">
        <v>25</v>
      </c>
      <c r="D301" s="1" t="s">
        <v>16</v>
      </c>
      <c r="E301" s="1" t="s">
        <v>17</v>
      </c>
      <c r="F301" s="1">
        <v>1012.0</v>
      </c>
      <c r="G301" s="1">
        <v>15.0</v>
      </c>
      <c r="H301" s="2">
        <v>45355.0</v>
      </c>
      <c r="I301" s="3" t="str">
        <f t="shared" si="1"/>
        <v>Middle Age (36-55)</v>
      </c>
      <c r="J301" s="3">
        <f t="shared" si="2"/>
        <v>3</v>
      </c>
      <c r="K301" s="3">
        <f t="shared" si="3"/>
        <v>2024</v>
      </c>
      <c r="L301" s="3" t="str">
        <f t="shared" si="4"/>
        <v>March</v>
      </c>
      <c r="M301" s="3" t="str">
        <f>VLOOKUP(D301,Lookup_Practice!$A$2:$B$7,2,FALSE)</f>
        <v>Premium</v>
      </c>
      <c r="N301" s="3" t="str">
        <f t="array" ref="N301">INDEX(Lookup_Practice!$B$2:$B$7,MATCH(D301,Lookup_Practice!$A$2:$A$7,0))</f>
        <v>Premium</v>
      </c>
      <c r="O301" s="3" t="str">
        <f t="array" ref="O301">XLOOKUP(D301,Lookup_Practice!$A$2:$A$7,Lookup_Practice!$B$2:$B$7)</f>
        <v>Premium</v>
      </c>
    </row>
    <row r="302">
      <c r="A302" s="1">
        <v>27.0</v>
      </c>
      <c r="B302" s="1" t="s">
        <v>14</v>
      </c>
      <c r="C302" s="1" t="s">
        <v>29</v>
      </c>
      <c r="D302" s="1" t="s">
        <v>30</v>
      </c>
      <c r="E302" s="1" t="s">
        <v>24</v>
      </c>
      <c r="F302" s="1">
        <v>929.0</v>
      </c>
      <c r="G302" s="1">
        <v>5.0</v>
      </c>
      <c r="H302" s="2">
        <v>44993.0</v>
      </c>
      <c r="I302" s="3" t="str">
        <f t="shared" si="1"/>
        <v>Young Adult (18-35)</v>
      </c>
      <c r="J302" s="3">
        <f t="shared" si="2"/>
        <v>3</v>
      </c>
      <c r="K302" s="3">
        <f t="shared" si="3"/>
        <v>2023</v>
      </c>
      <c r="L302" s="3" t="str">
        <f t="shared" si="4"/>
        <v>March</v>
      </c>
      <c r="M302" s="3" t="str">
        <f>VLOOKUP(D302,Lookup_Practice!$A$2:$B$7,2,FALSE)</f>
        <v>Standard</v>
      </c>
      <c r="N302" s="3" t="str">
        <f t="array" ref="N302">INDEX(Lookup_Practice!$B$2:$B$7,MATCH(D302,Lookup_Practice!$A$2:$A$7,0))</f>
        <v>Standard</v>
      </c>
      <c r="O302" s="3" t="str">
        <f t="array" ref="O302">XLOOKUP(D302,Lookup_Practice!$A$2:$A$7,Lookup_Practice!$B$2:$B$7)</f>
        <v>Standard</v>
      </c>
    </row>
    <row r="303">
      <c r="A303" s="1">
        <v>70.0</v>
      </c>
      <c r="B303" s="1" t="s">
        <v>18</v>
      </c>
      <c r="C303" s="1" t="s">
        <v>15</v>
      </c>
      <c r="D303" s="1" t="s">
        <v>22</v>
      </c>
      <c r="E303" s="1" t="s">
        <v>17</v>
      </c>
      <c r="F303" s="1">
        <v>834.0</v>
      </c>
      <c r="G303" s="1">
        <v>6.0</v>
      </c>
      <c r="H303" s="2">
        <v>45012.0</v>
      </c>
      <c r="I303" s="3" t="str">
        <f t="shared" si="1"/>
        <v>Senior (56+)</v>
      </c>
      <c r="J303" s="3">
        <f t="shared" si="2"/>
        <v>3</v>
      </c>
      <c r="K303" s="3">
        <f t="shared" si="3"/>
        <v>2023</v>
      </c>
      <c r="L303" s="3" t="str">
        <f t="shared" si="4"/>
        <v>March</v>
      </c>
      <c r="M303" s="3" t="str">
        <f>VLOOKUP(D303,Lookup_Practice!$A$2:$B$7,2,FALSE)</f>
        <v>Basic</v>
      </c>
      <c r="N303" s="3" t="str">
        <f t="array" ref="N303">INDEX(Lookup_Practice!$B$2:$B$7,MATCH(D303,Lookup_Practice!$A$2:$A$7,0))</f>
        <v>Basic</v>
      </c>
      <c r="O303" s="3" t="str">
        <f t="array" ref="O303">XLOOKUP(D303,Lookup_Practice!$A$2:$A$7,Lookup_Practice!$B$2:$B$7)</f>
        <v>Basic</v>
      </c>
    </row>
    <row r="304">
      <c r="A304" s="1">
        <v>31.0</v>
      </c>
      <c r="B304" s="1" t="s">
        <v>18</v>
      </c>
      <c r="C304" s="1" t="s">
        <v>29</v>
      </c>
      <c r="D304" s="1" t="s">
        <v>20</v>
      </c>
      <c r="E304" s="1" t="s">
        <v>17</v>
      </c>
      <c r="F304" s="1">
        <v>1466.0</v>
      </c>
      <c r="G304" s="1">
        <v>17.0</v>
      </c>
      <c r="H304" s="2">
        <v>45459.0</v>
      </c>
      <c r="I304" s="3" t="str">
        <f t="shared" si="1"/>
        <v>Young Adult (18-35)</v>
      </c>
      <c r="J304" s="3">
        <f t="shared" si="2"/>
        <v>6</v>
      </c>
      <c r="K304" s="3">
        <f t="shared" si="3"/>
        <v>2024</v>
      </c>
      <c r="L304" s="3" t="str">
        <f t="shared" si="4"/>
        <v>June</v>
      </c>
      <c r="M304" s="3" t="str">
        <f>VLOOKUP(D304,Lookup_Practice!$A$2:$B$7,2,FALSE)</f>
        <v>Standard</v>
      </c>
      <c r="N304" s="3" t="str">
        <f t="array" ref="N304">INDEX(Lookup_Practice!$B$2:$B$7,MATCH(D304,Lookup_Practice!$A$2:$A$7,0))</f>
        <v>Standard</v>
      </c>
      <c r="O304" s="3" t="str">
        <f t="array" ref="O304">XLOOKUP(D304,Lookup_Practice!$A$2:$A$7,Lookup_Practice!$B$2:$B$7)</f>
        <v>Standard</v>
      </c>
    </row>
    <row r="305">
      <c r="A305" s="1">
        <v>6.0</v>
      </c>
      <c r="B305" s="1" t="s">
        <v>14</v>
      </c>
      <c r="C305" s="1" t="s">
        <v>19</v>
      </c>
      <c r="D305" s="1" t="s">
        <v>20</v>
      </c>
      <c r="E305" s="1" t="s">
        <v>28</v>
      </c>
      <c r="F305" s="1">
        <v>1464.0</v>
      </c>
      <c r="G305" s="1">
        <v>1.0</v>
      </c>
      <c r="H305" s="2">
        <v>45154.0</v>
      </c>
      <c r="I305" s="3" t="str">
        <f t="shared" si="1"/>
        <v>Child (0-17)</v>
      </c>
      <c r="J305" s="3">
        <f t="shared" si="2"/>
        <v>8</v>
      </c>
      <c r="K305" s="3">
        <f t="shared" si="3"/>
        <v>2023</v>
      </c>
      <c r="L305" s="3" t="str">
        <f t="shared" si="4"/>
        <v>August</v>
      </c>
      <c r="M305" s="3" t="str">
        <f>VLOOKUP(D305,Lookup_Practice!$A$2:$B$7,2,FALSE)</f>
        <v>Standard</v>
      </c>
      <c r="N305" s="3" t="str">
        <f t="array" ref="N305">INDEX(Lookup_Practice!$B$2:$B$7,MATCH(D305,Lookup_Practice!$A$2:$A$7,0))</f>
        <v>Standard</v>
      </c>
      <c r="O305" s="3" t="str">
        <f t="array" ref="O305">XLOOKUP(D305,Lookup_Practice!$A$2:$A$7,Lookup_Practice!$B$2:$B$7)</f>
        <v>Standard</v>
      </c>
    </row>
    <row r="306">
      <c r="A306" s="1">
        <v>21.0</v>
      </c>
      <c r="B306" s="1" t="s">
        <v>14</v>
      </c>
      <c r="C306" s="1" t="s">
        <v>25</v>
      </c>
      <c r="D306" s="1" t="s">
        <v>16</v>
      </c>
      <c r="E306" s="1" t="s">
        <v>24</v>
      </c>
      <c r="F306" s="1">
        <v>1191.0</v>
      </c>
      <c r="G306" s="1">
        <v>19.0</v>
      </c>
      <c r="H306" s="2">
        <v>45600.0</v>
      </c>
      <c r="I306" s="3" t="str">
        <f t="shared" si="1"/>
        <v>Young Adult (18-35)</v>
      </c>
      <c r="J306" s="3">
        <f t="shared" si="2"/>
        <v>11</v>
      </c>
      <c r="K306" s="3">
        <f t="shared" si="3"/>
        <v>2024</v>
      </c>
      <c r="L306" s="3" t="str">
        <f t="shared" si="4"/>
        <v>November</v>
      </c>
      <c r="M306" s="3" t="str">
        <f>VLOOKUP(D306,Lookup_Practice!$A$2:$B$7,2,FALSE)</f>
        <v>Premium</v>
      </c>
      <c r="N306" s="3" t="str">
        <f t="array" ref="N306">INDEX(Lookup_Practice!$B$2:$B$7,MATCH(D306,Lookup_Practice!$A$2:$A$7,0))</f>
        <v>Premium</v>
      </c>
      <c r="O306" s="3" t="str">
        <f t="array" ref="O306">XLOOKUP(D306,Lookup_Practice!$A$2:$A$7,Lookup_Practice!$B$2:$B$7)</f>
        <v>Premium</v>
      </c>
    </row>
    <row r="307">
      <c r="A307" s="1">
        <v>37.0</v>
      </c>
      <c r="B307" s="1" t="s">
        <v>14</v>
      </c>
      <c r="C307" s="1" t="s">
        <v>15</v>
      </c>
      <c r="D307" s="1" t="s">
        <v>22</v>
      </c>
      <c r="E307" s="1" t="s">
        <v>17</v>
      </c>
      <c r="F307" s="1">
        <v>724.0</v>
      </c>
      <c r="G307" s="1">
        <v>4.0</v>
      </c>
      <c r="H307" s="2">
        <v>45120.0</v>
      </c>
      <c r="I307" s="3" t="str">
        <f t="shared" si="1"/>
        <v>Middle Age (36-55)</v>
      </c>
      <c r="J307" s="3">
        <f t="shared" si="2"/>
        <v>7</v>
      </c>
      <c r="K307" s="3">
        <f t="shared" si="3"/>
        <v>2023</v>
      </c>
      <c r="L307" s="3" t="str">
        <f t="shared" si="4"/>
        <v>July</v>
      </c>
      <c r="M307" s="3" t="str">
        <f>VLOOKUP(D307,Lookup_Practice!$A$2:$B$7,2,FALSE)</f>
        <v>Basic</v>
      </c>
      <c r="N307" s="3" t="str">
        <f t="array" ref="N307">INDEX(Lookup_Practice!$B$2:$B$7,MATCH(D307,Lookup_Practice!$A$2:$A$7,0))</f>
        <v>Basic</v>
      </c>
      <c r="O307" s="3" t="str">
        <f t="array" ref="O307">XLOOKUP(D307,Lookup_Practice!$A$2:$A$7,Lookup_Practice!$B$2:$B$7)</f>
        <v>Basic</v>
      </c>
    </row>
    <row r="308">
      <c r="A308" s="1">
        <v>13.0</v>
      </c>
      <c r="B308" s="1" t="s">
        <v>14</v>
      </c>
      <c r="C308" s="1" t="s">
        <v>15</v>
      </c>
      <c r="D308" s="1" t="s">
        <v>23</v>
      </c>
      <c r="E308" s="1" t="s">
        <v>17</v>
      </c>
      <c r="F308" s="1">
        <v>1136.0</v>
      </c>
      <c r="G308" s="1">
        <v>17.0</v>
      </c>
      <c r="H308" s="2">
        <v>45408.0</v>
      </c>
      <c r="I308" s="3" t="str">
        <f t="shared" si="1"/>
        <v>Child (0-17)</v>
      </c>
      <c r="J308" s="3">
        <f t="shared" si="2"/>
        <v>4</v>
      </c>
      <c r="K308" s="3">
        <f t="shared" si="3"/>
        <v>2024</v>
      </c>
      <c r="L308" s="3" t="str">
        <f t="shared" si="4"/>
        <v>April</v>
      </c>
      <c r="M308" s="3" t="str">
        <f>VLOOKUP(D308,Lookup_Practice!$A$2:$B$7,2,FALSE)</f>
        <v>Standard</v>
      </c>
      <c r="N308" s="3" t="str">
        <f t="array" ref="N308">INDEX(Lookup_Practice!$B$2:$B$7,MATCH(D308,Lookup_Practice!$A$2:$A$7,0))</f>
        <v>Standard</v>
      </c>
      <c r="O308" s="3" t="str">
        <f t="array" ref="O308">XLOOKUP(D308,Lookup_Practice!$A$2:$A$7,Lookup_Practice!$B$2:$B$7)</f>
        <v>Standard</v>
      </c>
    </row>
    <row r="309">
      <c r="A309" s="1">
        <v>47.0</v>
      </c>
      <c r="B309" s="1" t="s">
        <v>14</v>
      </c>
      <c r="C309" s="1" t="s">
        <v>25</v>
      </c>
      <c r="D309" s="1" t="s">
        <v>22</v>
      </c>
      <c r="E309" s="1" t="s">
        <v>24</v>
      </c>
      <c r="F309" s="1">
        <v>700.0</v>
      </c>
      <c r="G309" s="1">
        <v>9.0</v>
      </c>
      <c r="H309" s="2">
        <v>45609.0</v>
      </c>
      <c r="I309" s="3" t="str">
        <f t="shared" si="1"/>
        <v>Middle Age (36-55)</v>
      </c>
      <c r="J309" s="3">
        <f t="shared" si="2"/>
        <v>11</v>
      </c>
      <c r="K309" s="3">
        <f t="shared" si="3"/>
        <v>2024</v>
      </c>
      <c r="L309" s="3" t="str">
        <f t="shared" si="4"/>
        <v>November</v>
      </c>
      <c r="M309" s="3" t="str">
        <f>VLOOKUP(D309,Lookup_Practice!$A$2:$B$7,2,FALSE)</f>
        <v>Basic</v>
      </c>
      <c r="N309" s="3" t="str">
        <f t="array" ref="N309">INDEX(Lookup_Practice!$B$2:$B$7,MATCH(D309,Lookup_Practice!$A$2:$A$7,0))</f>
        <v>Basic</v>
      </c>
      <c r="O309" s="3" t="str">
        <f t="array" ref="O309">XLOOKUP(D309,Lookup_Practice!$A$2:$A$7,Lookup_Practice!$B$2:$B$7)</f>
        <v>Basic</v>
      </c>
    </row>
    <row r="310">
      <c r="A310" s="1">
        <v>52.0</v>
      </c>
      <c r="B310" s="1" t="s">
        <v>18</v>
      </c>
      <c r="C310" s="1" t="s">
        <v>15</v>
      </c>
      <c r="D310" s="1" t="s">
        <v>23</v>
      </c>
      <c r="E310" s="1" t="s">
        <v>17</v>
      </c>
      <c r="F310" s="1">
        <v>1136.0</v>
      </c>
      <c r="G310" s="1">
        <v>2.0</v>
      </c>
      <c r="H310" s="2">
        <v>45628.0</v>
      </c>
      <c r="I310" s="3" t="str">
        <f t="shared" si="1"/>
        <v>Middle Age (36-55)</v>
      </c>
      <c r="J310" s="3">
        <f t="shared" si="2"/>
        <v>12</v>
      </c>
      <c r="K310" s="3">
        <f t="shared" si="3"/>
        <v>2024</v>
      </c>
      <c r="L310" s="3" t="str">
        <f t="shared" si="4"/>
        <v>December</v>
      </c>
      <c r="M310" s="3" t="str">
        <f>VLOOKUP(D310,Lookup_Practice!$A$2:$B$7,2,FALSE)</f>
        <v>Standard</v>
      </c>
      <c r="N310" s="3" t="str">
        <f t="array" ref="N310">INDEX(Lookup_Practice!$B$2:$B$7,MATCH(D310,Lookup_Practice!$A$2:$A$7,0))</f>
        <v>Standard</v>
      </c>
      <c r="O310" s="3" t="str">
        <f t="array" ref="O310">XLOOKUP(D310,Lookup_Practice!$A$2:$A$7,Lookup_Practice!$B$2:$B$7)</f>
        <v>Standard</v>
      </c>
    </row>
    <row r="311">
      <c r="A311" s="1">
        <v>43.0</v>
      </c>
      <c r="B311" s="1" t="s">
        <v>18</v>
      </c>
      <c r="C311" s="1" t="s">
        <v>15</v>
      </c>
      <c r="D311" s="1" t="s">
        <v>22</v>
      </c>
      <c r="E311" s="1" t="s">
        <v>24</v>
      </c>
      <c r="F311" s="1">
        <v>840.0</v>
      </c>
      <c r="G311" s="1">
        <v>8.0</v>
      </c>
      <c r="H311" s="2">
        <v>45019.0</v>
      </c>
      <c r="I311" s="3" t="str">
        <f t="shared" si="1"/>
        <v>Middle Age (36-55)</v>
      </c>
      <c r="J311" s="3">
        <f t="shared" si="2"/>
        <v>4</v>
      </c>
      <c r="K311" s="3">
        <f t="shared" si="3"/>
        <v>2023</v>
      </c>
      <c r="L311" s="3" t="str">
        <f t="shared" si="4"/>
        <v>April</v>
      </c>
      <c r="M311" s="3" t="str">
        <f>VLOOKUP(D311,Lookup_Practice!$A$2:$B$7,2,FALSE)</f>
        <v>Basic</v>
      </c>
      <c r="N311" s="3" t="str">
        <f t="array" ref="N311">INDEX(Lookup_Practice!$B$2:$B$7,MATCH(D311,Lookup_Practice!$A$2:$A$7,0))</f>
        <v>Basic</v>
      </c>
      <c r="O311" s="3" t="str">
        <f t="array" ref="O311">XLOOKUP(D311,Lookup_Practice!$A$2:$A$7,Lookup_Practice!$B$2:$B$7)</f>
        <v>Basic</v>
      </c>
    </row>
    <row r="312">
      <c r="A312" s="1">
        <v>46.0</v>
      </c>
      <c r="B312" s="1" t="s">
        <v>18</v>
      </c>
      <c r="C312" s="1" t="s">
        <v>15</v>
      </c>
      <c r="D312" s="1" t="s">
        <v>22</v>
      </c>
      <c r="E312" s="1" t="s">
        <v>24</v>
      </c>
      <c r="F312" s="1">
        <v>931.0</v>
      </c>
      <c r="G312" s="1">
        <v>15.0</v>
      </c>
      <c r="H312" s="2">
        <v>45618.0</v>
      </c>
      <c r="I312" s="3" t="str">
        <f t="shared" si="1"/>
        <v>Middle Age (36-55)</v>
      </c>
      <c r="J312" s="3">
        <f t="shared" si="2"/>
        <v>11</v>
      </c>
      <c r="K312" s="3">
        <f t="shared" si="3"/>
        <v>2024</v>
      </c>
      <c r="L312" s="3" t="str">
        <f t="shared" si="4"/>
        <v>November</v>
      </c>
      <c r="M312" s="3" t="str">
        <f>VLOOKUP(D312,Lookup_Practice!$A$2:$B$7,2,FALSE)</f>
        <v>Basic</v>
      </c>
      <c r="N312" s="3" t="str">
        <f t="array" ref="N312">INDEX(Lookup_Practice!$B$2:$B$7,MATCH(D312,Lookup_Practice!$A$2:$A$7,0))</f>
        <v>Basic</v>
      </c>
      <c r="O312" s="3" t="str">
        <f t="array" ref="O312">XLOOKUP(D312,Lookup_Practice!$A$2:$A$7,Lookup_Practice!$B$2:$B$7)</f>
        <v>Basic</v>
      </c>
    </row>
    <row r="313">
      <c r="A313" s="1">
        <v>30.0</v>
      </c>
      <c r="B313" s="1" t="s">
        <v>18</v>
      </c>
      <c r="C313" s="1" t="s">
        <v>21</v>
      </c>
      <c r="D313" s="1" t="s">
        <v>26</v>
      </c>
      <c r="E313" s="1" t="s">
        <v>17</v>
      </c>
      <c r="F313" s="1">
        <v>535.0</v>
      </c>
      <c r="G313" s="1">
        <v>7.0</v>
      </c>
      <c r="H313" s="2">
        <v>45207.0</v>
      </c>
      <c r="I313" s="3" t="str">
        <f t="shared" si="1"/>
        <v>Young Adult (18-35)</v>
      </c>
      <c r="J313" s="3">
        <f t="shared" si="2"/>
        <v>10</v>
      </c>
      <c r="K313" s="3">
        <f t="shared" si="3"/>
        <v>2023</v>
      </c>
      <c r="L313" s="3" t="str">
        <f t="shared" si="4"/>
        <v>October</v>
      </c>
      <c r="M313" s="3" t="str">
        <f>VLOOKUP(D313,Lookup_Practice!$A$2:$B$7,2,FALSE)</f>
        <v>Premium</v>
      </c>
      <c r="N313" s="3" t="str">
        <f t="array" ref="N313">INDEX(Lookup_Practice!$B$2:$B$7,MATCH(D313,Lookup_Practice!$A$2:$A$7,0))</f>
        <v>Premium</v>
      </c>
      <c r="O313" s="3" t="str">
        <f t="array" ref="O313">XLOOKUP(D313,Lookup_Practice!$A$2:$A$7,Lookup_Practice!$B$2:$B$7)</f>
        <v>Premium</v>
      </c>
    </row>
    <row r="314">
      <c r="A314" s="1">
        <v>54.0</v>
      </c>
      <c r="B314" s="1" t="s">
        <v>14</v>
      </c>
      <c r="C314" s="1" t="s">
        <v>21</v>
      </c>
      <c r="D314" s="1" t="s">
        <v>20</v>
      </c>
      <c r="E314" s="1" t="s">
        <v>17</v>
      </c>
      <c r="F314" s="1">
        <v>1587.0</v>
      </c>
      <c r="G314" s="1">
        <v>6.0</v>
      </c>
      <c r="H314" s="2">
        <v>45620.0</v>
      </c>
      <c r="I314" s="3" t="str">
        <f t="shared" si="1"/>
        <v>Middle Age (36-55)</v>
      </c>
      <c r="J314" s="3">
        <f t="shared" si="2"/>
        <v>11</v>
      </c>
      <c r="K314" s="3">
        <f t="shared" si="3"/>
        <v>2024</v>
      </c>
      <c r="L314" s="3" t="str">
        <f t="shared" si="4"/>
        <v>November</v>
      </c>
      <c r="M314" s="3" t="str">
        <f>VLOOKUP(D314,Lookup_Practice!$A$2:$B$7,2,FALSE)</f>
        <v>Standard</v>
      </c>
      <c r="N314" s="3" t="str">
        <f t="array" ref="N314">INDEX(Lookup_Practice!$B$2:$B$7,MATCH(D314,Lookup_Practice!$A$2:$A$7,0))</f>
        <v>Standard</v>
      </c>
      <c r="O314" s="3" t="str">
        <f t="array" ref="O314">XLOOKUP(D314,Lookup_Practice!$A$2:$A$7,Lookup_Practice!$B$2:$B$7)</f>
        <v>Standard</v>
      </c>
    </row>
    <row r="315">
      <c r="A315" s="1">
        <v>29.0</v>
      </c>
      <c r="B315" s="1" t="s">
        <v>18</v>
      </c>
      <c r="C315" s="1" t="s">
        <v>15</v>
      </c>
      <c r="D315" s="1" t="s">
        <v>22</v>
      </c>
      <c r="E315" s="1" t="s">
        <v>17</v>
      </c>
      <c r="F315" s="1">
        <v>827.0</v>
      </c>
      <c r="G315" s="1">
        <v>1.0</v>
      </c>
      <c r="H315" s="2">
        <v>45245.0</v>
      </c>
      <c r="I315" s="3" t="str">
        <f t="shared" si="1"/>
        <v>Young Adult (18-35)</v>
      </c>
      <c r="J315" s="3">
        <f t="shared" si="2"/>
        <v>11</v>
      </c>
      <c r="K315" s="3">
        <f t="shared" si="3"/>
        <v>2023</v>
      </c>
      <c r="L315" s="3" t="str">
        <f t="shared" si="4"/>
        <v>November</v>
      </c>
      <c r="M315" s="3" t="str">
        <f>VLOOKUP(D315,Lookup_Practice!$A$2:$B$7,2,FALSE)</f>
        <v>Basic</v>
      </c>
      <c r="N315" s="3" t="str">
        <f t="array" ref="N315">INDEX(Lookup_Practice!$B$2:$B$7,MATCH(D315,Lookup_Practice!$A$2:$A$7,0))</f>
        <v>Basic</v>
      </c>
      <c r="O315" s="3" t="str">
        <f t="array" ref="O315">XLOOKUP(D315,Lookup_Practice!$A$2:$A$7,Lookup_Practice!$B$2:$B$7)</f>
        <v>Basic</v>
      </c>
    </row>
    <row r="316">
      <c r="A316" s="1">
        <v>28.0</v>
      </c>
      <c r="B316" s="1" t="s">
        <v>14</v>
      </c>
      <c r="C316" s="1" t="s">
        <v>15</v>
      </c>
      <c r="D316" s="1" t="s">
        <v>16</v>
      </c>
      <c r="E316" s="1" t="s">
        <v>17</v>
      </c>
      <c r="F316" s="1">
        <v>1100.0</v>
      </c>
      <c r="G316" s="1">
        <v>15.0</v>
      </c>
      <c r="H316" s="2">
        <v>45241.0</v>
      </c>
      <c r="I316" s="3" t="str">
        <f t="shared" si="1"/>
        <v>Young Adult (18-35)</v>
      </c>
      <c r="J316" s="3">
        <f t="shared" si="2"/>
        <v>11</v>
      </c>
      <c r="K316" s="3">
        <f t="shared" si="3"/>
        <v>2023</v>
      </c>
      <c r="L316" s="3" t="str">
        <f t="shared" si="4"/>
        <v>November</v>
      </c>
      <c r="M316" s="3" t="str">
        <f>VLOOKUP(D316,Lookup_Practice!$A$2:$B$7,2,FALSE)</f>
        <v>Premium</v>
      </c>
      <c r="N316" s="3" t="str">
        <f t="array" ref="N316">INDEX(Lookup_Practice!$B$2:$B$7,MATCH(D316,Lookup_Practice!$A$2:$A$7,0))</f>
        <v>Premium</v>
      </c>
      <c r="O316" s="3" t="str">
        <f t="array" ref="O316">XLOOKUP(D316,Lookup_Practice!$A$2:$A$7,Lookup_Practice!$B$2:$B$7)</f>
        <v>Premium</v>
      </c>
    </row>
    <row r="317">
      <c r="A317" s="1">
        <v>17.0</v>
      </c>
      <c r="B317" s="1" t="s">
        <v>18</v>
      </c>
      <c r="C317" s="1" t="s">
        <v>21</v>
      </c>
      <c r="D317" s="1" t="s">
        <v>22</v>
      </c>
      <c r="E317" s="1" t="s">
        <v>17</v>
      </c>
      <c r="F317" s="1">
        <v>826.0</v>
      </c>
      <c r="G317" s="1">
        <v>7.0</v>
      </c>
      <c r="H317" s="2">
        <v>45331.0</v>
      </c>
      <c r="I317" s="3" t="str">
        <f t="shared" si="1"/>
        <v>Child (0-17)</v>
      </c>
      <c r="J317" s="3">
        <f t="shared" si="2"/>
        <v>2</v>
      </c>
      <c r="K317" s="3">
        <f t="shared" si="3"/>
        <v>2024</v>
      </c>
      <c r="L317" s="3" t="str">
        <f t="shared" si="4"/>
        <v>February</v>
      </c>
      <c r="M317" s="3" t="str">
        <f>VLOOKUP(D317,Lookup_Practice!$A$2:$B$7,2,FALSE)</f>
        <v>Basic</v>
      </c>
      <c r="N317" s="3" t="str">
        <f t="array" ref="N317">INDEX(Lookup_Practice!$B$2:$B$7,MATCH(D317,Lookup_Practice!$A$2:$A$7,0))</f>
        <v>Basic</v>
      </c>
      <c r="O317" s="3" t="str">
        <f t="array" ref="O317">XLOOKUP(D317,Lookup_Practice!$A$2:$A$7,Lookup_Practice!$B$2:$B$7)</f>
        <v>Basic</v>
      </c>
    </row>
    <row r="318">
      <c r="A318" s="1">
        <v>64.0</v>
      </c>
      <c r="B318" s="1" t="s">
        <v>18</v>
      </c>
      <c r="C318" s="1" t="s">
        <v>29</v>
      </c>
      <c r="D318" s="1" t="s">
        <v>30</v>
      </c>
      <c r="E318" s="1" t="s">
        <v>28</v>
      </c>
      <c r="F318" s="1">
        <v>1156.0</v>
      </c>
      <c r="G318" s="1">
        <v>17.0</v>
      </c>
      <c r="H318" s="2">
        <v>45298.0</v>
      </c>
      <c r="I318" s="3" t="str">
        <f t="shared" si="1"/>
        <v>Senior (56+)</v>
      </c>
      <c r="J318" s="3">
        <f t="shared" si="2"/>
        <v>1</v>
      </c>
      <c r="K318" s="3">
        <f t="shared" si="3"/>
        <v>2024</v>
      </c>
      <c r="L318" s="3" t="str">
        <f t="shared" si="4"/>
        <v>January</v>
      </c>
      <c r="M318" s="3" t="str">
        <f>VLOOKUP(D318,Lookup_Practice!$A$2:$B$7,2,FALSE)</f>
        <v>Standard</v>
      </c>
      <c r="N318" s="3" t="str">
        <f t="array" ref="N318">INDEX(Lookup_Practice!$B$2:$B$7,MATCH(D318,Lookup_Practice!$A$2:$A$7,0))</f>
        <v>Standard</v>
      </c>
      <c r="O318" s="3" t="str">
        <f t="array" ref="O318">XLOOKUP(D318,Lookup_Practice!$A$2:$A$7,Lookup_Practice!$B$2:$B$7)</f>
        <v>Standard</v>
      </c>
    </row>
    <row r="319">
      <c r="A319" s="1">
        <v>11.0</v>
      </c>
      <c r="B319" s="1" t="s">
        <v>18</v>
      </c>
      <c r="C319" s="1" t="s">
        <v>29</v>
      </c>
      <c r="D319" s="1" t="s">
        <v>20</v>
      </c>
      <c r="E319" s="1" t="s">
        <v>17</v>
      </c>
      <c r="F319" s="1">
        <v>1563.0</v>
      </c>
      <c r="G319" s="1">
        <v>2.0</v>
      </c>
      <c r="H319" s="2">
        <v>45548.0</v>
      </c>
      <c r="I319" s="3" t="str">
        <f t="shared" si="1"/>
        <v>Child (0-17)</v>
      </c>
      <c r="J319" s="3">
        <f t="shared" si="2"/>
        <v>9</v>
      </c>
      <c r="K319" s="3">
        <f t="shared" si="3"/>
        <v>2024</v>
      </c>
      <c r="L319" s="3" t="str">
        <f t="shared" si="4"/>
        <v>September</v>
      </c>
      <c r="M319" s="3" t="str">
        <f>VLOOKUP(D319,Lookup_Practice!$A$2:$B$7,2,FALSE)</f>
        <v>Standard</v>
      </c>
      <c r="N319" s="3" t="str">
        <f t="array" ref="N319">INDEX(Lookup_Practice!$B$2:$B$7,MATCH(D319,Lookup_Practice!$A$2:$A$7,0))</f>
        <v>Standard</v>
      </c>
      <c r="O319" s="3" t="str">
        <f t="array" ref="O319">XLOOKUP(D319,Lookup_Practice!$A$2:$A$7,Lookup_Practice!$B$2:$B$7)</f>
        <v>Standard</v>
      </c>
    </row>
    <row r="320">
      <c r="A320" s="1">
        <v>61.0</v>
      </c>
      <c r="B320" s="1" t="s">
        <v>18</v>
      </c>
      <c r="C320" s="1" t="s">
        <v>21</v>
      </c>
      <c r="D320" s="1" t="s">
        <v>30</v>
      </c>
      <c r="E320" s="1" t="s">
        <v>24</v>
      </c>
      <c r="F320" s="1">
        <v>934.0</v>
      </c>
      <c r="G320" s="1">
        <v>9.0</v>
      </c>
      <c r="H320" s="2">
        <v>45628.0</v>
      </c>
      <c r="I320" s="3" t="str">
        <f t="shared" si="1"/>
        <v>Senior (56+)</v>
      </c>
      <c r="J320" s="3">
        <f t="shared" si="2"/>
        <v>12</v>
      </c>
      <c r="K320" s="3">
        <f t="shared" si="3"/>
        <v>2024</v>
      </c>
      <c r="L320" s="3" t="str">
        <f t="shared" si="4"/>
        <v>December</v>
      </c>
      <c r="M320" s="3" t="str">
        <f>VLOOKUP(D320,Lookup_Practice!$A$2:$B$7,2,FALSE)</f>
        <v>Standard</v>
      </c>
      <c r="N320" s="3" t="str">
        <f t="array" ref="N320">INDEX(Lookup_Practice!$B$2:$B$7,MATCH(D320,Lookup_Practice!$A$2:$A$7,0))</f>
        <v>Standard</v>
      </c>
      <c r="O320" s="3" t="str">
        <f t="array" ref="O320">XLOOKUP(D320,Lookup_Practice!$A$2:$A$7,Lookup_Practice!$B$2:$B$7)</f>
        <v>Standard</v>
      </c>
    </row>
    <row r="321">
      <c r="A321" s="1">
        <v>40.0</v>
      </c>
      <c r="B321" s="1" t="s">
        <v>14</v>
      </c>
      <c r="C321" s="1" t="s">
        <v>19</v>
      </c>
      <c r="D321" s="1" t="s">
        <v>20</v>
      </c>
      <c r="E321" s="1" t="s">
        <v>17</v>
      </c>
      <c r="F321" s="1">
        <v>1593.0</v>
      </c>
      <c r="G321" s="1">
        <v>9.0</v>
      </c>
      <c r="H321" s="2">
        <v>45634.0</v>
      </c>
      <c r="I321" s="3" t="str">
        <f t="shared" si="1"/>
        <v>Middle Age (36-55)</v>
      </c>
      <c r="J321" s="3">
        <f t="shared" si="2"/>
        <v>12</v>
      </c>
      <c r="K321" s="3">
        <f t="shared" si="3"/>
        <v>2024</v>
      </c>
      <c r="L321" s="3" t="str">
        <f t="shared" si="4"/>
        <v>December</v>
      </c>
      <c r="M321" s="3" t="str">
        <f>VLOOKUP(D321,Lookup_Practice!$A$2:$B$7,2,FALSE)</f>
        <v>Standard</v>
      </c>
      <c r="N321" s="3" t="str">
        <f t="array" ref="N321">INDEX(Lookup_Practice!$B$2:$B$7,MATCH(D321,Lookup_Practice!$A$2:$A$7,0))</f>
        <v>Standard</v>
      </c>
      <c r="O321" s="3" t="str">
        <f t="array" ref="O321">XLOOKUP(D321,Lookup_Practice!$A$2:$A$7,Lookup_Practice!$B$2:$B$7)</f>
        <v>Standard</v>
      </c>
    </row>
    <row r="322">
      <c r="A322" s="1">
        <v>49.0</v>
      </c>
      <c r="B322" s="1" t="s">
        <v>18</v>
      </c>
      <c r="C322" s="1" t="s">
        <v>15</v>
      </c>
      <c r="D322" s="1" t="s">
        <v>30</v>
      </c>
      <c r="E322" s="1" t="s">
        <v>17</v>
      </c>
      <c r="F322" s="1">
        <v>1090.0</v>
      </c>
      <c r="G322" s="1">
        <v>13.0</v>
      </c>
      <c r="H322" s="2">
        <v>44964.0</v>
      </c>
      <c r="I322" s="3" t="str">
        <f t="shared" si="1"/>
        <v>Middle Age (36-55)</v>
      </c>
      <c r="J322" s="3">
        <f t="shared" si="2"/>
        <v>2</v>
      </c>
      <c r="K322" s="3">
        <f t="shared" si="3"/>
        <v>2023</v>
      </c>
      <c r="L322" s="3" t="str">
        <f t="shared" si="4"/>
        <v>February</v>
      </c>
      <c r="M322" s="3" t="str">
        <f>VLOOKUP(D322,Lookup_Practice!$A$2:$B$7,2,FALSE)</f>
        <v>Standard</v>
      </c>
      <c r="N322" s="3" t="str">
        <f t="array" ref="N322">INDEX(Lookup_Practice!$B$2:$B$7,MATCH(D322,Lookup_Practice!$A$2:$A$7,0))</f>
        <v>Standard</v>
      </c>
      <c r="O322" s="3" t="str">
        <f t="array" ref="O322">XLOOKUP(D322,Lookup_Practice!$A$2:$A$7,Lookup_Practice!$B$2:$B$7)</f>
        <v>Standard</v>
      </c>
    </row>
    <row r="323">
      <c r="A323" s="1">
        <v>24.0</v>
      </c>
      <c r="B323" s="1" t="s">
        <v>14</v>
      </c>
      <c r="C323" s="1" t="s">
        <v>29</v>
      </c>
      <c r="D323" s="1" t="s">
        <v>22</v>
      </c>
      <c r="E323" s="1" t="s">
        <v>17</v>
      </c>
      <c r="F323" s="1">
        <v>803.0</v>
      </c>
      <c r="G323" s="1">
        <v>6.0</v>
      </c>
      <c r="H323" s="2">
        <v>45528.0</v>
      </c>
      <c r="I323" s="3" t="str">
        <f t="shared" si="1"/>
        <v>Young Adult (18-35)</v>
      </c>
      <c r="J323" s="3">
        <f t="shared" si="2"/>
        <v>8</v>
      </c>
      <c r="K323" s="3">
        <f t="shared" si="3"/>
        <v>2024</v>
      </c>
      <c r="L323" s="3" t="str">
        <f t="shared" si="4"/>
        <v>August</v>
      </c>
      <c r="M323" s="3" t="str">
        <f>VLOOKUP(D323,Lookup_Practice!$A$2:$B$7,2,FALSE)</f>
        <v>Basic</v>
      </c>
      <c r="N323" s="3" t="str">
        <f t="array" ref="N323">INDEX(Lookup_Practice!$B$2:$B$7,MATCH(D323,Lookup_Practice!$A$2:$A$7,0))</f>
        <v>Basic</v>
      </c>
      <c r="O323" s="3" t="str">
        <f t="array" ref="O323">XLOOKUP(D323,Lookup_Practice!$A$2:$A$7,Lookup_Practice!$B$2:$B$7)</f>
        <v>Basic</v>
      </c>
    </row>
    <row r="324">
      <c r="A324" s="1">
        <v>69.0</v>
      </c>
      <c r="B324" s="1" t="s">
        <v>18</v>
      </c>
      <c r="C324" s="1" t="s">
        <v>25</v>
      </c>
      <c r="D324" s="1" t="s">
        <v>22</v>
      </c>
      <c r="E324" s="1" t="s">
        <v>17</v>
      </c>
      <c r="F324" s="1">
        <v>722.0</v>
      </c>
      <c r="G324" s="1">
        <v>6.0</v>
      </c>
      <c r="H324" s="2">
        <v>45547.0</v>
      </c>
      <c r="I324" s="3" t="str">
        <f t="shared" si="1"/>
        <v>Senior (56+)</v>
      </c>
      <c r="J324" s="3">
        <f t="shared" si="2"/>
        <v>9</v>
      </c>
      <c r="K324" s="3">
        <f t="shared" si="3"/>
        <v>2024</v>
      </c>
      <c r="L324" s="3" t="str">
        <f t="shared" si="4"/>
        <v>September</v>
      </c>
      <c r="M324" s="3" t="str">
        <f>VLOOKUP(D324,Lookup_Practice!$A$2:$B$7,2,FALSE)</f>
        <v>Basic</v>
      </c>
      <c r="N324" s="3" t="str">
        <f t="array" ref="N324">INDEX(Lookup_Practice!$B$2:$B$7,MATCH(D324,Lookup_Practice!$A$2:$A$7,0))</f>
        <v>Basic</v>
      </c>
      <c r="O324" s="3" t="str">
        <f t="array" ref="O324">XLOOKUP(D324,Lookup_Practice!$A$2:$A$7,Lookup_Practice!$B$2:$B$7)</f>
        <v>Basic</v>
      </c>
    </row>
    <row r="325">
      <c r="A325" s="1">
        <v>12.0</v>
      </c>
      <c r="B325" s="1" t="s">
        <v>18</v>
      </c>
      <c r="C325" s="1" t="s">
        <v>32</v>
      </c>
      <c r="D325" s="1" t="s">
        <v>26</v>
      </c>
      <c r="E325" s="1" t="s">
        <v>17</v>
      </c>
      <c r="F325" s="1">
        <v>664.0</v>
      </c>
      <c r="G325" s="1">
        <v>20.0</v>
      </c>
      <c r="H325" s="2">
        <v>45035.0</v>
      </c>
      <c r="I325" s="3" t="str">
        <f t="shared" si="1"/>
        <v>Child (0-17)</v>
      </c>
      <c r="J325" s="3">
        <f t="shared" si="2"/>
        <v>4</v>
      </c>
      <c r="K325" s="3">
        <f t="shared" si="3"/>
        <v>2023</v>
      </c>
      <c r="L325" s="3" t="str">
        <f t="shared" si="4"/>
        <v>April</v>
      </c>
      <c r="M325" s="3" t="str">
        <f>VLOOKUP(D325,Lookup_Practice!$A$2:$B$7,2,FALSE)</f>
        <v>Premium</v>
      </c>
      <c r="N325" s="3" t="str">
        <f t="array" ref="N325">INDEX(Lookup_Practice!$B$2:$B$7,MATCH(D325,Lookup_Practice!$A$2:$A$7,0))</f>
        <v>Premium</v>
      </c>
      <c r="O325" s="3" t="str">
        <f t="array" ref="O325">XLOOKUP(D325,Lookup_Practice!$A$2:$A$7,Lookup_Practice!$B$2:$B$7)</f>
        <v>Premium</v>
      </c>
    </row>
    <row r="326">
      <c r="A326" s="1">
        <v>20.0</v>
      </c>
      <c r="B326" s="1" t="s">
        <v>18</v>
      </c>
      <c r="C326" s="1" t="s">
        <v>29</v>
      </c>
      <c r="D326" s="1" t="s">
        <v>16</v>
      </c>
      <c r="E326" s="1" t="s">
        <v>17</v>
      </c>
      <c r="F326" s="1">
        <v>1189.0</v>
      </c>
      <c r="G326" s="1">
        <v>20.0</v>
      </c>
      <c r="H326" s="2">
        <v>45511.0</v>
      </c>
      <c r="I326" s="3" t="str">
        <f t="shared" si="1"/>
        <v>Young Adult (18-35)</v>
      </c>
      <c r="J326" s="3">
        <f t="shared" si="2"/>
        <v>8</v>
      </c>
      <c r="K326" s="3">
        <f t="shared" si="3"/>
        <v>2024</v>
      </c>
      <c r="L326" s="3" t="str">
        <f t="shared" si="4"/>
        <v>August</v>
      </c>
      <c r="M326" s="3" t="str">
        <f>VLOOKUP(D326,Lookup_Practice!$A$2:$B$7,2,FALSE)</f>
        <v>Premium</v>
      </c>
      <c r="N326" s="3" t="str">
        <f t="array" ref="N326">INDEX(Lookup_Practice!$B$2:$B$7,MATCH(D326,Lookup_Practice!$A$2:$A$7,0))</f>
        <v>Premium</v>
      </c>
      <c r="O326" s="3" t="str">
        <f t="array" ref="O326">XLOOKUP(D326,Lookup_Practice!$A$2:$A$7,Lookup_Practice!$B$2:$B$7)</f>
        <v>Premium</v>
      </c>
    </row>
    <row r="327">
      <c r="A327" s="1">
        <v>18.0</v>
      </c>
      <c r="B327" s="1" t="s">
        <v>14</v>
      </c>
      <c r="C327" s="1" t="s">
        <v>29</v>
      </c>
      <c r="D327" s="1" t="s">
        <v>30</v>
      </c>
      <c r="E327" s="1" t="s">
        <v>24</v>
      </c>
      <c r="F327" s="1">
        <v>1159.0</v>
      </c>
      <c r="G327" s="1">
        <v>3.0</v>
      </c>
      <c r="H327" s="2">
        <v>45545.0</v>
      </c>
      <c r="I327" s="3" t="str">
        <f t="shared" si="1"/>
        <v>Young Adult (18-35)</v>
      </c>
      <c r="J327" s="3">
        <f t="shared" si="2"/>
        <v>9</v>
      </c>
      <c r="K327" s="3">
        <f t="shared" si="3"/>
        <v>2024</v>
      </c>
      <c r="L327" s="3" t="str">
        <f t="shared" si="4"/>
        <v>September</v>
      </c>
      <c r="M327" s="3" t="str">
        <f>VLOOKUP(D327,Lookup_Practice!$A$2:$B$7,2,FALSE)</f>
        <v>Standard</v>
      </c>
      <c r="N327" s="3" t="str">
        <f t="array" ref="N327">INDEX(Lookup_Practice!$B$2:$B$7,MATCH(D327,Lookup_Practice!$A$2:$A$7,0))</f>
        <v>Standard</v>
      </c>
      <c r="O327" s="3" t="str">
        <f t="array" ref="O327">XLOOKUP(D327,Lookup_Practice!$A$2:$A$7,Lookup_Practice!$B$2:$B$7)</f>
        <v>Standard</v>
      </c>
    </row>
    <row r="328">
      <c r="A328" s="1">
        <v>19.0</v>
      </c>
      <c r="B328" s="1" t="s">
        <v>14</v>
      </c>
      <c r="C328" s="1" t="s">
        <v>31</v>
      </c>
      <c r="D328" s="1" t="s">
        <v>23</v>
      </c>
      <c r="E328" s="1" t="s">
        <v>17</v>
      </c>
      <c r="F328" s="1">
        <v>1174.0</v>
      </c>
      <c r="G328" s="1">
        <v>17.0</v>
      </c>
      <c r="H328" s="2">
        <v>45224.0</v>
      </c>
      <c r="I328" s="3" t="str">
        <f t="shared" si="1"/>
        <v>Young Adult (18-35)</v>
      </c>
      <c r="J328" s="3">
        <f t="shared" si="2"/>
        <v>10</v>
      </c>
      <c r="K328" s="3">
        <f t="shared" si="3"/>
        <v>2023</v>
      </c>
      <c r="L328" s="3" t="str">
        <f t="shared" si="4"/>
        <v>October</v>
      </c>
      <c r="M328" s="3" t="str">
        <f>VLOOKUP(D328,Lookup_Practice!$A$2:$B$7,2,FALSE)</f>
        <v>Standard</v>
      </c>
      <c r="N328" s="3" t="str">
        <f t="array" ref="N328">INDEX(Lookup_Practice!$B$2:$B$7,MATCH(D328,Lookup_Practice!$A$2:$A$7,0))</f>
        <v>Standard</v>
      </c>
      <c r="O328" s="3" t="str">
        <f t="array" ref="O328">XLOOKUP(D328,Lookup_Practice!$A$2:$A$7,Lookup_Practice!$B$2:$B$7)</f>
        <v>Standard</v>
      </c>
    </row>
    <row r="329">
      <c r="A329" s="1">
        <v>70.0</v>
      </c>
      <c r="B329" s="1" t="s">
        <v>18</v>
      </c>
      <c r="C329" s="1" t="s">
        <v>21</v>
      </c>
      <c r="D329" s="1" t="s">
        <v>26</v>
      </c>
      <c r="E329" s="1" t="s">
        <v>17</v>
      </c>
      <c r="F329" s="1">
        <v>471.0</v>
      </c>
      <c r="G329" s="1">
        <v>17.0</v>
      </c>
      <c r="H329" s="2">
        <v>45581.0</v>
      </c>
      <c r="I329" s="3" t="str">
        <f t="shared" si="1"/>
        <v>Senior (56+)</v>
      </c>
      <c r="J329" s="3">
        <f t="shared" si="2"/>
        <v>10</v>
      </c>
      <c r="K329" s="3">
        <f t="shared" si="3"/>
        <v>2024</v>
      </c>
      <c r="L329" s="3" t="str">
        <f t="shared" si="4"/>
        <v>October</v>
      </c>
      <c r="M329" s="3" t="str">
        <f>VLOOKUP(D329,Lookup_Practice!$A$2:$B$7,2,FALSE)</f>
        <v>Premium</v>
      </c>
      <c r="N329" s="3" t="str">
        <f t="array" ref="N329">INDEX(Lookup_Practice!$B$2:$B$7,MATCH(D329,Lookup_Practice!$A$2:$A$7,0))</f>
        <v>Premium</v>
      </c>
      <c r="O329" s="3" t="str">
        <f t="array" ref="O329">XLOOKUP(D329,Lookup_Practice!$A$2:$A$7,Lookup_Practice!$B$2:$B$7)</f>
        <v>Premium</v>
      </c>
    </row>
    <row r="330">
      <c r="A330" s="1">
        <v>36.0</v>
      </c>
      <c r="B330" s="1" t="s">
        <v>18</v>
      </c>
      <c r="C330" s="1" t="s">
        <v>21</v>
      </c>
      <c r="D330" s="1" t="s">
        <v>30</v>
      </c>
      <c r="E330" s="1" t="s">
        <v>17</v>
      </c>
      <c r="F330" s="1">
        <v>1158.0</v>
      </c>
      <c r="G330" s="1">
        <v>12.0</v>
      </c>
      <c r="H330" s="2">
        <v>45415.0</v>
      </c>
      <c r="I330" s="3" t="str">
        <f t="shared" si="1"/>
        <v>Middle Age (36-55)</v>
      </c>
      <c r="J330" s="3">
        <f t="shared" si="2"/>
        <v>5</v>
      </c>
      <c r="K330" s="3">
        <f t="shared" si="3"/>
        <v>2024</v>
      </c>
      <c r="L330" s="3" t="str">
        <f t="shared" si="4"/>
        <v>May</v>
      </c>
      <c r="M330" s="3" t="str">
        <f>VLOOKUP(D330,Lookup_Practice!$A$2:$B$7,2,FALSE)</f>
        <v>Standard</v>
      </c>
      <c r="N330" s="3" t="str">
        <f t="array" ref="N330">INDEX(Lookup_Practice!$B$2:$B$7,MATCH(D330,Lookup_Practice!$A$2:$A$7,0))</f>
        <v>Standard</v>
      </c>
      <c r="O330" s="3" t="str">
        <f t="array" ref="O330">XLOOKUP(D330,Lookup_Practice!$A$2:$A$7,Lookup_Practice!$B$2:$B$7)</f>
        <v>Standard</v>
      </c>
    </row>
    <row r="331">
      <c r="A331" s="1">
        <v>67.0</v>
      </c>
      <c r="B331" s="1" t="s">
        <v>14</v>
      </c>
      <c r="C331" s="1" t="s">
        <v>29</v>
      </c>
      <c r="D331" s="1" t="s">
        <v>30</v>
      </c>
      <c r="E331" s="1" t="s">
        <v>17</v>
      </c>
      <c r="F331" s="1">
        <v>1087.0</v>
      </c>
      <c r="G331" s="1">
        <v>16.0</v>
      </c>
      <c r="H331" s="2">
        <v>45483.0</v>
      </c>
      <c r="I331" s="3" t="str">
        <f t="shared" si="1"/>
        <v>Senior (56+)</v>
      </c>
      <c r="J331" s="3">
        <f t="shared" si="2"/>
        <v>7</v>
      </c>
      <c r="K331" s="3">
        <f t="shared" si="3"/>
        <v>2024</v>
      </c>
      <c r="L331" s="3" t="str">
        <f t="shared" si="4"/>
        <v>July</v>
      </c>
      <c r="M331" s="3" t="str">
        <f>VLOOKUP(D331,Lookup_Practice!$A$2:$B$7,2,FALSE)</f>
        <v>Standard</v>
      </c>
      <c r="N331" s="3" t="str">
        <f t="array" ref="N331">INDEX(Lookup_Practice!$B$2:$B$7,MATCH(D331,Lookup_Practice!$A$2:$A$7,0))</f>
        <v>Standard</v>
      </c>
      <c r="O331" s="3" t="str">
        <f t="array" ref="O331">XLOOKUP(D331,Lookup_Practice!$A$2:$A$7,Lookup_Practice!$B$2:$B$7)</f>
        <v>Standard</v>
      </c>
    </row>
    <row r="332">
      <c r="A332" s="1">
        <v>55.0</v>
      </c>
      <c r="B332" s="1" t="s">
        <v>18</v>
      </c>
      <c r="C332" s="1" t="s">
        <v>15</v>
      </c>
      <c r="D332" s="1" t="s">
        <v>26</v>
      </c>
      <c r="E332" s="1" t="s">
        <v>17</v>
      </c>
      <c r="F332" s="1">
        <v>572.0</v>
      </c>
      <c r="G332" s="1">
        <v>15.0</v>
      </c>
      <c r="H332" s="2">
        <v>45205.0</v>
      </c>
      <c r="I332" s="3" t="str">
        <f t="shared" si="1"/>
        <v>Middle Age (36-55)</v>
      </c>
      <c r="J332" s="3">
        <f t="shared" si="2"/>
        <v>10</v>
      </c>
      <c r="K332" s="3">
        <f t="shared" si="3"/>
        <v>2023</v>
      </c>
      <c r="L332" s="3" t="str">
        <f t="shared" si="4"/>
        <v>October</v>
      </c>
      <c r="M332" s="3" t="str">
        <f>VLOOKUP(D332,Lookup_Practice!$A$2:$B$7,2,FALSE)</f>
        <v>Premium</v>
      </c>
      <c r="N332" s="3" t="str">
        <f t="array" ref="N332">INDEX(Lookup_Practice!$B$2:$B$7,MATCH(D332,Lookup_Practice!$A$2:$A$7,0))</f>
        <v>Premium</v>
      </c>
      <c r="O332" s="3" t="str">
        <f t="array" ref="O332">XLOOKUP(D332,Lookup_Practice!$A$2:$A$7,Lookup_Practice!$B$2:$B$7)</f>
        <v>Premium</v>
      </c>
    </row>
    <row r="333">
      <c r="A333" s="1">
        <v>29.0</v>
      </c>
      <c r="B333" s="1" t="s">
        <v>18</v>
      </c>
      <c r="C333" s="1" t="s">
        <v>29</v>
      </c>
      <c r="D333" s="1" t="s">
        <v>22</v>
      </c>
      <c r="E333" s="1" t="s">
        <v>17</v>
      </c>
      <c r="F333" s="1">
        <v>989.0</v>
      </c>
      <c r="G333" s="1">
        <v>13.0</v>
      </c>
      <c r="H333" s="2">
        <v>45400.0</v>
      </c>
      <c r="I333" s="3" t="str">
        <f t="shared" si="1"/>
        <v>Young Adult (18-35)</v>
      </c>
      <c r="J333" s="3">
        <f t="shared" si="2"/>
        <v>4</v>
      </c>
      <c r="K333" s="3">
        <f t="shared" si="3"/>
        <v>2024</v>
      </c>
      <c r="L333" s="3" t="str">
        <f t="shared" si="4"/>
        <v>April</v>
      </c>
      <c r="M333" s="3" t="str">
        <f>VLOOKUP(D333,Lookup_Practice!$A$2:$B$7,2,FALSE)</f>
        <v>Basic</v>
      </c>
      <c r="N333" s="3" t="str">
        <f t="array" ref="N333">INDEX(Lookup_Practice!$B$2:$B$7,MATCH(D333,Lookup_Practice!$A$2:$A$7,0))</f>
        <v>Basic</v>
      </c>
      <c r="O333" s="3" t="str">
        <f t="array" ref="O333">XLOOKUP(D333,Lookup_Practice!$A$2:$A$7,Lookup_Practice!$B$2:$B$7)</f>
        <v>Basic</v>
      </c>
    </row>
    <row r="334">
      <c r="A334" s="1">
        <v>62.0</v>
      </c>
      <c r="B334" s="1" t="s">
        <v>14</v>
      </c>
      <c r="C334" s="1" t="s">
        <v>21</v>
      </c>
      <c r="D334" s="1" t="s">
        <v>30</v>
      </c>
      <c r="E334" s="1" t="s">
        <v>17</v>
      </c>
      <c r="F334" s="1">
        <v>944.0</v>
      </c>
      <c r="G334" s="1">
        <v>1.0</v>
      </c>
      <c r="H334" s="2">
        <v>44944.0</v>
      </c>
      <c r="I334" s="3" t="str">
        <f t="shared" si="1"/>
        <v>Senior (56+)</v>
      </c>
      <c r="J334" s="3">
        <f t="shared" si="2"/>
        <v>1</v>
      </c>
      <c r="K334" s="3">
        <f t="shared" si="3"/>
        <v>2023</v>
      </c>
      <c r="L334" s="3" t="str">
        <f t="shared" si="4"/>
        <v>January</v>
      </c>
      <c r="M334" s="3" t="str">
        <f>VLOOKUP(D334,Lookup_Practice!$A$2:$B$7,2,FALSE)</f>
        <v>Standard</v>
      </c>
      <c r="N334" s="3" t="str">
        <f t="array" ref="N334">INDEX(Lookup_Practice!$B$2:$B$7,MATCH(D334,Lookup_Practice!$A$2:$A$7,0))</f>
        <v>Standard</v>
      </c>
      <c r="O334" s="3" t="str">
        <f t="array" ref="O334">XLOOKUP(D334,Lookup_Practice!$A$2:$A$7,Lookup_Practice!$B$2:$B$7)</f>
        <v>Standard</v>
      </c>
    </row>
    <row r="335">
      <c r="A335" s="1">
        <v>67.0</v>
      </c>
      <c r="B335" s="1" t="s">
        <v>14</v>
      </c>
      <c r="C335" s="1" t="s">
        <v>15</v>
      </c>
      <c r="D335" s="1" t="s">
        <v>22</v>
      </c>
      <c r="E335" s="1" t="s">
        <v>17</v>
      </c>
      <c r="F335" s="1">
        <v>760.0</v>
      </c>
      <c r="G335" s="1">
        <v>17.0</v>
      </c>
      <c r="H335" s="2">
        <v>45356.0</v>
      </c>
      <c r="I335" s="3" t="str">
        <f t="shared" si="1"/>
        <v>Senior (56+)</v>
      </c>
      <c r="J335" s="3">
        <f t="shared" si="2"/>
        <v>3</v>
      </c>
      <c r="K335" s="3">
        <f t="shared" si="3"/>
        <v>2024</v>
      </c>
      <c r="L335" s="3" t="str">
        <f t="shared" si="4"/>
        <v>March</v>
      </c>
      <c r="M335" s="3" t="str">
        <f>VLOOKUP(D335,Lookup_Practice!$A$2:$B$7,2,FALSE)</f>
        <v>Basic</v>
      </c>
      <c r="N335" s="3" t="str">
        <f t="array" ref="N335">INDEX(Lookup_Practice!$B$2:$B$7,MATCH(D335,Lookup_Practice!$A$2:$A$7,0))</f>
        <v>Basic</v>
      </c>
      <c r="O335" s="3" t="str">
        <f t="array" ref="O335">XLOOKUP(D335,Lookup_Practice!$A$2:$A$7,Lookup_Practice!$B$2:$B$7)</f>
        <v>Basic</v>
      </c>
    </row>
    <row r="336">
      <c r="A336" s="1">
        <v>66.0</v>
      </c>
      <c r="B336" s="1" t="s">
        <v>18</v>
      </c>
      <c r="C336" s="1" t="s">
        <v>15</v>
      </c>
      <c r="D336" s="1" t="s">
        <v>26</v>
      </c>
      <c r="E336" s="1" t="s">
        <v>17</v>
      </c>
      <c r="F336" s="1">
        <v>482.0</v>
      </c>
      <c r="G336" s="1">
        <v>3.0</v>
      </c>
      <c r="H336" s="2">
        <v>45067.0</v>
      </c>
      <c r="I336" s="3" t="str">
        <f t="shared" si="1"/>
        <v>Senior (56+)</v>
      </c>
      <c r="J336" s="3">
        <f t="shared" si="2"/>
        <v>5</v>
      </c>
      <c r="K336" s="3">
        <f t="shared" si="3"/>
        <v>2023</v>
      </c>
      <c r="L336" s="3" t="str">
        <f t="shared" si="4"/>
        <v>May</v>
      </c>
      <c r="M336" s="3" t="str">
        <f>VLOOKUP(D336,Lookup_Practice!$A$2:$B$7,2,FALSE)</f>
        <v>Premium</v>
      </c>
      <c r="N336" s="3" t="str">
        <f t="array" ref="N336">INDEX(Lookup_Practice!$B$2:$B$7,MATCH(D336,Lookup_Practice!$A$2:$A$7,0))</f>
        <v>Premium</v>
      </c>
      <c r="O336" s="3" t="str">
        <f t="array" ref="O336">XLOOKUP(D336,Lookup_Practice!$A$2:$A$7,Lookup_Practice!$B$2:$B$7)</f>
        <v>Premium</v>
      </c>
    </row>
    <row r="337">
      <c r="A337" s="1">
        <v>26.0</v>
      </c>
      <c r="B337" s="1" t="s">
        <v>14</v>
      </c>
      <c r="C337" s="1" t="s">
        <v>15</v>
      </c>
      <c r="D337" s="1" t="s">
        <v>22</v>
      </c>
      <c r="E337" s="1" t="s">
        <v>24</v>
      </c>
      <c r="F337" s="1">
        <v>822.0</v>
      </c>
      <c r="G337" s="1">
        <v>15.0</v>
      </c>
      <c r="H337" s="2">
        <v>45358.0</v>
      </c>
      <c r="I337" s="3" t="str">
        <f t="shared" si="1"/>
        <v>Young Adult (18-35)</v>
      </c>
      <c r="J337" s="3">
        <f t="shared" si="2"/>
        <v>3</v>
      </c>
      <c r="K337" s="3">
        <f t="shared" si="3"/>
        <v>2024</v>
      </c>
      <c r="L337" s="3" t="str">
        <f t="shared" si="4"/>
        <v>March</v>
      </c>
      <c r="M337" s="3" t="str">
        <f>VLOOKUP(D337,Lookup_Practice!$A$2:$B$7,2,FALSE)</f>
        <v>Basic</v>
      </c>
      <c r="N337" s="3" t="str">
        <f t="array" ref="N337">INDEX(Lookup_Practice!$B$2:$B$7,MATCH(D337,Lookup_Practice!$A$2:$A$7,0))</f>
        <v>Basic</v>
      </c>
      <c r="O337" s="3" t="str">
        <f t="array" ref="O337">XLOOKUP(D337,Lookup_Practice!$A$2:$A$7,Lookup_Practice!$B$2:$B$7)</f>
        <v>Basic</v>
      </c>
    </row>
    <row r="338">
      <c r="A338" s="1">
        <v>62.0</v>
      </c>
      <c r="B338" s="1" t="s">
        <v>14</v>
      </c>
      <c r="C338" s="1" t="s">
        <v>25</v>
      </c>
      <c r="D338" s="1" t="s">
        <v>20</v>
      </c>
      <c r="E338" s="1" t="s">
        <v>17</v>
      </c>
      <c r="F338" s="1">
        <v>1415.0</v>
      </c>
      <c r="G338" s="1">
        <v>4.0</v>
      </c>
      <c r="H338" s="2">
        <v>45262.0</v>
      </c>
      <c r="I338" s="3" t="str">
        <f t="shared" si="1"/>
        <v>Senior (56+)</v>
      </c>
      <c r="J338" s="3">
        <f t="shared" si="2"/>
        <v>12</v>
      </c>
      <c r="K338" s="3">
        <f t="shared" si="3"/>
        <v>2023</v>
      </c>
      <c r="L338" s="3" t="str">
        <f t="shared" si="4"/>
        <v>December</v>
      </c>
      <c r="M338" s="3" t="str">
        <f>VLOOKUP(D338,Lookup_Practice!$A$2:$B$7,2,FALSE)</f>
        <v>Standard</v>
      </c>
      <c r="N338" s="3" t="str">
        <f t="array" ref="N338">INDEX(Lookup_Practice!$B$2:$B$7,MATCH(D338,Lookup_Practice!$A$2:$A$7,0))</f>
        <v>Standard</v>
      </c>
      <c r="O338" s="3" t="str">
        <f t="array" ref="O338">XLOOKUP(D338,Lookup_Practice!$A$2:$A$7,Lookup_Practice!$B$2:$B$7)</f>
        <v>Standard</v>
      </c>
    </row>
    <row r="339">
      <c r="A339" s="1">
        <v>62.0</v>
      </c>
      <c r="B339" s="1" t="s">
        <v>18</v>
      </c>
      <c r="C339" s="1" t="s">
        <v>15</v>
      </c>
      <c r="D339" s="1" t="s">
        <v>23</v>
      </c>
      <c r="E339" s="1" t="s">
        <v>17</v>
      </c>
      <c r="F339" s="1">
        <v>1165.0</v>
      </c>
      <c r="G339" s="1">
        <v>4.0</v>
      </c>
      <c r="H339" s="2">
        <v>45241.0</v>
      </c>
      <c r="I339" s="3" t="str">
        <f t="shared" si="1"/>
        <v>Senior (56+)</v>
      </c>
      <c r="J339" s="3">
        <f t="shared" si="2"/>
        <v>11</v>
      </c>
      <c r="K339" s="3">
        <f t="shared" si="3"/>
        <v>2023</v>
      </c>
      <c r="L339" s="3" t="str">
        <f t="shared" si="4"/>
        <v>November</v>
      </c>
      <c r="M339" s="3" t="str">
        <f>VLOOKUP(D339,Lookup_Practice!$A$2:$B$7,2,FALSE)</f>
        <v>Standard</v>
      </c>
      <c r="N339" s="3" t="str">
        <f t="array" ref="N339">INDEX(Lookup_Practice!$B$2:$B$7,MATCH(D339,Lookup_Practice!$A$2:$A$7,0))</f>
        <v>Standard</v>
      </c>
      <c r="O339" s="3" t="str">
        <f t="array" ref="O339">XLOOKUP(D339,Lookup_Practice!$A$2:$A$7,Lookup_Practice!$B$2:$B$7)</f>
        <v>Standard</v>
      </c>
    </row>
    <row r="340">
      <c r="A340" s="1">
        <v>53.0</v>
      </c>
      <c r="B340" s="1" t="s">
        <v>14</v>
      </c>
      <c r="C340" s="1" t="s">
        <v>15</v>
      </c>
      <c r="D340" s="1" t="s">
        <v>30</v>
      </c>
      <c r="E340" s="1" t="s">
        <v>17</v>
      </c>
      <c r="F340" s="1">
        <v>1044.0</v>
      </c>
      <c r="G340" s="1">
        <v>18.0</v>
      </c>
      <c r="H340" s="2">
        <v>45120.0</v>
      </c>
      <c r="I340" s="3" t="str">
        <f t="shared" si="1"/>
        <v>Middle Age (36-55)</v>
      </c>
      <c r="J340" s="3">
        <f t="shared" si="2"/>
        <v>7</v>
      </c>
      <c r="K340" s="3">
        <f t="shared" si="3"/>
        <v>2023</v>
      </c>
      <c r="L340" s="3" t="str">
        <f t="shared" si="4"/>
        <v>July</v>
      </c>
      <c r="M340" s="3" t="str">
        <f>VLOOKUP(D340,Lookup_Practice!$A$2:$B$7,2,FALSE)</f>
        <v>Standard</v>
      </c>
      <c r="N340" s="3" t="str">
        <f t="array" ref="N340">INDEX(Lookup_Practice!$B$2:$B$7,MATCH(D340,Lookup_Practice!$A$2:$A$7,0))</f>
        <v>Standard</v>
      </c>
      <c r="O340" s="3" t="str">
        <f t="array" ref="O340">XLOOKUP(D340,Lookup_Practice!$A$2:$A$7,Lookup_Practice!$B$2:$B$7)</f>
        <v>Standard</v>
      </c>
    </row>
    <row r="341">
      <c r="A341" s="1">
        <v>56.0</v>
      </c>
      <c r="B341" s="1" t="s">
        <v>14</v>
      </c>
      <c r="C341" s="1" t="s">
        <v>15</v>
      </c>
      <c r="D341" s="1" t="s">
        <v>16</v>
      </c>
      <c r="E341" s="1" t="s">
        <v>17</v>
      </c>
      <c r="F341" s="1">
        <v>1061.0</v>
      </c>
      <c r="G341" s="1">
        <v>17.0</v>
      </c>
      <c r="H341" s="2">
        <v>45283.0</v>
      </c>
      <c r="I341" s="3" t="str">
        <f t="shared" si="1"/>
        <v>Senior (56+)</v>
      </c>
      <c r="J341" s="3">
        <f t="shared" si="2"/>
        <v>12</v>
      </c>
      <c r="K341" s="3">
        <f t="shared" si="3"/>
        <v>2023</v>
      </c>
      <c r="L341" s="3" t="str">
        <f t="shared" si="4"/>
        <v>December</v>
      </c>
      <c r="M341" s="3" t="str">
        <f>VLOOKUP(D341,Lookup_Practice!$A$2:$B$7,2,FALSE)</f>
        <v>Premium</v>
      </c>
      <c r="N341" s="3" t="str">
        <f t="array" ref="N341">INDEX(Lookup_Practice!$B$2:$B$7,MATCH(D341,Lookup_Practice!$A$2:$A$7,0))</f>
        <v>Premium</v>
      </c>
      <c r="O341" s="3" t="str">
        <f t="array" ref="O341">XLOOKUP(D341,Lookup_Practice!$A$2:$A$7,Lookup_Practice!$B$2:$B$7)</f>
        <v>Premium</v>
      </c>
    </row>
    <row r="342">
      <c r="A342" s="1">
        <v>46.0</v>
      </c>
      <c r="B342" s="1" t="s">
        <v>18</v>
      </c>
      <c r="C342" s="1" t="s">
        <v>15</v>
      </c>
      <c r="D342" s="1" t="s">
        <v>23</v>
      </c>
      <c r="E342" s="1" t="s">
        <v>28</v>
      </c>
      <c r="F342" s="1">
        <v>1333.0</v>
      </c>
      <c r="G342" s="1">
        <v>19.0</v>
      </c>
      <c r="H342" s="2">
        <v>45174.0</v>
      </c>
      <c r="I342" s="3" t="str">
        <f t="shared" si="1"/>
        <v>Middle Age (36-55)</v>
      </c>
      <c r="J342" s="3">
        <f t="shared" si="2"/>
        <v>9</v>
      </c>
      <c r="K342" s="3">
        <f t="shared" si="3"/>
        <v>2023</v>
      </c>
      <c r="L342" s="3" t="str">
        <f t="shared" si="4"/>
        <v>September</v>
      </c>
      <c r="M342" s="3" t="str">
        <f>VLOOKUP(D342,Lookup_Practice!$A$2:$B$7,2,FALSE)</f>
        <v>Standard</v>
      </c>
      <c r="N342" s="3" t="str">
        <f t="array" ref="N342">INDEX(Lookup_Practice!$B$2:$B$7,MATCH(D342,Lookup_Practice!$A$2:$A$7,0))</f>
        <v>Standard</v>
      </c>
      <c r="O342" s="3" t="str">
        <f t="array" ref="O342">XLOOKUP(D342,Lookup_Practice!$A$2:$A$7,Lookup_Practice!$B$2:$B$7)</f>
        <v>Standard</v>
      </c>
    </row>
    <row r="343">
      <c r="A343" s="1">
        <v>74.0</v>
      </c>
      <c r="B343" s="1" t="s">
        <v>18</v>
      </c>
      <c r="C343" s="1" t="s">
        <v>31</v>
      </c>
      <c r="D343" s="1" t="s">
        <v>22</v>
      </c>
      <c r="E343" s="1" t="s">
        <v>17</v>
      </c>
      <c r="F343" s="1">
        <v>843.0</v>
      </c>
      <c r="G343" s="1">
        <v>11.0</v>
      </c>
      <c r="H343" s="2">
        <v>45266.0</v>
      </c>
      <c r="I343" s="3" t="str">
        <f t="shared" si="1"/>
        <v>Senior (56+)</v>
      </c>
      <c r="J343" s="3">
        <f t="shared" si="2"/>
        <v>12</v>
      </c>
      <c r="K343" s="3">
        <f t="shared" si="3"/>
        <v>2023</v>
      </c>
      <c r="L343" s="3" t="str">
        <f t="shared" si="4"/>
        <v>December</v>
      </c>
      <c r="M343" s="3" t="str">
        <f>VLOOKUP(D343,Lookup_Practice!$A$2:$B$7,2,FALSE)</f>
        <v>Basic</v>
      </c>
      <c r="N343" s="3" t="str">
        <f t="array" ref="N343">INDEX(Lookup_Practice!$B$2:$B$7,MATCH(D343,Lookup_Practice!$A$2:$A$7,0))</f>
        <v>Basic</v>
      </c>
      <c r="O343" s="3" t="str">
        <f t="array" ref="O343">XLOOKUP(D343,Lookup_Practice!$A$2:$A$7,Lookup_Practice!$B$2:$B$7)</f>
        <v>Basic</v>
      </c>
    </row>
    <row r="344">
      <c r="A344" s="1">
        <v>19.0</v>
      </c>
      <c r="B344" s="1" t="s">
        <v>18</v>
      </c>
      <c r="C344" s="1" t="s">
        <v>21</v>
      </c>
      <c r="D344" s="1" t="s">
        <v>30</v>
      </c>
      <c r="E344" s="1" t="s">
        <v>17</v>
      </c>
      <c r="F344" s="1">
        <v>1087.0</v>
      </c>
      <c r="G344" s="1">
        <v>20.0</v>
      </c>
      <c r="H344" s="2">
        <v>45467.0</v>
      </c>
      <c r="I344" s="3" t="str">
        <f t="shared" si="1"/>
        <v>Young Adult (18-35)</v>
      </c>
      <c r="J344" s="3">
        <f t="shared" si="2"/>
        <v>6</v>
      </c>
      <c r="K344" s="3">
        <f t="shared" si="3"/>
        <v>2024</v>
      </c>
      <c r="L344" s="3" t="str">
        <f t="shared" si="4"/>
        <v>June</v>
      </c>
      <c r="M344" s="3" t="str">
        <f>VLOOKUP(D344,Lookup_Practice!$A$2:$B$7,2,FALSE)</f>
        <v>Standard</v>
      </c>
      <c r="N344" s="3" t="str">
        <f t="array" ref="N344">INDEX(Lookup_Practice!$B$2:$B$7,MATCH(D344,Lookup_Practice!$A$2:$A$7,0))</f>
        <v>Standard</v>
      </c>
      <c r="O344" s="3" t="str">
        <f t="array" ref="O344">XLOOKUP(D344,Lookup_Practice!$A$2:$A$7,Lookup_Practice!$B$2:$B$7)</f>
        <v>Standard</v>
      </c>
    </row>
    <row r="345">
      <c r="A345" s="1">
        <v>58.0</v>
      </c>
      <c r="B345" s="1" t="s">
        <v>14</v>
      </c>
      <c r="C345" s="1" t="s">
        <v>25</v>
      </c>
      <c r="D345" s="1" t="s">
        <v>22</v>
      </c>
      <c r="E345" s="1" t="s">
        <v>17</v>
      </c>
      <c r="F345" s="1">
        <v>712.0</v>
      </c>
      <c r="G345" s="1">
        <v>3.0</v>
      </c>
      <c r="H345" s="2">
        <v>45591.0</v>
      </c>
      <c r="I345" s="3" t="str">
        <f t="shared" si="1"/>
        <v>Senior (56+)</v>
      </c>
      <c r="J345" s="3">
        <f t="shared" si="2"/>
        <v>10</v>
      </c>
      <c r="K345" s="3">
        <f t="shared" si="3"/>
        <v>2024</v>
      </c>
      <c r="L345" s="3" t="str">
        <f t="shared" si="4"/>
        <v>October</v>
      </c>
      <c r="M345" s="3" t="str">
        <f>VLOOKUP(D345,Lookup_Practice!$A$2:$B$7,2,FALSE)</f>
        <v>Basic</v>
      </c>
      <c r="N345" s="3" t="str">
        <f t="array" ref="N345">INDEX(Lookup_Practice!$B$2:$B$7,MATCH(D345,Lookup_Practice!$A$2:$A$7,0))</f>
        <v>Basic</v>
      </c>
      <c r="O345" s="3" t="str">
        <f t="array" ref="O345">XLOOKUP(D345,Lookup_Practice!$A$2:$A$7,Lookup_Practice!$B$2:$B$7)</f>
        <v>Basic</v>
      </c>
    </row>
    <row r="346">
      <c r="A346" s="1">
        <v>64.0</v>
      </c>
      <c r="B346" s="1" t="s">
        <v>18</v>
      </c>
      <c r="C346" s="1" t="s">
        <v>25</v>
      </c>
      <c r="D346" s="1" t="s">
        <v>20</v>
      </c>
      <c r="E346" s="1" t="s">
        <v>17</v>
      </c>
      <c r="F346" s="1">
        <v>1583.0</v>
      </c>
      <c r="G346" s="1">
        <v>8.0</v>
      </c>
      <c r="H346" s="2">
        <v>44940.0</v>
      </c>
      <c r="I346" s="3" t="str">
        <f t="shared" si="1"/>
        <v>Senior (56+)</v>
      </c>
      <c r="J346" s="3">
        <f t="shared" si="2"/>
        <v>1</v>
      </c>
      <c r="K346" s="3">
        <f t="shared" si="3"/>
        <v>2023</v>
      </c>
      <c r="L346" s="3" t="str">
        <f t="shared" si="4"/>
        <v>January</v>
      </c>
      <c r="M346" s="3" t="str">
        <f>VLOOKUP(D346,Lookup_Practice!$A$2:$B$7,2,FALSE)</f>
        <v>Standard</v>
      </c>
      <c r="N346" s="3" t="str">
        <f t="array" ref="N346">INDEX(Lookup_Practice!$B$2:$B$7,MATCH(D346,Lookup_Practice!$A$2:$A$7,0))</f>
        <v>Standard</v>
      </c>
      <c r="O346" s="3" t="str">
        <f t="array" ref="O346">XLOOKUP(D346,Lookup_Practice!$A$2:$A$7,Lookup_Practice!$B$2:$B$7)</f>
        <v>Standard</v>
      </c>
    </row>
    <row r="347">
      <c r="A347" s="1">
        <v>12.0</v>
      </c>
      <c r="B347" s="1" t="s">
        <v>14</v>
      </c>
      <c r="C347" s="1" t="s">
        <v>29</v>
      </c>
      <c r="D347" s="1" t="s">
        <v>26</v>
      </c>
      <c r="E347" s="1" t="s">
        <v>17</v>
      </c>
      <c r="F347" s="1">
        <v>510.0</v>
      </c>
      <c r="G347" s="1">
        <v>14.0</v>
      </c>
      <c r="H347" s="2">
        <v>45119.0</v>
      </c>
      <c r="I347" s="3" t="str">
        <f t="shared" si="1"/>
        <v>Child (0-17)</v>
      </c>
      <c r="J347" s="3">
        <f t="shared" si="2"/>
        <v>7</v>
      </c>
      <c r="K347" s="3">
        <f t="shared" si="3"/>
        <v>2023</v>
      </c>
      <c r="L347" s="3" t="str">
        <f t="shared" si="4"/>
        <v>July</v>
      </c>
      <c r="M347" s="3" t="str">
        <f>VLOOKUP(D347,Lookup_Practice!$A$2:$B$7,2,FALSE)</f>
        <v>Premium</v>
      </c>
      <c r="N347" s="3" t="str">
        <f t="array" ref="N347">INDEX(Lookup_Practice!$B$2:$B$7,MATCH(D347,Lookup_Practice!$A$2:$A$7,0))</f>
        <v>Premium</v>
      </c>
      <c r="O347" s="3" t="str">
        <f t="array" ref="O347">XLOOKUP(D347,Lookup_Practice!$A$2:$A$7,Lookup_Practice!$B$2:$B$7)</f>
        <v>Premium</v>
      </c>
    </row>
    <row r="348">
      <c r="A348" s="1">
        <v>57.0</v>
      </c>
      <c r="B348" s="1" t="s">
        <v>14</v>
      </c>
      <c r="C348" s="1" t="s">
        <v>25</v>
      </c>
      <c r="D348" s="1" t="s">
        <v>30</v>
      </c>
      <c r="E348" s="1" t="s">
        <v>17</v>
      </c>
      <c r="F348" s="1">
        <v>1189.0</v>
      </c>
      <c r="G348" s="1">
        <v>1.0</v>
      </c>
      <c r="H348" s="2">
        <v>44989.0</v>
      </c>
      <c r="I348" s="3" t="str">
        <f t="shared" si="1"/>
        <v>Senior (56+)</v>
      </c>
      <c r="J348" s="3">
        <f t="shared" si="2"/>
        <v>3</v>
      </c>
      <c r="K348" s="3">
        <f t="shared" si="3"/>
        <v>2023</v>
      </c>
      <c r="L348" s="3" t="str">
        <f t="shared" si="4"/>
        <v>March</v>
      </c>
      <c r="M348" s="3" t="str">
        <f>VLOOKUP(D348,Lookup_Practice!$A$2:$B$7,2,FALSE)</f>
        <v>Standard</v>
      </c>
      <c r="N348" s="3" t="str">
        <f t="array" ref="N348">INDEX(Lookup_Practice!$B$2:$B$7,MATCH(D348,Lookup_Practice!$A$2:$A$7,0))</f>
        <v>Standard</v>
      </c>
      <c r="O348" s="3" t="str">
        <f t="array" ref="O348">XLOOKUP(D348,Lookup_Practice!$A$2:$A$7,Lookup_Practice!$B$2:$B$7)</f>
        <v>Standard</v>
      </c>
    </row>
    <row r="349">
      <c r="A349" s="1">
        <v>64.0</v>
      </c>
      <c r="B349" s="1" t="s">
        <v>18</v>
      </c>
      <c r="C349" s="1" t="s">
        <v>31</v>
      </c>
      <c r="D349" s="1" t="s">
        <v>20</v>
      </c>
      <c r="E349" s="1" t="s">
        <v>28</v>
      </c>
      <c r="F349" s="1">
        <v>1694.0</v>
      </c>
      <c r="G349" s="1">
        <v>14.0</v>
      </c>
      <c r="H349" s="2">
        <v>45069.0</v>
      </c>
      <c r="I349" s="3" t="str">
        <f t="shared" si="1"/>
        <v>Senior (56+)</v>
      </c>
      <c r="J349" s="3">
        <f t="shared" si="2"/>
        <v>5</v>
      </c>
      <c r="K349" s="3">
        <f t="shared" si="3"/>
        <v>2023</v>
      </c>
      <c r="L349" s="3" t="str">
        <f t="shared" si="4"/>
        <v>May</v>
      </c>
      <c r="M349" s="3" t="str">
        <f>VLOOKUP(D349,Lookup_Practice!$A$2:$B$7,2,FALSE)</f>
        <v>Standard</v>
      </c>
      <c r="N349" s="3" t="str">
        <f t="array" ref="N349">INDEX(Lookup_Practice!$B$2:$B$7,MATCH(D349,Lookup_Practice!$A$2:$A$7,0))</f>
        <v>Standard</v>
      </c>
      <c r="O349" s="3" t="str">
        <f t="array" ref="O349">XLOOKUP(D349,Lookup_Practice!$A$2:$A$7,Lookup_Practice!$B$2:$B$7)</f>
        <v>Standard</v>
      </c>
    </row>
    <row r="350">
      <c r="A350" s="1">
        <v>9.0</v>
      </c>
      <c r="B350" s="1" t="s">
        <v>14</v>
      </c>
      <c r="C350" s="1" t="s">
        <v>32</v>
      </c>
      <c r="D350" s="1" t="s">
        <v>20</v>
      </c>
      <c r="E350" s="1" t="s">
        <v>17</v>
      </c>
      <c r="F350" s="1">
        <v>1614.0</v>
      </c>
      <c r="G350" s="1">
        <v>2.0</v>
      </c>
      <c r="H350" s="2">
        <v>45571.0</v>
      </c>
      <c r="I350" s="3" t="str">
        <f t="shared" si="1"/>
        <v>Child (0-17)</v>
      </c>
      <c r="J350" s="3">
        <f t="shared" si="2"/>
        <v>10</v>
      </c>
      <c r="K350" s="3">
        <f t="shared" si="3"/>
        <v>2024</v>
      </c>
      <c r="L350" s="3" t="str">
        <f t="shared" si="4"/>
        <v>October</v>
      </c>
      <c r="M350" s="3" t="str">
        <f>VLOOKUP(D350,Lookup_Practice!$A$2:$B$7,2,FALSE)</f>
        <v>Standard</v>
      </c>
      <c r="N350" s="3" t="str">
        <f t="array" ref="N350">INDEX(Lookup_Practice!$B$2:$B$7,MATCH(D350,Lookup_Practice!$A$2:$A$7,0))</f>
        <v>Standard</v>
      </c>
      <c r="O350" s="3" t="str">
        <f t="array" ref="O350">XLOOKUP(D350,Lookup_Practice!$A$2:$A$7,Lookup_Practice!$B$2:$B$7)</f>
        <v>Standard</v>
      </c>
    </row>
    <row r="351">
      <c r="A351" s="1">
        <v>72.0</v>
      </c>
      <c r="B351" s="1" t="s">
        <v>18</v>
      </c>
      <c r="C351" s="1" t="s">
        <v>21</v>
      </c>
      <c r="D351" s="1" t="s">
        <v>30</v>
      </c>
      <c r="E351" s="1" t="s">
        <v>17</v>
      </c>
      <c r="F351" s="1">
        <v>1019.0</v>
      </c>
      <c r="G351" s="1">
        <v>4.0</v>
      </c>
      <c r="H351" s="2">
        <v>45026.0</v>
      </c>
      <c r="I351" s="3" t="str">
        <f t="shared" si="1"/>
        <v>Senior (56+)</v>
      </c>
      <c r="J351" s="3">
        <f t="shared" si="2"/>
        <v>4</v>
      </c>
      <c r="K351" s="3">
        <f t="shared" si="3"/>
        <v>2023</v>
      </c>
      <c r="L351" s="3" t="str">
        <f t="shared" si="4"/>
        <v>April</v>
      </c>
      <c r="M351" s="3" t="str">
        <f>VLOOKUP(D351,Lookup_Practice!$A$2:$B$7,2,FALSE)</f>
        <v>Standard</v>
      </c>
      <c r="N351" s="3" t="str">
        <f t="array" ref="N351">INDEX(Lookup_Practice!$B$2:$B$7,MATCH(D351,Lookup_Practice!$A$2:$A$7,0))</f>
        <v>Standard</v>
      </c>
      <c r="O351" s="3" t="str">
        <f t="array" ref="O351">XLOOKUP(D351,Lookup_Practice!$A$2:$A$7,Lookup_Practice!$B$2:$B$7)</f>
        <v>Standard</v>
      </c>
    </row>
    <row r="352">
      <c r="A352" s="1">
        <v>10.0</v>
      </c>
      <c r="B352" s="1" t="s">
        <v>14</v>
      </c>
      <c r="C352" s="1" t="s">
        <v>21</v>
      </c>
      <c r="D352" s="1" t="s">
        <v>22</v>
      </c>
      <c r="E352" s="1" t="s">
        <v>17</v>
      </c>
      <c r="F352" s="1">
        <v>754.0</v>
      </c>
      <c r="G352" s="1">
        <v>19.0</v>
      </c>
      <c r="H352" s="2">
        <v>45583.0</v>
      </c>
      <c r="I352" s="3" t="str">
        <f t="shared" si="1"/>
        <v>Child (0-17)</v>
      </c>
      <c r="J352" s="3">
        <f t="shared" si="2"/>
        <v>10</v>
      </c>
      <c r="K352" s="3">
        <f t="shared" si="3"/>
        <v>2024</v>
      </c>
      <c r="L352" s="3" t="str">
        <f t="shared" si="4"/>
        <v>October</v>
      </c>
      <c r="M352" s="3" t="str">
        <f>VLOOKUP(D352,Lookup_Practice!$A$2:$B$7,2,FALSE)</f>
        <v>Basic</v>
      </c>
      <c r="N352" s="3" t="str">
        <f t="array" ref="N352">INDEX(Lookup_Practice!$B$2:$B$7,MATCH(D352,Lookup_Practice!$A$2:$A$7,0))</f>
        <v>Basic</v>
      </c>
      <c r="O352" s="3" t="str">
        <f t="array" ref="O352">XLOOKUP(D352,Lookup_Practice!$A$2:$A$7,Lookup_Practice!$B$2:$B$7)</f>
        <v>Basic</v>
      </c>
    </row>
    <row r="353">
      <c r="A353" s="1">
        <v>51.0</v>
      </c>
      <c r="B353" s="1" t="s">
        <v>14</v>
      </c>
      <c r="C353" s="1" t="s">
        <v>15</v>
      </c>
      <c r="D353" s="1" t="s">
        <v>16</v>
      </c>
      <c r="E353" s="1" t="s">
        <v>17</v>
      </c>
      <c r="F353" s="1">
        <v>926.0</v>
      </c>
      <c r="G353" s="1">
        <v>6.0</v>
      </c>
      <c r="H353" s="2">
        <v>45427.0</v>
      </c>
      <c r="I353" s="3" t="str">
        <f t="shared" si="1"/>
        <v>Middle Age (36-55)</v>
      </c>
      <c r="J353" s="3">
        <f t="shared" si="2"/>
        <v>5</v>
      </c>
      <c r="K353" s="3">
        <f t="shared" si="3"/>
        <v>2024</v>
      </c>
      <c r="L353" s="3" t="str">
        <f t="shared" si="4"/>
        <v>May</v>
      </c>
      <c r="M353" s="3" t="str">
        <f>VLOOKUP(D353,Lookup_Practice!$A$2:$B$7,2,FALSE)</f>
        <v>Premium</v>
      </c>
      <c r="N353" s="3" t="str">
        <f t="array" ref="N353">INDEX(Lookup_Practice!$B$2:$B$7,MATCH(D353,Lookup_Practice!$A$2:$A$7,0))</f>
        <v>Premium</v>
      </c>
      <c r="O353" s="3" t="str">
        <f t="array" ref="O353">XLOOKUP(D353,Lookup_Practice!$A$2:$A$7,Lookup_Practice!$B$2:$B$7)</f>
        <v>Premium</v>
      </c>
    </row>
    <row r="354">
      <c r="A354" s="1">
        <v>59.0</v>
      </c>
      <c r="B354" s="1" t="s">
        <v>18</v>
      </c>
      <c r="C354" s="1" t="s">
        <v>21</v>
      </c>
      <c r="D354" s="1" t="s">
        <v>20</v>
      </c>
      <c r="E354" s="1" t="s">
        <v>17</v>
      </c>
      <c r="F354" s="1">
        <v>1517.0</v>
      </c>
      <c r="G354" s="1">
        <v>1.0</v>
      </c>
      <c r="H354" s="2">
        <v>45054.0</v>
      </c>
      <c r="I354" s="3" t="str">
        <f t="shared" si="1"/>
        <v>Senior (56+)</v>
      </c>
      <c r="J354" s="3">
        <f t="shared" si="2"/>
        <v>5</v>
      </c>
      <c r="K354" s="3">
        <f t="shared" si="3"/>
        <v>2023</v>
      </c>
      <c r="L354" s="3" t="str">
        <f t="shared" si="4"/>
        <v>May</v>
      </c>
      <c r="M354" s="3" t="str">
        <f>VLOOKUP(D354,Lookup_Practice!$A$2:$B$7,2,FALSE)</f>
        <v>Standard</v>
      </c>
      <c r="N354" s="3" t="str">
        <f t="array" ref="N354">INDEX(Lookup_Practice!$B$2:$B$7,MATCH(D354,Lookup_Practice!$A$2:$A$7,0))</f>
        <v>Standard</v>
      </c>
      <c r="O354" s="3" t="str">
        <f t="array" ref="O354">XLOOKUP(D354,Lookup_Practice!$A$2:$A$7,Lookup_Practice!$B$2:$B$7)</f>
        <v>Standard</v>
      </c>
    </row>
    <row r="355">
      <c r="A355" s="1">
        <v>44.0</v>
      </c>
      <c r="B355" s="1" t="s">
        <v>18</v>
      </c>
      <c r="C355" s="1" t="s">
        <v>25</v>
      </c>
      <c r="D355" s="1" t="s">
        <v>23</v>
      </c>
      <c r="E355" s="1" t="s">
        <v>24</v>
      </c>
      <c r="F355" s="1">
        <v>1320.0</v>
      </c>
      <c r="G355" s="1">
        <v>17.0</v>
      </c>
      <c r="H355" s="2">
        <v>45103.0</v>
      </c>
      <c r="I355" s="3" t="str">
        <f t="shared" si="1"/>
        <v>Middle Age (36-55)</v>
      </c>
      <c r="J355" s="3">
        <f t="shared" si="2"/>
        <v>6</v>
      </c>
      <c r="K355" s="3">
        <f t="shared" si="3"/>
        <v>2023</v>
      </c>
      <c r="L355" s="3" t="str">
        <f t="shared" si="4"/>
        <v>June</v>
      </c>
      <c r="M355" s="3" t="str">
        <f>VLOOKUP(D355,Lookup_Practice!$A$2:$B$7,2,FALSE)</f>
        <v>Standard</v>
      </c>
      <c r="N355" s="3" t="str">
        <f t="array" ref="N355">INDEX(Lookup_Practice!$B$2:$B$7,MATCH(D355,Lookup_Practice!$A$2:$A$7,0))</f>
        <v>Standard</v>
      </c>
      <c r="O355" s="3" t="str">
        <f t="array" ref="O355">XLOOKUP(D355,Lookup_Practice!$A$2:$A$7,Lookup_Practice!$B$2:$B$7)</f>
        <v>Standard</v>
      </c>
    </row>
    <row r="356">
      <c r="A356" s="1">
        <v>56.0</v>
      </c>
      <c r="B356" s="1" t="s">
        <v>18</v>
      </c>
      <c r="C356" s="1" t="s">
        <v>27</v>
      </c>
      <c r="D356" s="1" t="s">
        <v>20</v>
      </c>
      <c r="E356" s="1" t="s">
        <v>24</v>
      </c>
      <c r="F356" s="1">
        <v>1630.0</v>
      </c>
      <c r="G356" s="1">
        <v>8.0</v>
      </c>
      <c r="H356" s="2">
        <v>45574.0</v>
      </c>
      <c r="I356" s="3" t="str">
        <f t="shared" si="1"/>
        <v>Senior (56+)</v>
      </c>
      <c r="J356" s="3">
        <f t="shared" si="2"/>
        <v>10</v>
      </c>
      <c r="K356" s="3">
        <f t="shared" si="3"/>
        <v>2024</v>
      </c>
      <c r="L356" s="3" t="str">
        <f t="shared" si="4"/>
        <v>October</v>
      </c>
      <c r="M356" s="3" t="str">
        <f>VLOOKUP(D356,Lookup_Practice!$A$2:$B$7,2,FALSE)</f>
        <v>Standard</v>
      </c>
      <c r="N356" s="3" t="str">
        <f t="array" ref="N356">INDEX(Lookup_Practice!$B$2:$B$7,MATCH(D356,Lookup_Practice!$A$2:$A$7,0))</f>
        <v>Standard</v>
      </c>
      <c r="O356" s="3" t="str">
        <f t="array" ref="O356">XLOOKUP(D356,Lookup_Practice!$A$2:$A$7,Lookup_Practice!$B$2:$B$7)</f>
        <v>Standard</v>
      </c>
    </row>
    <row r="357">
      <c r="A357" s="1">
        <v>20.0</v>
      </c>
      <c r="B357" s="1" t="s">
        <v>18</v>
      </c>
      <c r="C357" s="1" t="s">
        <v>21</v>
      </c>
      <c r="D357" s="1" t="s">
        <v>16</v>
      </c>
      <c r="E357" s="1" t="s">
        <v>17</v>
      </c>
      <c r="F357" s="1">
        <v>952.0</v>
      </c>
      <c r="G357" s="1">
        <v>19.0</v>
      </c>
      <c r="H357" s="2">
        <v>45631.0</v>
      </c>
      <c r="I357" s="3" t="str">
        <f t="shared" si="1"/>
        <v>Young Adult (18-35)</v>
      </c>
      <c r="J357" s="3">
        <f t="shared" si="2"/>
        <v>12</v>
      </c>
      <c r="K357" s="3">
        <f t="shared" si="3"/>
        <v>2024</v>
      </c>
      <c r="L357" s="3" t="str">
        <f t="shared" si="4"/>
        <v>December</v>
      </c>
      <c r="M357" s="3" t="str">
        <f>VLOOKUP(D357,Lookup_Practice!$A$2:$B$7,2,FALSE)</f>
        <v>Premium</v>
      </c>
      <c r="N357" s="3" t="str">
        <f t="array" ref="N357">INDEX(Lookup_Practice!$B$2:$B$7,MATCH(D357,Lookup_Practice!$A$2:$A$7,0))</f>
        <v>Premium</v>
      </c>
      <c r="O357" s="3" t="str">
        <f t="array" ref="O357">XLOOKUP(D357,Lookup_Practice!$A$2:$A$7,Lookup_Practice!$B$2:$B$7)</f>
        <v>Premium</v>
      </c>
    </row>
    <row r="358">
      <c r="A358" s="1">
        <v>17.0</v>
      </c>
      <c r="B358" s="1" t="s">
        <v>18</v>
      </c>
      <c r="C358" s="1" t="s">
        <v>21</v>
      </c>
      <c r="D358" s="1" t="s">
        <v>22</v>
      </c>
      <c r="E358" s="1" t="s">
        <v>24</v>
      </c>
      <c r="F358" s="1">
        <v>994.0</v>
      </c>
      <c r="G358" s="1">
        <v>1.0</v>
      </c>
      <c r="H358" s="2">
        <v>45209.0</v>
      </c>
      <c r="I358" s="3" t="str">
        <f t="shared" si="1"/>
        <v>Child (0-17)</v>
      </c>
      <c r="J358" s="3">
        <f t="shared" si="2"/>
        <v>10</v>
      </c>
      <c r="K358" s="3">
        <f t="shared" si="3"/>
        <v>2023</v>
      </c>
      <c r="L358" s="3" t="str">
        <f t="shared" si="4"/>
        <v>October</v>
      </c>
      <c r="M358" s="3" t="str">
        <f>VLOOKUP(D358,Lookup_Practice!$A$2:$B$7,2,FALSE)</f>
        <v>Basic</v>
      </c>
      <c r="N358" s="3" t="str">
        <f t="array" ref="N358">INDEX(Lookup_Practice!$B$2:$B$7,MATCH(D358,Lookup_Practice!$A$2:$A$7,0))</f>
        <v>Basic</v>
      </c>
      <c r="O358" s="3" t="str">
        <f t="array" ref="O358">XLOOKUP(D358,Lookup_Practice!$A$2:$A$7,Lookup_Practice!$B$2:$B$7)</f>
        <v>Basic</v>
      </c>
    </row>
    <row r="359">
      <c r="A359" s="1">
        <v>34.0</v>
      </c>
      <c r="B359" s="1" t="s">
        <v>18</v>
      </c>
      <c r="C359" s="1" t="s">
        <v>21</v>
      </c>
      <c r="D359" s="1" t="s">
        <v>22</v>
      </c>
      <c r="E359" s="1" t="s">
        <v>28</v>
      </c>
      <c r="F359" s="1">
        <v>932.0</v>
      </c>
      <c r="G359" s="1">
        <v>5.0</v>
      </c>
      <c r="H359" s="2">
        <v>45250.0</v>
      </c>
      <c r="I359" s="3" t="str">
        <f t="shared" si="1"/>
        <v>Young Adult (18-35)</v>
      </c>
      <c r="J359" s="3">
        <f t="shared" si="2"/>
        <v>11</v>
      </c>
      <c r="K359" s="3">
        <f t="shared" si="3"/>
        <v>2023</v>
      </c>
      <c r="L359" s="3" t="str">
        <f t="shared" si="4"/>
        <v>November</v>
      </c>
      <c r="M359" s="3" t="str">
        <f>VLOOKUP(D359,Lookup_Practice!$A$2:$B$7,2,FALSE)</f>
        <v>Basic</v>
      </c>
      <c r="N359" s="3" t="str">
        <f t="array" ref="N359">INDEX(Lookup_Practice!$B$2:$B$7,MATCH(D359,Lookup_Practice!$A$2:$A$7,0))</f>
        <v>Basic</v>
      </c>
      <c r="O359" s="3" t="str">
        <f t="array" ref="O359">XLOOKUP(D359,Lookup_Practice!$A$2:$A$7,Lookup_Practice!$B$2:$B$7)</f>
        <v>Basic</v>
      </c>
    </row>
    <row r="360">
      <c r="A360" s="1">
        <v>23.0</v>
      </c>
      <c r="B360" s="1" t="s">
        <v>14</v>
      </c>
      <c r="C360" s="1" t="s">
        <v>29</v>
      </c>
      <c r="D360" s="1" t="s">
        <v>23</v>
      </c>
      <c r="E360" s="1" t="s">
        <v>24</v>
      </c>
      <c r="F360" s="1">
        <v>1257.0</v>
      </c>
      <c r="G360" s="1">
        <v>16.0</v>
      </c>
      <c r="H360" s="2">
        <v>45083.0</v>
      </c>
      <c r="I360" s="3" t="str">
        <f t="shared" si="1"/>
        <v>Young Adult (18-35)</v>
      </c>
      <c r="J360" s="3">
        <f t="shared" si="2"/>
        <v>6</v>
      </c>
      <c r="K360" s="3">
        <f t="shared" si="3"/>
        <v>2023</v>
      </c>
      <c r="L360" s="3" t="str">
        <f t="shared" si="4"/>
        <v>June</v>
      </c>
      <c r="M360" s="3" t="str">
        <f>VLOOKUP(D360,Lookup_Practice!$A$2:$B$7,2,FALSE)</f>
        <v>Standard</v>
      </c>
      <c r="N360" s="3" t="str">
        <f t="array" ref="N360">INDEX(Lookup_Practice!$B$2:$B$7,MATCH(D360,Lookup_Practice!$A$2:$A$7,0))</f>
        <v>Standard</v>
      </c>
      <c r="O360" s="3" t="str">
        <f t="array" ref="O360">XLOOKUP(D360,Lookup_Practice!$A$2:$A$7,Lookup_Practice!$B$2:$B$7)</f>
        <v>Standard</v>
      </c>
    </row>
    <row r="361">
      <c r="A361" s="1">
        <v>21.0</v>
      </c>
      <c r="B361" s="1" t="s">
        <v>18</v>
      </c>
      <c r="C361" s="1" t="s">
        <v>25</v>
      </c>
      <c r="D361" s="1" t="s">
        <v>20</v>
      </c>
      <c r="E361" s="1" t="s">
        <v>17</v>
      </c>
      <c r="F361" s="1">
        <v>1668.0</v>
      </c>
      <c r="G361" s="1">
        <v>6.0</v>
      </c>
      <c r="H361" s="2">
        <v>45520.0</v>
      </c>
      <c r="I361" s="3" t="str">
        <f t="shared" si="1"/>
        <v>Young Adult (18-35)</v>
      </c>
      <c r="J361" s="3">
        <f t="shared" si="2"/>
        <v>8</v>
      </c>
      <c r="K361" s="3">
        <f t="shared" si="3"/>
        <v>2024</v>
      </c>
      <c r="L361" s="3" t="str">
        <f t="shared" si="4"/>
        <v>August</v>
      </c>
      <c r="M361" s="3" t="str">
        <f>VLOOKUP(D361,Lookup_Practice!$A$2:$B$7,2,FALSE)</f>
        <v>Standard</v>
      </c>
      <c r="N361" s="3" t="str">
        <f t="array" ref="N361">INDEX(Lookup_Practice!$B$2:$B$7,MATCH(D361,Lookup_Practice!$A$2:$A$7,0))</f>
        <v>Standard</v>
      </c>
      <c r="O361" s="3" t="str">
        <f t="array" ref="O361">XLOOKUP(D361,Lookup_Practice!$A$2:$A$7,Lookup_Practice!$B$2:$B$7)</f>
        <v>Standard</v>
      </c>
    </row>
    <row r="362">
      <c r="A362" s="1">
        <v>67.0</v>
      </c>
      <c r="B362" s="1" t="s">
        <v>18</v>
      </c>
      <c r="C362" s="1" t="s">
        <v>21</v>
      </c>
      <c r="D362" s="1" t="s">
        <v>22</v>
      </c>
      <c r="E362" s="1" t="s">
        <v>24</v>
      </c>
      <c r="F362" s="1">
        <v>720.0</v>
      </c>
      <c r="G362" s="1">
        <v>8.0</v>
      </c>
      <c r="H362" s="2">
        <v>45528.0</v>
      </c>
      <c r="I362" s="3" t="str">
        <f t="shared" si="1"/>
        <v>Senior (56+)</v>
      </c>
      <c r="J362" s="3">
        <f t="shared" si="2"/>
        <v>8</v>
      </c>
      <c r="K362" s="3">
        <f t="shared" si="3"/>
        <v>2024</v>
      </c>
      <c r="L362" s="3" t="str">
        <f t="shared" si="4"/>
        <v>August</v>
      </c>
      <c r="M362" s="3" t="str">
        <f>VLOOKUP(D362,Lookup_Practice!$A$2:$B$7,2,FALSE)</f>
        <v>Basic</v>
      </c>
      <c r="N362" s="3" t="str">
        <f t="array" ref="N362">INDEX(Lookup_Practice!$B$2:$B$7,MATCH(D362,Lookup_Practice!$A$2:$A$7,0))</f>
        <v>Basic</v>
      </c>
      <c r="O362" s="3" t="str">
        <f t="array" ref="O362">XLOOKUP(D362,Lookup_Practice!$A$2:$A$7,Lookup_Practice!$B$2:$B$7)</f>
        <v>Basic</v>
      </c>
    </row>
    <row r="363">
      <c r="A363" s="1">
        <v>23.0</v>
      </c>
      <c r="B363" s="1" t="s">
        <v>14</v>
      </c>
      <c r="C363" s="1" t="s">
        <v>27</v>
      </c>
      <c r="D363" s="1" t="s">
        <v>16</v>
      </c>
      <c r="E363" s="1" t="s">
        <v>17</v>
      </c>
      <c r="F363" s="1">
        <v>952.0</v>
      </c>
      <c r="G363" s="1">
        <v>13.0</v>
      </c>
      <c r="H363" s="2">
        <v>45257.0</v>
      </c>
      <c r="I363" s="3" t="str">
        <f t="shared" si="1"/>
        <v>Young Adult (18-35)</v>
      </c>
      <c r="J363" s="3">
        <f t="shared" si="2"/>
        <v>11</v>
      </c>
      <c r="K363" s="3">
        <f t="shared" si="3"/>
        <v>2023</v>
      </c>
      <c r="L363" s="3" t="str">
        <f t="shared" si="4"/>
        <v>November</v>
      </c>
      <c r="M363" s="3" t="str">
        <f>VLOOKUP(D363,Lookup_Practice!$A$2:$B$7,2,FALSE)</f>
        <v>Premium</v>
      </c>
      <c r="N363" s="3" t="str">
        <f t="array" ref="N363">INDEX(Lookup_Practice!$B$2:$B$7,MATCH(D363,Lookup_Practice!$A$2:$A$7,0))</f>
        <v>Premium</v>
      </c>
      <c r="O363" s="3" t="str">
        <f t="array" ref="O363">XLOOKUP(D363,Lookup_Practice!$A$2:$A$7,Lookup_Practice!$B$2:$B$7)</f>
        <v>Premium</v>
      </c>
    </row>
    <row r="364">
      <c r="A364" s="1">
        <v>62.0</v>
      </c>
      <c r="B364" s="1" t="s">
        <v>18</v>
      </c>
      <c r="C364" s="1" t="s">
        <v>31</v>
      </c>
      <c r="D364" s="1" t="s">
        <v>30</v>
      </c>
      <c r="E364" s="1" t="s">
        <v>28</v>
      </c>
      <c r="F364" s="1">
        <v>1174.0</v>
      </c>
      <c r="G364" s="1">
        <v>16.0</v>
      </c>
      <c r="H364" s="2">
        <v>45538.0</v>
      </c>
      <c r="I364" s="3" t="str">
        <f t="shared" si="1"/>
        <v>Senior (56+)</v>
      </c>
      <c r="J364" s="3">
        <f t="shared" si="2"/>
        <v>9</v>
      </c>
      <c r="K364" s="3">
        <f t="shared" si="3"/>
        <v>2024</v>
      </c>
      <c r="L364" s="3" t="str">
        <f t="shared" si="4"/>
        <v>September</v>
      </c>
      <c r="M364" s="3" t="str">
        <f>VLOOKUP(D364,Lookup_Practice!$A$2:$B$7,2,FALSE)</f>
        <v>Standard</v>
      </c>
      <c r="N364" s="3" t="str">
        <f t="array" ref="N364">INDEX(Lookup_Practice!$B$2:$B$7,MATCH(D364,Lookup_Practice!$A$2:$A$7,0))</f>
        <v>Standard</v>
      </c>
      <c r="O364" s="3" t="str">
        <f t="array" ref="O364">XLOOKUP(D364,Lookup_Practice!$A$2:$A$7,Lookup_Practice!$B$2:$B$7)</f>
        <v>Standard</v>
      </c>
    </row>
    <row r="365">
      <c r="A365" s="1">
        <v>59.0</v>
      </c>
      <c r="B365" s="1" t="s">
        <v>14</v>
      </c>
      <c r="C365" s="1" t="s">
        <v>21</v>
      </c>
      <c r="D365" s="1" t="s">
        <v>26</v>
      </c>
      <c r="E365" s="1" t="s">
        <v>17</v>
      </c>
      <c r="F365" s="1">
        <v>680.0</v>
      </c>
      <c r="G365" s="1">
        <v>3.0</v>
      </c>
      <c r="H365" s="2">
        <v>45514.0</v>
      </c>
      <c r="I365" s="3" t="str">
        <f t="shared" si="1"/>
        <v>Senior (56+)</v>
      </c>
      <c r="J365" s="3">
        <f t="shared" si="2"/>
        <v>8</v>
      </c>
      <c r="K365" s="3">
        <f t="shared" si="3"/>
        <v>2024</v>
      </c>
      <c r="L365" s="3" t="str">
        <f t="shared" si="4"/>
        <v>August</v>
      </c>
      <c r="M365" s="3" t="str">
        <f>VLOOKUP(D365,Lookup_Practice!$A$2:$B$7,2,FALSE)</f>
        <v>Premium</v>
      </c>
      <c r="N365" s="3" t="str">
        <f t="array" ref="N365">INDEX(Lookup_Practice!$B$2:$B$7,MATCH(D365,Lookup_Practice!$A$2:$A$7,0))</f>
        <v>Premium</v>
      </c>
      <c r="O365" s="3" t="str">
        <f t="array" ref="O365">XLOOKUP(D365,Lookup_Practice!$A$2:$A$7,Lookup_Practice!$B$2:$B$7)</f>
        <v>Premium</v>
      </c>
    </row>
    <row r="366">
      <c r="A366" s="1">
        <v>66.0</v>
      </c>
      <c r="B366" s="1" t="s">
        <v>14</v>
      </c>
      <c r="C366" s="1" t="s">
        <v>25</v>
      </c>
      <c r="D366" s="1" t="s">
        <v>26</v>
      </c>
      <c r="E366" s="1" t="s">
        <v>17</v>
      </c>
      <c r="F366" s="1">
        <v>613.0</v>
      </c>
      <c r="G366" s="1">
        <v>19.0</v>
      </c>
      <c r="H366" s="2">
        <v>45241.0</v>
      </c>
      <c r="I366" s="3" t="str">
        <f t="shared" si="1"/>
        <v>Senior (56+)</v>
      </c>
      <c r="J366" s="3">
        <f t="shared" si="2"/>
        <v>11</v>
      </c>
      <c r="K366" s="3">
        <f t="shared" si="3"/>
        <v>2023</v>
      </c>
      <c r="L366" s="3" t="str">
        <f t="shared" si="4"/>
        <v>November</v>
      </c>
      <c r="M366" s="3" t="str">
        <f>VLOOKUP(D366,Lookup_Practice!$A$2:$B$7,2,FALSE)</f>
        <v>Premium</v>
      </c>
      <c r="N366" s="3" t="str">
        <f t="array" ref="N366">INDEX(Lookup_Practice!$B$2:$B$7,MATCH(D366,Lookup_Practice!$A$2:$A$7,0))</f>
        <v>Premium</v>
      </c>
      <c r="O366" s="3" t="str">
        <f t="array" ref="O366">XLOOKUP(D366,Lookup_Practice!$A$2:$A$7,Lookup_Practice!$B$2:$B$7)</f>
        <v>Premium</v>
      </c>
    </row>
    <row r="367">
      <c r="A367" s="1">
        <v>27.0</v>
      </c>
      <c r="B367" s="1" t="s">
        <v>14</v>
      </c>
      <c r="C367" s="1" t="s">
        <v>31</v>
      </c>
      <c r="D367" s="1" t="s">
        <v>26</v>
      </c>
      <c r="E367" s="1" t="s">
        <v>24</v>
      </c>
      <c r="F367" s="1">
        <v>430.0</v>
      </c>
      <c r="G367" s="1">
        <v>12.0</v>
      </c>
      <c r="H367" s="2">
        <v>44968.0</v>
      </c>
      <c r="I367" s="3" t="str">
        <f t="shared" si="1"/>
        <v>Young Adult (18-35)</v>
      </c>
      <c r="J367" s="3">
        <f t="shared" si="2"/>
        <v>2</v>
      </c>
      <c r="K367" s="3">
        <f t="shared" si="3"/>
        <v>2023</v>
      </c>
      <c r="L367" s="3" t="str">
        <f t="shared" si="4"/>
        <v>February</v>
      </c>
      <c r="M367" s="3" t="str">
        <f>VLOOKUP(D367,Lookup_Practice!$A$2:$B$7,2,FALSE)</f>
        <v>Premium</v>
      </c>
      <c r="N367" s="3" t="str">
        <f t="array" ref="N367">INDEX(Lookup_Practice!$B$2:$B$7,MATCH(D367,Lookup_Practice!$A$2:$A$7,0))</f>
        <v>Premium</v>
      </c>
      <c r="O367" s="3" t="str">
        <f t="array" ref="O367">XLOOKUP(D367,Lookup_Practice!$A$2:$A$7,Lookup_Practice!$B$2:$B$7)</f>
        <v>Premium</v>
      </c>
    </row>
    <row r="368">
      <c r="A368" s="1">
        <v>13.0</v>
      </c>
      <c r="B368" s="1" t="s">
        <v>18</v>
      </c>
      <c r="C368" s="1" t="s">
        <v>15</v>
      </c>
      <c r="D368" s="1" t="s">
        <v>20</v>
      </c>
      <c r="E368" s="1" t="s">
        <v>17</v>
      </c>
      <c r="F368" s="1">
        <v>1582.0</v>
      </c>
      <c r="G368" s="1">
        <v>16.0</v>
      </c>
      <c r="H368" s="2">
        <v>45643.0</v>
      </c>
      <c r="I368" s="3" t="str">
        <f t="shared" si="1"/>
        <v>Child (0-17)</v>
      </c>
      <c r="J368" s="3">
        <f t="shared" si="2"/>
        <v>12</v>
      </c>
      <c r="K368" s="3">
        <f t="shared" si="3"/>
        <v>2024</v>
      </c>
      <c r="L368" s="3" t="str">
        <f t="shared" si="4"/>
        <v>December</v>
      </c>
      <c r="M368" s="3" t="str">
        <f>VLOOKUP(D368,Lookup_Practice!$A$2:$B$7,2,FALSE)</f>
        <v>Standard</v>
      </c>
      <c r="N368" s="3" t="str">
        <f t="array" ref="N368">INDEX(Lookup_Practice!$B$2:$B$7,MATCH(D368,Lookup_Practice!$A$2:$A$7,0))</f>
        <v>Standard</v>
      </c>
      <c r="O368" s="3" t="str">
        <f t="array" ref="O368">XLOOKUP(D368,Lookup_Practice!$A$2:$A$7,Lookup_Practice!$B$2:$B$7)</f>
        <v>Standard</v>
      </c>
    </row>
    <row r="369">
      <c r="A369" s="1">
        <v>16.0</v>
      </c>
      <c r="B369" s="1" t="s">
        <v>18</v>
      </c>
      <c r="C369" s="1" t="s">
        <v>21</v>
      </c>
      <c r="D369" s="1" t="s">
        <v>23</v>
      </c>
      <c r="E369" s="1" t="s">
        <v>28</v>
      </c>
      <c r="F369" s="1">
        <v>1122.0</v>
      </c>
      <c r="G369" s="1">
        <v>11.0</v>
      </c>
      <c r="H369" s="2">
        <v>45569.0</v>
      </c>
      <c r="I369" s="3" t="str">
        <f t="shared" si="1"/>
        <v>Child (0-17)</v>
      </c>
      <c r="J369" s="3">
        <f t="shared" si="2"/>
        <v>10</v>
      </c>
      <c r="K369" s="3">
        <f t="shared" si="3"/>
        <v>2024</v>
      </c>
      <c r="L369" s="3" t="str">
        <f t="shared" si="4"/>
        <v>October</v>
      </c>
      <c r="M369" s="3" t="str">
        <f>VLOOKUP(D369,Lookup_Practice!$A$2:$B$7,2,FALSE)</f>
        <v>Standard</v>
      </c>
      <c r="N369" s="3" t="str">
        <f t="array" ref="N369">INDEX(Lookup_Practice!$B$2:$B$7,MATCH(D369,Lookup_Practice!$A$2:$A$7,0))</f>
        <v>Standard</v>
      </c>
      <c r="O369" s="3" t="str">
        <f t="array" ref="O369">XLOOKUP(D369,Lookup_Practice!$A$2:$A$7,Lookup_Practice!$B$2:$B$7)</f>
        <v>Standard</v>
      </c>
    </row>
    <row r="370">
      <c r="A370" s="1">
        <v>5.0</v>
      </c>
      <c r="B370" s="1" t="s">
        <v>18</v>
      </c>
      <c r="C370" s="1" t="s">
        <v>21</v>
      </c>
      <c r="D370" s="1" t="s">
        <v>22</v>
      </c>
      <c r="E370" s="1" t="s">
        <v>28</v>
      </c>
      <c r="F370" s="1">
        <v>731.0</v>
      </c>
      <c r="G370" s="1">
        <v>10.0</v>
      </c>
      <c r="H370" s="2">
        <v>45264.0</v>
      </c>
      <c r="I370" s="3" t="str">
        <f t="shared" si="1"/>
        <v>Child (0-17)</v>
      </c>
      <c r="J370" s="3">
        <f t="shared" si="2"/>
        <v>12</v>
      </c>
      <c r="K370" s="3">
        <f t="shared" si="3"/>
        <v>2023</v>
      </c>
      <c r="L370" s="3" t="str">
        <f t="shared" si="4"/>
        <v>December</v>
      </c>
      <c r="M370" s="3" t="str">
        <f>VLOOKUP(D370,Lookup_Practice!$A$2:$B$7,2,FALSE)</f>
        <v>Basic</v>
      </c>
      <c r="N370" s="3" t="str">
        <f t="array" ref="N370">INDEX(Lookup_Practice!$B$2:$B$7,MATCH(D370,Lookup_Practice!$A$2:$A$7,0))</f>
        <v>Basic</v>
      </c>
      <c r="O370" s="3" t="str">
        <f t="array" ref="O370">XLOOKUP(D370,Lookup_Practice!$A$2:$A$7,Lookup_Practice!$B$2:$B$7)</f>
        <v>Basic</v>
      </c>
    </row>
    <row r="371">
      <c r="A371" s="1">
        <v>62.0</v>
      </c>
      <c r="B371" s="1" t="s">
        <v>14</v>
      </c>
      <c r="C371" s="1" t="s">
        <v>21</v>
      </c>
      <c r="D371" s="1" t="s">
        <v>30</v>
      </c>
      <c r="E371" s="1" t="s">
        <v>17</v>
      </c>
      <c r="F371" s="1">
        <v>973.0</v>
      </c>
      <c r="G371" s="1">
        <v>20.0</v>
      </c>
      <c r="H371" s="2">
        <v>45247.0</v>
      </c>
      <c r="I371" s="3" t="str">
        <f t="shared" si="1"/>
        <v>Senior (56+)</v>
      </c>
      <c r="J371" s="3">
        <f t="shared" si="2"/>
        <v>11</v>
      </c>
      <c r="K371" s="3">
        <f t="shared" si="3"/>
        <v>2023</v>
      </c>
      <c r="L371" s="3" t="str">
        <f t="shared" si="4"/>
        <v>November</v>
      </c>
      <c r="M371" s="3" t="str">
        <f>VLOOKUP(D371,Lookup_Practice!$A$2:$B$7,2,FALSE)</f>
        <v>Standard</v>
      </c>
      <c r="N371" s="3" t="str">
        <f t="array" ref="N371">INDEX(Lookup_Practice!$B$2:$B$7,MATCH(D371,Lookup_Practice!$A$2:$A$7,0))</f>
        <v>Standard</v>
      </c>
      <c r="O371" s="3" t="str">
        <f t="array" ref="O371">XLOOKUP(D371,Lookup_Practice!$A$2:$A$7,Lookup_Practice!$B$2:$B$7)</f>
        <v>Standard</v>
      </c>
    </row>
    <row r="372">
      <c r="A372" s="1">
        <v>5.0</v>
      </c>
      <c r="B372" s="1" t="s">
        <v>18</v>
      </c>
      <c r="C372" s="1" t="s">
        <v>31</v>
      </c>
      <c r="D372" s="1" t="s">
        <v>16</v>
      </c>
      <c r="E372" s="1" t="s">
        <v>17</v>
      </c>
      <c r="F372" s="1">
        <v>909.0</v>
      </c>
      <c r="G372" s="1">
        <v>4.0</v>
      </c>
      <c r="H372" s="2">
        <v>44935.0</v>
      </c>
      <c r="I372" s="3" t="str">
        <f t="shared" si="1"/>
        <v>Child (0-17)</v>
      </c>
      <c r="J372" s="3">
        <f t="shared" si="2"/>
        <v>1</v>
      </c>
      <c r="K372" s="3">
        <f t="shared" si="3"/>
        <v>2023</v>
      </c>
      <c r="L372" s="3" t="str">
        <f t="shared" si="4"/>
        <v>January</v>
      </c>
      <c r="M372" s="3" t="str">
        <f>VLOOKUP(D372,Lookup_Practice!$A$2:$B$7,2,FALSE)</f>
        <v>Premium</v>
      </c>
      <c r="N372" s="3" t="str">
        <f t="array" ref="N372">INDEX(Lookup_Practice!$B$2:$B$7,MATCH(D372,Lookup_Practice!$A$2:$A$7,0))</f>
        <v>Premium</v>
      </c>
      <c r="O372" s="3" t="str">
        <f t="array" ref="O372">XLOOKUP(D372,Lookup_Practice!$A$2:$A$7,Lookup_Practice!$B$2:$B$7)</f>
        <v>Premium</v>
      </c>
    </row>
    <row r="373">
      <c r="A373" s="1">
        <v>38.0</v>
      </c>
      <c r="B373" s="1" t="s">
        <v>18</v>
      </c>
      <c r="C373" s="1" t="s">
        <v>27</v>
      </c>
      <c r="D373" s="1" t="s">
        <v>30</v>
      </c>
      <c r="E373" s="1" t="s">
        <v>17</v>
      </c>
      <c r="F373" s="1">
        <v>953.0</v>
      </c>
      <c r="G373" s="1">
        <v>12.0</v>
      </c>
      <c r="H373" s="2">
        <v>45218.0</v>
      </c>
      <c r="I373" s="3" t="str">
        <f t="shared" si="1"/>
        <v>Middle Age (36-55)</v>
      </c>
      <c r="J373" s="3">
        <f t="shared" si="2"/>
        <v>10</v>
      </c>
      <c r="K373" s="3">
        <f t="shared" si="3"/>
        <v>2023</v>
      </c>
      <c r="L373" s="3" t="str">
        <f t="shared" si="4"/>
        <v>October</v>
      </c>
      <c r="M373" s="3" t="str">
        <f>VLOOKUP(D373,Lookup_Practice!$A$2:$B$7,2,FALSE)</f>
        <v>Standard</v>
      </c>
      <c r="N373" s="3" t="str">
        <f t="array" ref="N373">INDEX(Lookup_Practice!$B$2:$B$7,MATCH(D373,Lookup_Practice!$A$2:$A$7,0))</f>
        <v>Standard</v>
      </c>
      <c r="O373" s="3" t="str">
        <f t="array" ref="O373">XLOOKUP(D373,Lookup_Practice!$A$2:$A$7,Lookup_Practice!$B$2:$B$7)</f>
        <v>Standard</v>
      </c>
    </row>
    <row r="374">
      <c r="A374" s="1">
        <v>52.0</v>
      </c>
      <c r="B374" s="1" t="s">
        <v>14</v>
      </c>
      <c r="C374" s="1" t="s">
        <v>21</v>
      </c>
      <c r="D374" s="1" t="s">
        <v>16</v>
      </c>
      <c r="E374" s="1" t="s">
        <v>17</v>
      </c>
      <c r="F374" s="1">
        <v>951.0</v>
      </c>
      <c r="G374" s="1">
        <v>2.0</v>
      </c>
      <c r="H374" s="2">
        <v>44962.0</v>
      </c>
      <c r="I374" s="3" t="str">
        <f t="shared" si="1"/>
        <v>Middle Age (36-55)</v>
      </c>
      <c r="J374" s="3">
        <f t="shared" si="2"/>
        <v>2</v>
      </c>
      <c r="K374" s="3">
        <f t="shared" si="3"/>
        <v>2023</v>
      </c>
      <c r="L374" s="3" t="str">
        <f t="shared" si="4"/>
        <v>February</v>
      </c>
      <c r="M374" s="3" t="str">
        <f>VLOOKUP(D374,Lookup_Practice!$A$2:$B$7,2,FALSE)</f>
        <v>Premium</v>
      </c>
      <c r="N374" s="3" t="str">
        <f t="array" ref="N374">INDEX(Lookup_Practice!$B$2:$B$7,MATCH(D374,Lookup_Practice!$A$2:$A$7,0))</f>
        <v>Premium</v>
      </c>
      <c r="O374" s="3" t="str">
        <f t="array" ref="O374">XLOOKUP(D374,Lookup_Practice!$A$2:$A$7,Lookup_Practice!$B$2:$B$7)</f>
        <v>Premium</v>
      </c>
    </row>
    <row r="375">
      <c r="A375" s="1">
        <v>5.0</v>
      </c>
      <c r="B375" s="1" t="s">
        <v>18</v>
      </c>
      <c r="C375" s="1" t="s">
        <v>21</v>
      </c>
      <c r="D375" s="1" t="s">
        <v>20</v>
      </c>
      <c r="E375" s="1" t="s">
        <v>17</v>
      </c>
      <c r="F375" s="1">
        <v>1547.0</v>
      </c>
      <c r="G375" s="1">
        <v>19.0</v>
      </c>
      <c r="H375" s="2">
        <v>45344.0</v>
      </c>
      <c r="I375" s="3" t="str">
        <f t="shared" si="1"/>
        <v>Child (0-17)</v>
      </c>
      <c r="J375" s="3">
        <f t="shared" si="2"/>
        <v>2</v>
      </c>
      <c r="K375" s="3">
        <f t="shared" si="3"/>
        <v>2024</v>
      </c>
      <c r="L375" s="3" t="str">
        <f t="shared" si="4"/>
        <v>February</v>
      </c>
      <c r="M375" s="3" t="str">
        <f>VLOOKUP(D375,Lookup_Practice!$A$2:$B$7,2,FALSE)</f>
        <v>Standard</v>
      </c>
      <c r="N375" s="3" t="str">
        <f t="array" ref="N375">INDEX(Lookup_Practice!$B$2:$B$7,MATCH(D375,Lookup_Practice!$A$2:$A$7,0))</f>
        <v>Standard</v>
      </c>
      <c r="O375" s="3" t="str">
        <f t="array" ref="O375">XLOOKUP(D375,Lookup_Practice!$A$2:$A$7,Lookup_Practice!$B$2:$B$7)</f>
        <v>Standard</v>
      </c>
    </row>
    <row r="376">
      <c r="A376" s="1">
        <v>20.0</v>
      </c>
      <c r="B376" s="1" t="s">
        <v>18</v>
      </c>
      <c r="C376" s="1" t="s">
        <v>21</v>
      </c>
      <c r="D376" s="1" t="s">
        <v>26</v>
      </c>
      <c r="E376" s="1" t="s">
        <v>24</v>
      </c>
      <c r="F376" s="1">
        <v>559.0</v>
      </c>
      <c r="G376" s="1">
        <v>5.0</v>
      </c>
      <c r="H376" s="2">
        <v>45650.0</v>
      </c>
      <c r="I376" s="3" t="str">
        <f t="shared" si="1"/>
        <v>Young Adult (18-35)</v>
      </c>
      <c r="J376" s="3">
        <f t="shared" si="2"/>
        <v>12</v>
      </c>
      <c r="K376" s="3">
        <f t="shared" si="3"/>
        <v>2024</v>
      </c>
      <c r="L376" s="3" t="str">
        <f t="shared" si="4"/>
        <v>December</v>
      </c>
      <c r="M376" s="3" t="str">
        <f>VLOOKUP(D376,Lookup_Practice!$A$2:$B$7,2,FALSE)</f>
        <v>Premium</v>
      </c>
      <c r="N376" s="3" t="str">
        <f t="array" ref="N376">INDEX(Lookup_Practice!$B$2:$B$7,MATCH(D376,Lookup_Practice!$A$2:$A$7,0))</f>
        <v>Premium</v>
      </c>
      <c r="O376" s="3" t="str">
        <f t="array" ref="O376">XLOOKUP(D376,Lookup_Practice!$A$2:$A$7,Lookup_Practice!$B$2:$B$7)</f>
        <v>Premium</v>
      </c>
    </row>
    <row r="377">
      <c r="A377" s="1">
        <v>65.0</v>
      </c>
      <c r="B377" s="1" t="s">
        <v>18</v>
      </c>
      <c r="C377" s="1" t="s">
        <v>21</v>
      </c>
      <c r="D377" s="1" t="s">
        <v>20</v>
      </c>
      <c r="E377" s="1" t="s">
        <v>17</v>
      </c>
      <c r="F377" s="1">
        <v>1413.0</v>
      </c>
      <c r="G377" s="1">
        <v>8.0</v>
      </c>
      <c r="H377" s="2">
        <v>45357.0</v>
      </c>
      <c r="I377" s="3" t="str">
        <f t="shared" si="1"/>
        <v>Senior (56+)</v>
      </c>
      <c r="J377" s="3">
        <f t="shared" si="2"/>
        <v>3</v>
      </c>
      <c r="K377" s="3">
        <f t="shared" si="3"/>
        <v>2024</v>
      </c>
      <c r="L377" s="3" t="str">
        <f t="shared" si="4"/>
        <v>March</v>
      </c>
      <c r="M377" s="3" t="str">
        <f>VLOOKUP(D377,Lookup_Practice!$A$2:$B$7,2,FALSE)</f>
        <v>Standard</v>
      </c>
      <c r="N377" s="3" t="str">
        <f t="array" ref="N377">INDEX(Lookup_Practice!$B$2:$B$7,MATCH(D377,Lookup_Practice!$A$2:$A$7,0))</f>
        <v>Standard</v>
      </c>
      <c r="O377" s="3" t="str">
        <f t="array" ref="O377">XLOOKUP(D377,Lookup_Practice!$A$2:$A$7,Lookup_Practice!$B$2:$B$7)</f>
        <v>Standard</v>
      </c>
    </row>
    <row r="378">
      <c r="A378" s="1">
        <v>68.0</v>
      </c>
      <c r="B378" s="1" t="s">
        <v>14</v>
      </c>
      <c r="C378" s="1" t="s">
        <v>31</v>
      </c>
      <c r="D378" s="1" t="s">
        <v>23</v>
      </c>
      <c r="E378" s="1" t="s">
        <v>17</v>
      </c>
      <c r="F378" s="1">
        <v>1277.0</v>
      </c>
      <c r="G378" s="1">
        <v>7.0</v>
      </c>
      <c r="H378" s="2">
        <v>45568.0</v>
      </c>
      <c r="I378" s="3" t="str">
        <f t="shared" si="1"/>
        <v>Senior (56+)</v>
      </c>
      <c r="J378" s="3">
        <f t="shared" si="2"/>
        <v>10</v>
      </c>
      <c r="K378" s="3">
        <f t="shared" si="3"/>
        <v>2024</v>
      </c>
      <c r="L378" s="3" t="str">
        <f t="shared" si="4"/>
        <v>October</v>
      </c>
      <c r="M378" s="3" t="str">
        <f>VLOOKUP(D378,Lookup_Practice!$A$2:$B$7,2,FALSE)</f>
        <v>Standard</v>
      </c>
      <c r="N378" s="3" t="str">
        <f t="array" ref="N378">INDEX(Lookup_Practice!$B$2:$B$7,MATCH(D378,Lookup_Practice!$A$2:$A$7,0))</f>
        <v>Standard</v>
      </c>
      <c r="O378" s="3" t="str">
        <f t="array" ref="O378">XLOOKUP(D378,Lookup_Practice!$A$2:$A$7,Lookup_Practice!$B$2:$B$7)</f>
        <v>Standard</v>
      </c>
    </row>
    <row r="379">
      <c r="A379" s="1">
        <v>67.0</v>
      </c>
      <c r="B379" s="1" t="s">
        <v>18</v>
      </c>
      <c r="C379" s="1" t="s">
        <v>21</v>
      </c>
      <c r="D379" s="1" t="s">
        <v>23</v>
      </c>
      <c r="E379" s="1" t="s">
        <v>28</v>
      </c>
      <c r="F379" s="1">
        <v>1152.0</v>
      </c>
      <c r="G379" s="1">
        <v>14.0</v>
      </c>
      <c r="H379" s="2">
        <v>45129.0</v>
      </c>
      <c r="I379" s="3" t="str">
        <f t="shared" si="1"/>
        <v>Senior (56+)</v>
      </c>
      <c r="J379" s="3">
        <f t="shared" si="2"/>
        <v>7</v>
      </c>
      <c r="K379" s="3">
        <f t="shared" si="3"/>
        <v>2023</v>
      </c>
      <c r="L379" s="3" t="str">
        <f t="shared" si="4"/>
        <v>July</v>
      </c>
      <c r="M379" s="3" t="str">
        <f>VLOOKUP(D379,Lookup_Practice!$A$2:$B$7,2,FALSE)</f>
        <v>Standard</v>
      </c>
      <c r="N379" s="3" t="str">
        <f t="array" ref="N379">INDEX(Lookup_Practice!$B$2:$B$7,MATCH(D379,Lookup_Practice!$A$2:$A$7,0))</f>
        <v>Standard</v>
      </c>
      <c r="O379" s="3" t="str">
        <f t="array" ref="O379">XLOOKUP(D379,Lookup_Practice!$A$2:$A$7,Lookup_Practice!$B$2:$B$7)</f>
        <v>Standard</v>
      </c>
    </row>
    <row r="380">
      <c r="A380" s="1">
        <v>73.0</v>
      </c>
      <c r="B380" s="1" t="s">
        <v>14</v>
      </c>
      <c r="C380" s="1" t="s">
        <v>21</v>
      </c>
      <c r="D380" s="1" t="s">
        <v>16</v>
      </c>
      <c r="E380" s="1" t="s">
        <v>17</v>
      </c>
      <c r="F380" s="1">
        <v>921.0</v>
      </c>
      <c r="G380" s="1">
        <v>3.0</v>
      </c>
      <c r="H380" s="2">
        <v>44958.0</v>
      </c>
      <c r="I380" s="3" t="str">
        <f t="shared" si="1"/>
        <v>Senior (56+)</v>
      </c>
      <c r="J380" s="3">
        <f t="shared" si="2"/>
        <v>2</v>
      </c>
      <c r="K380" s="3">
        <f t="shared" si="3"/>
        <v>2023</v>
      </c>
      <c r="L380" s="3" t="str">
        <f t="shared" si="4"/>
        <v>February</v>
      </c>
      <c r="M380" s="3" t="str">
        <f>VLOOKUP(D380,Lookup_Practice!$A$2:$B$7,2,FALSE)</f>
        <v>Premium</v>
      </c>
      <c r="N380" s="3" t="str">
        <f t="array" ref="N380">INDEX(Lookup_Practice!$B$2:$B$7,MATCH(D380,Lookup_Practice!$A$2:$A$7,0))</f>
        <v>Premium</v>
      </c>
      <c r="O380" s="3" t="str">
        <f t="array" ref="O380">XLOOKUP(D380,Lookup_Practice!$A$2:$A$7,Lookup_Practice!$B$2:$B$7)</f>
        <v>Premium</v>
      </c>
    </row>
    <row r="381">
      <c r="A381" s="1">
        <v>26.0</v>
      </c>
      <c r="B381" s="1" t="s">
        <v>14</v>
      </c>
      <c r="C381" s="1" t="s">
        <v>21</v>
      </c>
      <c r="D381" s="1" t="s">
        <v>22</v>
      </c>
      <c r="E381" s="1" t="s">
        <v>17</v>
      </c>
      <c r="F381" s="1">
        <v>729.0</v>
      </c>
      <c r="G381" s="1">
        <v>18.0</v>
      </c>
      <c r="H381" s="2">
        <v>44946.0</v>
      </c>
      <c r="I381" s="3" t="str">
        <f t="shared" si="1"/>
        <v>Young Adult (18-35)</v>
      </c>
      <c r="J381" s="3">
        <f t="shared" si="2"/>
        <v>1</v>
      </c>
      <c r="K381" s="3">
        <f t="shared" si="3"/>
        <v>2023</v>
      </c>
      <c r="L381" s="3" t="str">
        <f t="shared" si="4"/>
        <v>January</v>
      </c>
      <c r="M381" s="3" t="str">
        <f>VLOOKUP(D381,Lookup_Practice!$A$2:$B$7,2,FALSE)</f>
        <v>Basic</v>
      </c>
      <c r="N381" s="3" t="str">
        <f t="array" ref="N381">INDEX(Lookup_Practice!$B$2:$B$7,MATCH(D381,Lookup_Practice!$A$2:$A$7,0))</f>
        <v>Basic</v>
      </c>
      <c r="O381" s="3" t="str">
        <f t="array" ref="O381">XLOOKUP(D381,Lookup_Practice!$A$2:$A$7,Lookup_Practice!$B$2:$B$7)</f>
        <v>Basic</v>
      </c>
    </row>
    <row r="382">
      <c r="A382" s="1">
        <v>71.0</v>
      </c>
      <c r="B382" s="1" t="s">
        <v>18</v>
      </c>
      <c r="C382" s="1" t="s">
        <v>25</v>
      </c>
      <c r="D382" s="1" t="s">
        <v>22</v>
      </c>
      <c r="E382" s="1" t="s">
        <v>28</v>
      </c>
      <c r="F382" s="1">
        <v>890.0</v>
      </c>
      <c r="G382" s="1">
        <v>16.0</v>
      </c>
      <c r="H382" s="2">
        <v>45465.0</v>
      </c>
      <c r="I382" s="3" t="str">
        <f t="shared" si="1"/>
        <v>Senior (56+)</v>
      </c>
      <c r="J382" s="3">
        <f t="shared" si="2"/>
        <v>6</v>
      </c>
      <c r="K382" s="3">
        <f t="shared" si="3"/>
        <v>2024</v>
      </c>
      <c r="L382" s="3" t="str">
        <f t="shared" si="4"/>
        <v>June</v>
      </c>
      <c r="M382" s="3" t="str">
        <f>VLOOKUP(D382,Lookup_Practice!$A$2:$B$7,2,FALSE)</f>
        <v>Basic</v>
      </c>
      <c r="N382" s="3" t="str">
        <f t="array" ref="N382">INDEX(Lookup_Practice!$B$2:$B$7,MATCH(D382,Lookup_Practice!$A$2:$A$7,0))</f>
        <v>Basic</v>
      </c>
      <c r="O382" s="3" t="str">
        <f t="array" ref="O382">XLOOKUP(D382,Lookup_Practice!$A$2:$A$7,Lookup_Practice!$B$2:$B$7)</f>
        <v>Basic</v>
      </c>
    </row>
    <row r="383">
      <c r="A383" s="1">
        <v>30.0</v>
      </c>
      <c r="B383" s="1" t="s">
        <v>14</v>
      </c>
      <c r="C383" s="1" t="s">
        <v>15</v>
      </c>
      <c r="D383" s="1" t="s">
        <v>16</v>
      </c>
      <c r="E383" s="1" t="s">
        <v>17</v>
      </c>
      <c r="F383" s="1">
        <v>1159.0</v>
      </c>
      <c r="G383" s="1">
        <v>19.0</v>
      </c>
      <c r="H383" s="2">
        <v>45551.0</v>
      </c>
      <c r="I383" s="3" t="str">
        <f t="shared" si="1"/>
        <v>Young Adult (18-35)</v>
      </c>
      <c r="J383" s="3">
        <f t="shared" si="2"/>
        <v>9</v>
      </c>
      <c r="K383" s="3">
        <f t="shared" si="3"/>
        <v>2024</v>
      </c>
      <c r="L383" s="3" t="str">
        <f t="shared" si="4"/>
        <v>September</v>
      </c>
      <c r="M383" s="3" t="str">
        <f>VLOOKUP(D383,Lookup_Practice!$A$2:$B$7,2,FALSE)</f>
        <v>Premium</v>
      </c>
      <c r="N383" s="3" t="str">
        <f t="array" ref="N383">INDEX(Lookup_Practice!$B$2:$B$7,MATCH(D383,Lookup_Practice!$A$2:$A$7,0))</f>
        <v>Premium</v>
      </c>
      <c r="O383" s="3" t="str">
        <f t="array" ref="O383">XLOOKUP(D383,Lookup_Practice!$A$2:$A$7,Lookup_Practice!$B$2:$B$7)</f>
        <v>Premium</v>
      </c>
    </row>
    <row r="384">
      <c r="A384" s="1">
        <v>20.0</v>
      </c>
      <c r="B384" s="1" t="s">
        <v>18</v>
      </c>
      <c r="C384" s="1" t="s">
        <v>29</v>
      </c>
      <c r="D384" s="1" t="s">
        <v>23</v>
      </c>
      <c r="E384" s="1" t="s">
        <v>24</v>
      </c>
      <c r="F384" s="1">
        <v>1304.0</v>
      </c>
      <c r="G384" s="1">
        <v>19.0</v>
      </c>
      <c r="H384" s="2">
        <v>45374.0</v>
      </c>
      <c r="I384" s="3" t="str">
        <f t="shared" si="1"/>
        <v>Young Adult (18-35)</v>
      </c>
      <c r="J384" s="3">
        <f t="shared" si="2"/>
        <v>3</v>
      </c>
      <c r="K384" s="3">
        <f t="shared" si="3"/>
        <v>2024</v>
      </c>
      <c r="L384" s="3" t="str">
        <f t="shared" si="4"/>
        <v>March</v>
      </c>
      <c r="M384" s="3" t="str">
        <f>VLOOKUP(D384,Lookup_Practice!$A$2:$B$7,2,FALSE)</f>
        <v>Standard</v>
      </c>
      <c r="N384" s="3" t="str">
        <f t="array" ref="N384">INDEX(Lookup_Practice!$B$2:$B$7,MATCH(D384,Lookup_Practice!$A$2:$A$7,0))</f>
        <v>Standard</v>
      </c>
      <c r="O384" s="3" t="str">
        <f t="array" ref="O384">XLOOKUP(D384,Lookup_Practice!$A$2:$A$7,Lookup_Practice!$B$2:$B$7)</f>
        <v>Standard</v>
      </c>
    </row>
    <row r="385">
      <c r="A385" s="1">
        <v>55.0</v>
      </c>
      <c r="B385" s="1" t="s">
        <v>18</v>
      </c>
      <c r="C385" s="1" t="s">
        <v>21</v>
      </c>
      <c r="D385" s="1" t="s">
        <v>23</v>
      </c>
      <c r="E385" s="1" t="s">
        <v>28</v>
      </c>
      <c r="F385" s="1">
        <v>1158.0</v>
      </c>
      <c r="G385" s="1">
        <v>18.0</v>
      </c>
      <c r="H385" s="2">
        <v>45088.0</v>
      </c>
      <c r="I385" s="3" t="str">
        <f t="shared" si="1"/>
        <v>Middle Age (36-55)</v>
      </c>
      <c r="J385" s="3">
        <f t="shared" si="2"/>
        <v>6</v>
      </c>
      <c r="K385" s="3">
        <f t="shared" si="3"/>
        <v>2023</v>
      </c>
      <c r="L385" s="3" t="str">
        <f t="shared" si="4"/>
        <v>June</v>
      </c>
      <c r="M385" s="3" t="str">
        <f>VLOOKUP(D385,Lookup_Practice!$A$2:$B$7,2,FALSE)</f>
        <v>Standard</v>
      </c>
      <c r="N385" s="3" t="str">
        <f t="array" ref="N385">INDEX(Lookup_Practice!$B$2:$B$7,MATCH(D385,Lookup_Practice!$A$2:$A$7,0))</f>
        <v>Standard</v>
      </c>
      <c r="O385" s="3" t="str">
        <f t="array" ref="O385">XLOOKUP(D385,Lookup_Practice!$A$2:$A$7,Lookup_Practice!$B$2:$B$7)</f>
        <v>Standard</v>
      </c>
    </row>
    <row r="386">
      <c r="A386" s="1">
        <v>61.0</v>
      </c>
      <c r="B386" s="1" t="s">
        <v>14</v>
      </c>
      <c r="C386" s="1" t="s">
        <v>31</v>
      </c>
      <c r="D386" s="1" t="s">
        <v>23</v>
      </c>
      <c r="E386" s="1" t="s">
        <v>28</v>
      </c>
      <c r="F386" s="1">
        <v>1363.0</v>
      </c>
      <c r="G386" s="1">
        <v>20.0</v>
      </c>
      <c r="H386" s="2">
        <v>45364.0</v>
      </c>
      <c r="I386" s="3" t="str">
        <f t="shared" si="1"/>
        <v>Senior (56+)</v>
      </c>
      <c r="J386" s="3">
        <f t="shared" si="2"/>
        <v>3</v>
      </c>
      <c r="K386" s="3">
        <f t="shared" si="3"/>
        <v>2024</v>
      </c>
      <c r="L386" s="3" t="str">
        <f t="shared" si="4"/>
        <v>March</v>
      </c>
      <c r="M386" s="3" t="str">
        <f>VLOOKUP(D386,Lookup_Practice!$A$2:$B$7,2,FALSE)</f>
        <v>Standard</v>
      </c>
      <c r="N386" s="3" t="str">
        <f t="array" ref="N386">INDEX(Lookup_Practice!$B$2:$B$7,MATCH(D386,Lookup_Practice!$A$2:$A$7,0))</f>
        <v>Standard</v>
      </c>
      <c r="O386" s="3" t="str">
        <f t="array" ref="O386">XLOOKUP(D386,Lookup_Practice!$A$2:$A$7,Lookup_Practice!$B$2:$B$7)</f>
        <v>Standard</v>
      </c>
    </row>
    <row r="387">
      <c r="A387" s="1">
        <v>33.0</v>
      </c>
      <c r="B387" s="1" t="s">
        <v>14</v>
      </c>
      <c r="C387" s="1" t="s">
        <v>25</v>
      </c>
      <c r="D387" s="1" t="s">
        <v>20</v>
      </c>
      <c r="E387" s="1" t="s">
        <v>17</v>
      </c>
      <c r="F387" s="1">
        <v>1411.0</v>
      </c>
      <c r="G387" s="1">
        <v>16.0</v>
      </c>
      <c r="H387" s="2">
        <v>44953.0</v>
      </c>
      <c r="I387" s="3" t="str">
        <f t="shared" si="1"/>
        <v>Young Adult (18-35)</v>
      </c>
      <c r="J387" s="3">
        <f t="shared" si="2"/>
        <v>1</v>
      </c>
      <c r="K387" s="3">
        <f t="shared" si="3"/>
        <v>2023</v>
      </c>
      <c r="L387" s="3" t="str">
        <f t="shared" si="4"/>
        <v>January</v>
      </c>
      <c r="M387" s="3" t="str">
        <f>VLOOKUP(D387,Lookup_Practice!$A$2:$B$7,2,FALSE)</f>
        <v>Standard</v>
      </c>
      <c r="N387" s="3" t="str">
        <f t="array" ref="N387">INDEX(Lookup_Practice!$B$2:$B$7,MATCH(D387,Lookup_Practice!$A$2:$A$7,0))</f>
        <v>Standard</v>
      </c>
      <c r="O387" s="3" t="str">
        <f t="array" ref="O387">XLOOKUP(D387,Lookup_Practice!$A$2:$A$7,Lookup_Practice!$B$2:$B$7)</f>
        <v>Standard</v>
      </c>
    </row>
    <row r="388">
      <c r="A388" s="1">
        <v>73.0</v>
      </c>
      <c r="B388" s="1" t="s">
        <v>14</v>
      </c>
      <c r="C388" s="1" t="s">
        <v>21</v>
      </c>
      <c r="D388" s="1" t="s">
        <v>23</v>
      </c>
      <c r="E388" s="1" t="s">
        <v>17</v>
      </c>
      <c r="F388" s="1">
        <v>1218.0</v>
      </c>
      <c r="G388" s="1">
        <v>8.0</v>
      </c>
      <c r="H388" s="2">
        <v>45270.0</v>
      </c>
      <c r="I388" s="3" t="str">
        <f t="shared" si="1"/>
        <v>Senior (56+)</v>
      </c>
      <c r="J388" s="3">
        <f t="shared" si="2"/>
        <v>12</v>
      </c>
      <c r="K388" s="3">
        <f t="shared" si="3"/>
        <v>2023</v>
      </c>
      <c r="L388" s="3" t="str">
        <f t="shared" si="4"/>
        <v>December</v>
      </c>
      <c r="M388" s="3" t="str">
        <f>VLOOKUP(D388,Lookup_Practice!$A$2:$B$7,2,FALSE)</f>
        <v>Standard</v>
      </c>
      <c r="N388" s="3" t="str">
        <f t="array" ref="N388">INDEX(Lookup_Practice!$B$2:$B$7,MATCH(D388,Lookup_Practice!$A$2:$A$7,0))</f>
        <v>Standard</v>
      </c>
      <c r="O388" s="3" t="str">
        <f t="array" ref="O388">XLOOKUP(D388,Lookup_Practice!$A$2:$A$7,Lookup_Practice!$B$2:$B$7)</f>
        <v>Standard</v>
      </c>
    </row>
    <row r="389">
      <c r="A389" s="1">
        <v>51.0</v>
      </c>
      <c r="B389" s="1" t="s">
        <v>18</v>
      </c>
      <c r="C389" s="1" t="s">
        <v>15</v>
      </c>
      <c r="D389" s="1" t="s">
        <v>30</v>
      </c>
      <c r="E389" s="1" t="s">
        <v>17</v>
      </c>
      <c r="F389" s="1">
        <v>1189.0</v>
      </c>
      <c r="G389" s="1">
        <v>1.0</v>
      </c>
      <c r="H389" s="2">
        <v>45049.0</v>
      </c>
      <c r="I389" s="3" t="str">
        <f t="shared" si="1"/>
        <v>Middle Age (36-55)</v>
      </c>
      <c r="J389" s="3">
        <f t="shared" si="2"/>
        <v>5</v>
      </c>
      <c r="K389" s="3">
        <f t="shared" si="3"/>
        <v>2023</v>
      </c>
      <c r="L389" s="3" t="str">
        <f t="shared" si="4"/>
        <v>May</v>
      </c>
      <c r="M389" s="3" t="str">
        <f>VLOOKUP(D389,Lookup_Practice!$A$2:$B$7,2,FALSE)</f>
        <v>Standard</v>
      </c>
      <c r="N389" s="3" t="str">
        <f t="array" ref="N389">INDEX(Lookup_Practice!$B$2:$B$7,MATCH(D389,Lookup_Practice!$A$2:$A$7,0))</f>
        <v>Standard</v>
      </c>
      <c r="O389" s="3" t="str">
        <f t="array" ref="O389">XLOOKUP(D389,Lookup_Practice!$A$2:$A$7,Lookup_Practice!$B$2:$B$7)</f>
        <v>Standard</v>
      </c>
    </row>
    <row r="390">
      <c r="A390" s="1">
        <v>66.0</v>
      </c>
      <c r="B390" s="1" t="s">
        <v>18</v>
      </c>
      <c r="C390" s="1" t="s">
        <v>19</v>
      </c>
      <c r="D390" s="1" t="s">
        <v>26</v>
      </c>
      <c r="E390" s="1" t="s">
        <v>24</v>
      </c>
      <c r="F390" s="1">
        <v>647.0</v>
      </c>
      <c r="G390" s="1">
        <v>17.0</v>
      </c>
      <c r="H390" s="2">
        <v>45208.0</v>
      </c>
      <c r="I390" s="3" t="str">
        <f t="shared" si="1"/>
        <v>Senior (56+)</v>
      </c>
      <c r="J390" s="3">
        <f t="shared" si="2"/>
        <v>10</v>
      </c>
      <c r="K390" s="3">
        <f t="shared" si="3"/>
        <v>2023</v>
      </c>
      <c r="L390" s="3" t="str">
        <f t="shared" si="4"/>
        <v>October</v>
      </c>
      <c r="M390" s="3" t="str">
        <f>VLOOKUP(D390,Lookup_Practice!$A$2:$B$7,2,FALSE)</f>
        <v>Premium</v>
      </c>
      <c r="N390" s="3" t="str">
        <f t="array" ref="N390">INDEX(Lookup_Practice!$B$2:$B$7,MATCH(D390,Lookup_Practice!$A$2:$A$7,0))</f>
        <v>Premium</v>
      </c>
      <c r="O390" s="3" t="str">
        <f t="array" ref="O390">XLOOKUP(D390,Lookup_Practice!$A$2:$A$7,Lookup_Practice!$B$2:$B$7)</f>
        <v>Premium</v>
      </c>
    </row>
    <row r="391">
      <c r="A391" s="1">
        <v>73.0</v>
      </c>
      <c r="B391" s="1" t="s">
        <v>18</v>
      </c>
      <c r="C391" s="1" t="s">
        <v>27</v>
      </c>
      <c r="D391" s="1" t="s">
        <v>23</v>
      </c>
      <c r="E391" s="1" t="s">
        <v>24</v>
      </c>
      <c r="F391" s="1">
        <v>1226.0</v>
      </c>
      <c r="G391" s="1">
        <v>12.0</v>
      </c>
      <c r="H391" s="2">
        <v>45242.0</v>
      </c>
      <c r="I391" s="3" t="str">
        <f t="shared" si="1"/>
        <v>Senior (56+)</v>
      </c>
      <c r="J391" s="3">
        <f t="shared" si="2"/>
        <v>11</v>
      </c>
      <c r="K391" s="3">
        <f t="shared" si="3"/>
        <v>2023</v>
      </c>
      <c r="L391" s="3" t="str">
        <f t="shared" si="4"/>
        <v>November</v>
      </c>
      <c r="M391" s="3" t="str">
        <f>VLOOKUP(D391,Lookup_Practice!$A$2:$B$7,2,FALSE)</f>
        <v>Standard</v>
      </c>
      <c r="N391" s="3" t="str">
        <f t="array" ref="N391">INDEX(Lookup_Practice!$B$2:$B$7,MATCH(D391,Lookup_Practice!$A$2:$A$7,0))</f>
        <v>Standard</v>
      </c>
      <c r="O391" s="3" t="str">
        <f t="array" ref="O391">XLOOKUP(D391,Lookup_Practice!$A$2:$A$7,Lookup_Practice!$B$2:$B$7)</f>
        <v>Standard</v>
      </c>
    </row>
    <row r="392">
      <c r="A392" s="1">
        <v>20.0</v>
      </c>
      <c r="B392" s="1" t="s">
        <v>18</v>
      </c>
      <c r="C392" s="1" t="s">
        <v>15</v>
      </c>
      <c r="D392" s="1" t="s">
        <v>16</v>
      </c>
      <c r="E392" s="1" t="s">
        <v>17</v>
      </c>
      <c r="F392" s="1">
        <v>974.0</v>
      </c>
      <c r="G392" s="1">
        <v>11.0</v>
      </c>
      <c r="H392" s="2">
        <v>45039.0</v>
      </c>
      <c r="I392" s="3" t="str">
        <f t="shared" si="1"/>
        <v>Young Adult (18-35)</v>
      </c>
      <c r="J392" s="3">
        <f t="shared" si="2"/>
        <v>4</v>
      </c>
      <c r="K392" s="3">
        <f t="shared" si="3"/>
        <v>2023</v>
      </c>
      <c r="L392" s="3" t="str">
        <f t="shared" si="4"/>
        <v>April</v>
      </c>
      <c r="M392" s="3" t="str">
        <f>VLOOKUP(D392,Lookup_Practice!$A$2:$B$7,2,FALSE)</f>
        <v>Premium</v>
      </c>
      <c r="N392" s="3" t="str">
        <f t="array" ref="N392">INDEX(Lookup_Practice!$B$2:$B$7,MATCH(D392,Lookup_Practice!$A$2:$A$7,0))</f>
        <v>Premium</v>
      </c>
      <c r="O392" s="3" t="str">
        <f t="array" ref="O392">XLOOKUP(D392,Lookup_Practice!$A$2:$A$7,Lookup_Practice!$B$2:$B$7)</f>
        <v>Premium</v>
      </c>
    </row>
    <row r="393">
      <c r="A393" s="1">
        <v>52.0</v>
      </c>
      <c r="B393" s="1" t="s">
        <v>18</v>
      </c>
      <c r="C393" s="1" t="s">
        <v>15</v>
      </c>
      <c r="D393" s="1" t="s">
        <v>26</v>
      </c>
      <c r="E393" s="1" t="s">
        <v>17</v>
      </c>
      <c r="F393" s="1">
        <v>603.0</v>
      </c>
      <c r="G393" s="1">
        <v>5.0</v>
      </c>
      <c r="H393" s="2">
        <v>45487.0</v>
      </c>
      <c r="I393" s="3" t="str">
        <f t="shared" si="1"/>
        <v>Middle Age (36-55)</v>
      </c>
      <c r="J393" s="3">
        <f t="shared" si="2"/>
        <v>7</v>
      </c>
      <c r="K393" s="3">
        <f t="shared" si="3"/>
        <v>2024</v>
      </c>
      <c r="L393" s="3" t="str">
        <f t="shared" si="4"/>
        <v>July</v>
      </c>
      <c r="M393" s="3" t="str">
        <f>VLOOKUP(D393,Lookup_Practice!$A$2:$B$7,2,FALSE)</f>
        <v>Premium</v>
      </c>
      <c r="N393" s="3" t="str">
        <f t="array" ref="N393">INDEX(Lookup_Practice!$B$2:$B$7,MATCH(D393,Lookup_Practice!$A$2:$A$7,0))</f>
        <v>Premium</v>
      </c>
      <c r="O393" s="3" t="str">
        <f t="array" ref="O393">XLOOKUP(D393,Lookup_Practice!$A$2:$A$7,Lookup_Practice!$B$2:$B$7)</f>
        <v>Premium</v>
      </c>
    </row>
    <row r="394">
      <c r="A394" s="1">
        <v>43.0</v>
      </c>
      <c r="B394" s="1" t="s">
        <v>18</v>
      </c>
      <c r="C394" s="1" t="s">
        <v>27</v>
      </c>
      <c r="D394" s="1" t="s">
        <v>20</v>
      </c>
      <c r="E394" s="1" t="s">
        <v>17</v>
      </c>
      <c r="F394" s="1">
        <v>1448.0</v>
      </c>
      <c r="G394" s="1">
        <v>12.0</v>
      </c>
      <c r="H394" s="2">
        <v>45078.0</v>
      </c>
      <c r="I394" s="3" t="str">
        <f t="shared" si="1"/>
        <v>Middle Age (36-55)</v>
      </c>
      <c r="J394" s="3">
        <f t="shared" si="2"/>
        <v>6</v>
      </c>
      <c r="K394" s="3">
        <f t="shared" si="3"/>
        <v>2023</v>
      </c>
      <c r="L394" s="3" t="str">
        <f t="shared" si="4"/>
        <v>June</v>
      </c>
      <c r="M394" s="3" t="str">
        <f>VLOOKUP(D394,Lookup_Practice!$A$2:$B$7,2,FALSE)</f>
        <v>Standard</v>
      </c>
      <c r="N394" s="3" t="str">
        <f t="array" ref="N394">INDEX(Lookup_Practice!$B$2:$B$7,MATCH(D394,Lookup_Practice!$A$2:$A$7,0))</f>
        <v>Standard</v>
      </c>
      <c r="O394" s="3" t="str">
        <f t="array" ref="O394">XLOOKUP(D394,Lookup_Practice!$A$2:$A$7,Lookup_Practice!$B$2:$B$7)</f>
        <v>Standard</v>
      </c>
    </row>
    <row r="395">
      <c r="A395" s="1">
        <v>37.0</v>
      </c>
      <c r="B395" s="1" t="s">
        <v>18</v>
      </c>
      <c r="C395" s="1" t="s">
        <v>25</v>
      </c>
      <c r="D395" s="1" t="s">
        <v>16</v>
      </c>
      <c r="E395" s="1" t="s">
        <v>17</v>
      </c>
      <c r="F395" s="1">
        <v>978.0</v>
      </c>
      <c r="G395" s="1">
        <v>17.0</v>
      </c>
      <c r="H395" s="2">
        <v>45217.0</v>
      </c>
      <c r="I395" s="3" t="str">
        <f t="shared" si="1"/>
        <v>Middle Age (36-55)</v>
      </c>
      <c r="J395" s="3">
        <f t="shared" si="2"/>
        <v>10</v>
      </c>
      <c r="K395" s="3">
        <f t="shared" si="3"/>
        <v>2023</v>
      </c>
      <c r="L395" s="3" t="str">
        <f t="shared" si="4"/>
        <v>October</v>
      </c>
      <c r="M395" s="3" t="str">
        <f>VLOOKUP(D395,Lookup_Practice!$A$2:$B$7,2,FALSE)</f>
        <v>Premium</v>
      </c>
      <c r="N395" s="3" t="str">
        <f t="array" ref="N395">INDEX(Lookup_Practice!$B$2:$B$7,MATCH(D395,Lookup_Practice!$A$2:$A$7,0))</f>
        <v>Premium</v>
      </c>
      <c r="O395" s="3" t="str">
        <f t="array" ref="O395">XLOOKUP(D395,Lookup_Practice!$A$2:$A$7,Lookup_Practice!$B$2:$B$7)</f>
        <v>Premium</v>
      </c>
    </row>
    <row r="396">
      <c r="A396" s="1">
        <v>27.0</v>
      </c>
      <c r="B396" s="1" t="s">
        <v>18</v>
      </c>
      <c r="C396" s="1" t="s">
        <v>21</v>
      </c>
      <c r="D396" s="1" t="s">
        <v>26</v>
      </c>
      <c r="E396" s="1" t="s">
        <v>24</v>
      </c>
      <c r="F396" s="1">
        <v>640.0</v>
      </c>
      <c r="G396" s="1">
        <v>6.0</v>
      </c>
      <c r="H396" s="2">
        <v>45490.0</v>
      </c>
      <c r="I396" s="3" t="str">
        <f t="shared" si="1"/>
        <v>Young Adult (18-35)</v>
      </c>
      <c r="J396" s="3">
        <f t="shared" si="2"/>
        <v>7</v>
      </c>
      <c r="K396" s="3">
        <f t="shared" si="3"/>
        <v>2024</v>
      </c>
      <c r="L396" s="3" t="str">
        <f t="shared" si="4"/>
        <v>July</v>
      </c>
      <c r="M396" s="3" t="str">
        <f>VLOOKUP(D396,Lookup_Practice!$A$2:$B$7,2,FALSE)</f>
        <v>Premium</v>
      </c>
      <c r="N396" s="3" t="str">
        <f t="array" ref="N396">INDEX(Lookup_Practice!$B$2:$B$7,MATCH(D396,Lookup_Practice!$A$2:$A$7,0))</f>
        <v>Premium</v>
      </c>
      <c r="O396" s="3" t="str">
        <f t="array" ref="O396">XLOOKUP(D396,Lookup_Practice!$A$2:$A$7,Lookup_Practice!$B$2:$B$7)</f>
        <v>Premium</v>
      </c>
    </row>
    <row r="397">
      <c r="A397" s="1">
        <v>14.0</v>
      </c>
      <c r="B397" s="1" t="s">
        <v>18</v>
      </c>
      <c r="C397" s="1" t="s">
        <v>27</v>
      </c>
      <c r="D397" s="1" t="s">
        <v>16</v>
      </c>
      <c r="E397" s="1" t="s">
        <v>17</v>
      </c>
      <c r="F397" s="1">
        <v>1053.0</v>
      </c>
      <c r="G397" s="1">
        <v>1.0</v>
      </c>
      <c r="H397" s="2">
        <v>45073.0</v>
      </c>
      <c r="I397" s="3" t="str">
        <f t="shared" si="1"/>
        <v>Child (0-17)</v>
      </c>
      <c r="J397" s="3">
        <f t="shared" si="2"/>
        <v>5</v>
      </c>
      <c r="K397" s="3">
        <f t="shared" si="3"/>
        <v>2023</v>
      </c>
      <c r="L397" s="3" t="str">
        <f t="shared" si="4"/>
        <v>May</v>
      </c>
      <c r="M397" s="3" t="str">
        <f>VLOOKUP(D397,Lookup_Practice!$A$2:$B$7,2,FALSE)</f>
        <v>Premium</v>
      </c>
      <c r="N397" s="3" t="str">
        <f t="array" ref="N397">INDEX(Lookup_Practice!$B$2:$B$7,MATCH(D397,Lookup_Practice!$A$2:$A$7,0))</f>
        <v>Premium</v>
      </c>
      <c r="O397" s="3" t="str">
        <f t="array" ref="O397">XLOOKUP(D397,Lookup_Practice!$A$2:$A$7,Lookup_Practice!$B$2:$B$7)</f>
        <v>Premium</v>
      </c>
    </row>
    <row r="398">
      <c r="A398" s="1">
        <v>73.0</v>
      </c>
      <c r="B398" s="1" t="s">
        <v>18</v>
      </c>
      <c r="C398" s="1" t="s">
        <v>21</v>
      </c>
      <c r="D398" s="1" t="s">
        <v>20</v>
      </c>
      <c r="E398" s="1" t="s">
        <v>28</v>
      </c>
      <c r="F398" s="1">
        <v>1673.0</v>
      </c>
      <c r="G398" s="1">
        <v>5.0</v>
      </c>
      <c r="H398" s="2">
        <v>45391.0</v>
      </c>
      <c r="I398" s="3" t="str">
        <f t="shared" si="1"/>
        <v>Senior (56+)</v>
      </c>
      <c r="J398" s="3">
        <f t="shared" si="2"/>
        <v>4</v>
      </c>
      <c r="K398" s="3">
        <f t="shared" si="3"/>
        <v>2024</v>
      </c>
      <c r="L398" s="3" t="str">
        <f t="shared" si="4"/>
        <v>April</v>
      </c>
      <c r="M398" s="3" t="str">
        <f>VLOOKUP(D398,Lookup_Practice!$A$2:$B$7,2,FALSE)</f>
        <v>Standard</v>
      </c>
      <c r="N398" s="3" t="str">
        <f t="array" ref="N398">INDEX(Lookup_Practice!$B$2:$B$7,MATCH(D398,Lookup_Practice!$A$2:$A$7,0))</f>
        <v>Standard</v>
      </c>
      <c r="O398" s="3" t="str">
        <f t="array" ref="O398">XLOOKUP(D398,Lookup_Practice!$A$2:$A$7,Lookup_Practice!$B$2:$B$7)</f>
        <v>Standard</v>
      </c>
    </row>
    <row r="399">
      <c r="A399" s="1">
        <v>38.0</v>
      </c>
      <c r="B399" s="1" t="s">
        <v>14</v>
      </c>
      <c r="C399" s="1" t="s">
        <v>25</v>
      </c>
      <c r="D399" s="1" t="s">
        <v>30</v>
      </c>
      <c r="E399" s="1" t="s">
        <v>24</v>
      </c>
      <c r="F399" s="1">
        <v>995.0</v>
      </c>
      <c r="G399" s="1">
        <v>14.0</v>
      </c>
      <c r="H399" s="2">
        <v>45482.0</v>
      </c>
      <c r="I399" s="3" t="str">
        <f t="shared" si="1"/>
        <v>Middle Age (36-55)</v>
      </c>
      <c r="J399" s="3">
        <f t="shared" si="2"/>
        <v>7</v>
      </c>
      <c r="K399" s="3">
        <f t="shared" si="3"/>
        <v>2024</v>
      </c>
      <c r="L399" s="3" t="str">
        <f t="shared" si="4"/>
        <v>July</v>
      </c>
      <c r="M399" s="3" t="str">
        <f>VLOOKUP(D399,Lookup_Practice!$A$2:$B$7,2,FALSE)</f>
        <v>Standard</v>
      </c>
      <c r="N399" s="3" t="str">
        <f t="array" ref="N399">INDEX(Lookup_Practice!$B$2:$B$7,MATCH(D399,Lookup_Practice!$A$2:$A$7,0))</f>
        <v>Standard</v>
      </c>
      <c r="O399" s="3" t="str">
        <f t="array" ref="O399">XLOOKUP(D399,Lookup_Practice!$A$2:$A$7,Lookup_Practice!$B$2:$B$7)</f>
        <v>Standard</v>
      </c>
    </row>
    <row r="400">
      <c r="A400" s="1">
        <v>56.0</v>
      </c>
      <c r="B400" s="1" t="s">
        <v>18</v>
      </c>
      <c r="C400" s="1" t="s">
        <v>21</v>
      </c>
      <c r="D400" s="1" t="s">
        <v>20</v>
      </c>
      <c r="E400" s="1" t="s">
        <v>17</v>
      </c>
      <c r="F400" s="1">
        <v>1613.0</v>
      </c>
      <c r="G400" s="1">
        <v>5.0</v>
      </c>
      <c r="H400" s="2">
        <v>45496.0</v>
      </c>
      <c r="I400" s="3" t="str">
        <f t="shared" si="1"/>
        <v>Senior (56+)</v>
      </c>
      <c r="J400" s="3">
        <f t="shared" si="2"/>
        <v>7</v>
      </c>
      <c r="K400" s="3">
        <f t="shared" si="3"/>
        <v>2024</v>
      </c>
      <c r="L400" s="3" t="str">
        <f t="shared" si="4"/>
        <v>July</v>
      </c>
      <c r="M400" s="3" t="str">
        <f>VLOOKUP(D400,Lookup_Practice!$A$2:$B$7,2,FALSE)</f>
        <v>Standard</v>
      </c>
      <c r="N400" s="3" t="str">
        <f t="array" ref="N400">INDEX(Lookup_Practice!$B$2:$B$7,MATCH(D400,Lookup_Practice!$A$2:$A$7,0))</f>
        <v>Standard</v>
      </c>
      <c r="O400" s="3" t="str">
        <f t="array" ref="O400">XLOOKUP(D400,Lookup_Practice!$A$2:$A$7,Lookup_Practice!$B$2:$B$7)</f>
        <v>Standard</v>
      </c>
    </row>
    <row r="401">
      <c r="A401" s="1">
        <v>14.0</v>
      </c>
      <c r="B401" s="1" t="s">
        <v>14</v>
      </c>
      <c r="C401" s="1" t="s">
        <v>21</v>
      </c>
      <c r="D401" s="1" t="s">
        <v>20</v>
      </c>
      <c r="E401" s="1" t="s">
        <v>17</v>
      </c>
      <c r="F401" s="1">
        <v>1693.0</v>
      </c>
      <c r="G401" s="1">
        <v>1.0</v>
      </c>
      <c r="H401" s="2">
        <v>45087.0</v>
      </c>
      <c r="I401" s="3" t="str">
        <f t="shared" si="1"/>
        <v>Child (0-17)</v>
      </c>
      <c r="J401" s="3">
        <f t="shared" si="2"/>
        <v>6</v>
      </c>
      <c r="K401" s="3">
        <f t="shared" si="3"/>
        <v>2023</v>
      </c>
      <c r="L401" s="3" t="str">
        <f t="shared" si="4"/>
        <v>June</v>
      </c>
      <c r="M401" s="3" t="str">
        <f>VLOOKUP(D401,Lookup_Practice!$A$2:$B$7,2,FALSE)</f>
        <v>Standard</v>
      </c>
      <c r="N401" s="3" t="str">
        <f t="array" ref="N401">INDEX(Lookup_Practice!$B$2:$B$7,MATCH(D401,Lookup_Practice!$A$2:$A$7,0))</f>
        <v>Standard</v>
      </c>
      <c r="O401" s="3" t="str">
        <f t="array" ref="O401">XLOOKUP(D401,Lookup_Practice!$A$2:$A$7,Lookup_Practice!$B$2:$B$7)</f>
        <v>Standard</v>
      </c>
    </row>
    <row r="402">
      <c r="A402" s="1">
        <v>23.0</v>
      </c>
      <c r="B402" s="1" t="s">
        <v>14</v>
      </c>
      <c r="C402" s="1" t="s">
        <v>21</v>
      </c>
      <c r="D402" s="1" t="s">
        <v>16</v>
      </c>
      <c r="E402" s="1" t="s">
        <v>17</v>
      </c>
      <c r="F402" s="1">
        <v>1108.0</v>
      </c>
      <c r="G402" s="1">
        <v>18.0</v>
      </c>
      <c r="H402" s="2">
        <v>45157.0</v>
      </c>
      <c r="I402" s="3" t="str">
        <f t="shared" si="1"/>
        <v>Young Adult (18-35)</v>
      </c>
      <c r="J402" s="3">
        <f t="shared" si="2"/>
        <v>8</v>
      </c>
      <c r="K402" s="3">
        <f t="shared" si="3"/>
        <v>2023</v>
      </c>
      <c r="L402" s="3" t="str">
        <f t="shared" si="4"/>
        <v>August</v>
      </c>
      <c r="M402" s="3" t="str">
        <f>VLOOKUP(D402,Lookup_Practice!$A$2:$B$7,2,FALSE)</f>
        <v>Premium</v>
      </c>
      <c r="N402" s="3" t="str">
        <f t="array" ref="N402">INDEX(Lookup_Practice!$B$2:$B$7,MATCH(D402,Lookup_Practice!$A$2:$A$7,0))</f>
        <v>Premium</v>
      </c>
      <c r="O402" s="3" t="str">
        <f t="array" ref="O402">XLOOKUP(D402,Lookup_Practice!$A$2:$A$7,Lookup_Practice!$B$2:$B$7)</f>
        <v>Premium</v>
      </c>
    </row>
    <row r="403">
      <c r="A403" s="1">
        <v>62.0</v>
      </c>
      <c r="B403" s="1" t="s">
        <v>18</v>
      </c>
      <c r="C403" s="1" t="s">
        <v>31</v>
      </c>
      <c r="D403" s="1" t="s">
        <v>22</v>
      </c>
      <c r="E403" s="1" t="s">
        <v>17</v>
      </c>
      <c r="F403" s="1">
        <v>787.0</v>
      </c>
      <c r="G403" s="1">
        <v>16.0</v>
      </c>
      <c r="H403" s="2">
        <v>45397.0</v>
      </c>
      <c r="I403" s="3" t="str">
        <f t="shared" si="1"/>
        <v>Senior (56+)</v>
      </c>
      <c r="J403" s="3">
        <f t="shared" si="2"/>
        <v>4</v>
      </c>
      <c r="K403" s="3">
        <f t="shared" si="3"/>
        <v>2024</v>
      </c>
      <c r="L403" s="3" t="str">
        <f t="shared" si="4"/>
        <v>April</v>
      </c>
      <c r="M403" s="3" t="str">
        <f>VLOOKUP(D403,Lookup_Practice!$A$2:$B$7,2,FALSE)</f>
        <v>Basic</v>
      </c>
      <c r="N403" s="3" t="str">
        <f t="array" ref="N403">INDEX(Lookup_Practice!$B$2:$B$7,MATCH(D403,Lookup_Practice!$A$2:$A$7,0))</f>
        <v>Basic</v>
      </c>
      <c r="O403" s="3" t="str">
        <f t="array" ref="O403">XLOOKUP(D403,Lookup_Practice!$A$2:$A$7,Lookup_Practice!$B$2:$B$7)</f>
        <v>Basic</v>
      </c>
    </row>
    <row r="404">
      <c r="A404" s="1">
        <v>5.0</v>
      </c>
      <c r="B404" s="1" t="s">
        <v>14</v>
      </c>
      <c r="C404" s="1" t="s">
        <v>21</v>
      </c>
      <c r="D404" s="1" t="s">
        <v>23</v>
      </c>
      <c r="E404" s="1" t="s">
        <v>24</v>
      </c>
      <c r="F404" s="1">
        <v>1363.0</v>
      </c>
      <c r="G404" s="1">
        <v>9.0</v>
      </c>
      <c r="H404" s="2">
        <v>45204.0</v>
      </c>
      <c r="I404" s="3" t="str">
        <f t="shared" si="1"/>
        <v>Child (0-17)</v>
      </c>
      <c r="J404" s="3">
        <f t="shared" si="2"/>
        <v>10</v>
      </c>
      <c r="K404" s="3">
        <f t="shared" si="3"/>
        <v>2023</v>
      </c>
      <c r="L404" s="3" t="str">
        <f t="shared" si="4"/>
        <v>October</v>
      </c>
      <c r="M404" s="3" t="str">
        <f>VLOOKUP(D404,Lookup_Practice!$A$2:$B$7,2,FALSE)</f>
        <v>Standard</v>
      </c>
      <c r="N404" s="3" t="str">
        <f t="array" ref="N404">INDEX(Lookup_Practice!$B$2:$B$7,MATCH(D404,Lookup_Practice!$A$2:$A$7,0))</f>
        <v>Standard</v>
      </c>
      <c r="O404" s="3" t="str">
        <f t="array" ref="O404">XLOOKUP(D404,Lookup_Practice!$A$2:$A$7,Lookup_Practice!$B$2:$B$7)</f>
        <v>Standard</v>
      </c>
    </row>
    <row r="405">
      <c r="A405" s="1">
        <v>73.0</v>
      </c>
      <c r="B405" s="1" t="s">
        <v>14</v>
      </c>
      <c r="C405" s="1" t="s">
        <v>21</v>
      </c>
      <c r="D405" s="1" t="s">
        <v>23</v>
      </c>
      <c r="E405" s="1" t="s">
        <v>24</v>
      </c>
      <c r="F405" s="1">
        <v>1256.0</v>
      </c>
      <c r="G405" s="1">
        <v>19.0</v>
      </c>
      <c r="H405" s="2">
        <v>45061.0</v>
      </c>
      <c r="I405" s="3" t="str">
        <f t="shared" si="1"/>
        <v>Senior (56+)</v>
      </c>
      <c r="J405" s="3">
        <f t="shared" si="2"/>
        <v>5</v>
      </c>
      <c r="K405" s="3">
        <f t="shared" si="3"/>
        <v>2023</v>
      </c>
      <c r="L405" s="3" t="str">
        <f t="shared" si="4"/>
        <v>May</v>
      </c>
      <c r="M405" s="3" t="str">
        <f>VLOOKUP(D405,Lookup_Practice!$A$2:$B$7,2,FALSE)</f>
        <v>Standard</v>
      </c>
      <c r="N405" s="3" t="str">
        <f t="array" ref="N405">INDEX(Lookup_Practice!$B$2:$B$7,MATCH(D405,Lookup_Practice!$A$2:$A$7,0))</f>
        <v>Standard</v>
      </c>
      <c r="O405" s="3" t="str">
        <f t="array" ref="O405">XLOOKUP(D405,Lookup_Practice!$A$2:$A$7,Lookup_Practice!$B$2:$B$7)</f>
        <v>Standard</v>
      </c>
    </row>
    <row r="406">
      <c r="A406" s="1">
        <v>8.0</v>
      </c>
      <c r="B406" s="1" t="s">
        <v>14</v>
      </c>
      <c r="C406" s="1" t="s">
        <v>21</v>
      </c>
      <c r="D406" s="1" t="s">
        <v>30</v>
      </c>
      <c r="E406" s="1" t="s">
        <v>24</v>
      </c>
      <c r="F406" s="1">
        <v>1055.0</v>
      </c>
      <c r="G406" s="1">
        <v>5.0</v>
      </c>
      <c r="H406" s="2">
        <v>45402.0</v>
      </c>
      <c r="I406" s="3" t="str">
        <f t="shared" si="1"/>
        <v>Child (0-17)</v>
      </c>
      <c r="J406" s="3">
        <f t="shared" si="2"/>
        <v>4</v>
      </c>
      <c r="K406" s="3">
        <f t="shared" si="3"/>
        <v>2024</v>
      </c>
      <c r="L406" s="3" t="str">
        <f t="shared" si="4"/>
        <v>April</v>
      </c>
      <c r="M406" s="3" t="str">
        <f>VLOOKUP(D406,Lookup_Practice!$A$2:$B$7,2,FALSE)</f>
        <v>Standard</v>
      </c>
      <c r="N406" s="3" t="str">
        <f t="array" ref="N406">INDEX(Lookup_Practice!$B$2:$B$7,MATCH(D406,Lookup_Practice!$A$2:$A$7,0))</f>
        <v>Standard</v>
      </c>
      <c r="O406" s="3" t="str">
        <f t="array" ref="O406">XLOOKUP(D406,Lookup_Practice!$A$2:$A$7,Lookup_Practice!$B$2:$B$7)</f>
        <v>Standard</v>
      </c>
    </row>
    <row r="407">
      <c r="A407" s="1">
        <v>20.0</v>
      </c>
      <c r="B407" s="1" t="s">
        <v>18</v>
      </c>
      <c r="C407" s="1" t="s">
        <v>15</v>
      </c>
      <c r="D407" s="1" t="s">
        <v>30</v>
      </c>
      <c r="E407" s="1" t="s">
        <v>17</v>
      </c>
      <c r="F407" s="1">
        <v>1038.0</v>
      </c>
      <c r="G407" s="1">
        <v>2.0</v>
      </c>
      <c r="H407" s="2">
        <v>45649.0</v>
      </c>
      <c r="I407" s="3" t="str">
        <f t="shared" si="1"/>
        <v>Young Adult (18-35)</v>
      </c>
      <c r="J407" s="3">
        <f t="shared" si="2"/>
        <v>12</v>
      </c>
      <c r="K407" s="3">
        <f t="shared" si="3"/>
        <v>2024</v>
      </c>
      <c r="L407" s="3" t="str">
        <f t="shared" si="4"/>
        <v>December</v>
      </c>
      <c r="M407" s="3" t="str">
        <f>VLOOKUP(D407,Lookup_Practice!$A$2:$B$7,2,FALSE)</f>
        <v>Standard</v>
      </c>
      <c r="N407" s="3" t="str">
        <f t="array" ref="N407">INDEX(Lookup_Practice!$B$2:$B$7,MATCH(D407,Lookup_Practice!$A$2:$A$7,0))</f>
        <v>Standard</v>
      </c>
      <c r="O407" s="3" t="str">
        <f t="array" ref="O407">XLOOKUP(D407,Lookup_Practice!$A$2:$A$7,Lookup_Practice!$B$2:$B$7)</f>
        <v>Standard</v>
      </c>
    </row>
    <row r="408">
      <c r="A408" s="1">
        <v>28.0</v>
      </c>
      <c r="B408" s="1" t="s">
        <v>18</v>
      </c>
      <c r="C408" s="1" t="s">
        <v>32</v>
      </c>
      <c r="D408" s="1" t="s">
        <v>23</v>
      </c>
      <c r="E408" s="1" t="s">
        <v>17</v>
      </c>
      <c r="F408" s="1">
        <v>1220.0</v>
      </c>
      <c r="G408" s="1">
        <v>15.0</v>
      </c>
      <c r="H408" s="2">
        <v>44951.0</v>
      </c>
      <c r="I408" s="3" t="str">
        <f t="shared" si="1"/>
        <v>Young Adult (18-35)</v>
      </c>
      <c r="J408" s="3">
        <f t="shared" si="2"/>
        <v>1</v>
      </c>
      <c r="K408" s="3">
        <f t="shared" si="3"/>
        <v>2023</v>
      </c>
      <c r="L408" s="3" t="str">
        <f t="shared" si="4"/>
        <v>January</v>
      </c>
      <c r="M408" s="3" t="str">
        <f>VLOOKUP(D408,Lookup_Practice!$A$2:$B$7,2,FALSE)</f>
        <v>Standard</v>
      </c>
      <c r="N408" s="3" t="str">
        <f t="array" ref="N408">INDEX(Lookup_Practice!$B$2:$B$7,MATCH(D408,Lookup_Practice!$A$2:$A$7,0))</f>
        <v>Standard</v>
      </c>
      <c r="O408" s="3" t="str">
        <f t="array" ref="O408">XLOOKUP(D408,Lookup_Practice!$A$2:$A$7,Lookup_Practice!$B$2:$B$7)</f>
        <v>Standard</v>
      </c>
    </row>
    <row r="409">
      <c r="A409" s="1">
        <v>6.0</v>
      </c>
      <c r="B409" s="1" t="s">
        <v>18</v>
      </c>
      <c r="C409" s="1" t="s">
        <v>15</v>
      </c>
      <c r="D409" s="1" t="s">
        <v>22</v>
      </c>
      <c r="E409" s="1" t="s">
        <v>24</v>
      </c>
      <c r="F409" s="1">
        <v>764.0</v>
      </c>
      <c r="G409" s="1">
        <v>7.0</v>
      </c>
      <c r="H409" s="2">
        <v>45628.0</v>
      </c>
      <c r="I409" s="3" t="str">
        <f t="shared" si="1"/>
        <v>Child (0-17)</v>
      </c>
      <c r="J409" s="3">
        <f t="shared" si="2"/>
        <v>12</v>
      </c>
      <c r="K409" s="3">
        <f t="shared" si="3"/>
        <v>2024</v>
      </c>
      <c r="L409" s="3" t="str">
        <f t="shared" si="4"/>
        <v>December</v>
      </c>
      <c r="M409" s="3" t="str">
        <f>VLOOKUP(D409,Lookup_Practice!$A$2:$B$7,2,FALSE)</f>
        <v>Basic</v>
      </c>
      <c r="N409" s="3" t="str">
        <f t="array" ref="N409">INDEX(Lookup_Practice!$B$2:$B$7,MATCH(D409,Lookup_Practice!$A$2:$A$7,0))</f>
        <v>Basic</v>
      </c>
      <c r="O409" s="3" t="str">
        <f t="array" ref="O409">XLOOKUP(D409,Lookup_Practice!$A$2:$A$7,Lookup_Practice!$B$2:$B$7)</f>
        <v>Basic</v>
      </c>
    </row>
    <row r="410">
      <c r="A410" s="1">
        <v>36.0</v>
      </c>
      <c r="B410" s="1" t="s">
        <v>14</v>
      </c>
      <c r="C410" s="1" t="s">
        <v>25</v>
      </c>
      <c r="D410" s="1" t="s">
        <v>23</v>
      </c>
      <c r="E410" s="1" t="s">
        <v>17</v>
      </c>
      <c r="F410" s="1">
        <v>1206.0</v>
      </c>
      <c r="G410" s="1">
        <v>4.0</v>
      </c>
      <c r="H410" s="2">
        <v>45517.0</v>
      </c>
      <c r="I410" s="3" t="str">
        <f t="shared" si="1"/>
        <v>Middle Age (36-55)</v>
      </c>
      <c r="J410" s="3">
        <f t="shared" si="2"/>
        <v>8</v>
      </c>
      <c r="K410" s="3">
        <f t="shared" si="3"/>
        <v>2024</v>
      </c>
      <c r="L410" s="3" t="str">
        <f t="shared" si="4"/>
        <v>August</v>
      </c>
      <c r="M410" s="3" t="str">
        <f>VLOOKUP(D410,Lookup_Practice!$A$2:$B$7,2,FALSE)</f>
        <v>Standard</v>
      </c>
      <c r="N410" s="3" t="str">
        <f t="array" ref="N410">INDEX(Lookup_Practice!$B$2:$B$7,MATCH(D410,Lookup_Practice!$A$2:$A$7,0))</f>
        <v>Standard</v>
      </c>
      <c r="O410" s="3" t="str">
        <f t="array" ref="O410">XLOOKUP(D410,Lookup_Practice!$A$2:$A$7,Lookup_Practice!$B$2:$B$7)</f>
        <v>Standard</v>
      </c>
    </row>
    <row r="411">
      <c r="A411" s="1">
        <v>28.0</v>
      </c>
      <c r="B411" s="1" t="s">
        <v>14</v>
      </c>
      <c r="C411" s="1" t="s">
        <v>19</v>
      </c>
      <c r="D411" s="1" t="s">
        <v>22</v>
      </c>
      <c r="E411" s="1" t="s">
        <v>17</v>
      </c>
      <c r="F411" s="1">
        <v>846.0</v>
      </c>
      <c r="G411" s="1">
        <v>1.0</v>
      </c>
      <c r="H411" s="2">
        <v>45315.0</v>
      </c>
      <c r="I411" s="3" t="str">
        <f t="shared" si="1"/>
        <v>Young Adult (18-35)</v>
      </c>
      <c r="J411" s="3">
        <f t="shared" si="2"/>
        <v>1</v>
      </c>
      <c r="K411" s="3">
        <f t="shared" si="3"/>
        <v>2024</v>
      </c>
      <c r="L411" s="3" t="str">
        <f t="shared" si="4"/>
        <v>January</v>
      </c>
      <c r="M411" s="3" t="str">
        <f>VLOOKUP(D411,Lookup_Practice!$A$2:$B$7,2,FALSE)</f>
        <v>Basic</v>
      </c>
      <c r="N411" s="3" t="str">
        <f t="array" ref="N411">INDEX(Lookup_Practice!$B$2:$B$7,MATCH(D411,Lookup_Practice!$A$2:$A$7,0))</f>
        <v>Basic</v>
      </c>
      <c r="O411" s="3" t="str">
        <f t="array" ref="O411">XLOOKUP(D411,Lookup_Practice!$A$2:$A$7,Lookup_Practice!$B$2:$B$7)</f>
        <v>Basic</v>
      </c>
    </row>
    <row r="412">
      <c r="A412" s="1">
        <v>16.0</v>
      </c>
      <c r="B412" s="1" t="s">
        <v>14</v>
      </c>
      <c r="C412" s="1" t="s">
        <v>15</v>
      </c>
      <c r="D412" s="1" t="s">
        <v>30</v>
      </c>
      <c r="E412" s="1" t="s">
        <v>17</v>
      </c>
      <c r="F412" s="1">
        <v>1036.0</v>
      </c>
      <c r="G412" s="1">
        <v>13.0</v>
      </c>
      <c r="H412" s="2">
        <v>45062.0</v>
      </c>
      <c r="I412" s="3" t="str">
        <f t="shared" si="1"/>
        <v>Child (0-17)</v>
      </c>
      <c r="J412" s="3">
        <f t="shared" si="2"/>
        <v>5</v>
      </c>
      <c r="K412" s="3">
        <f t="shared" si="3"/>
        <v>2023</v>
      </c>
      <c r="L412" s="3" t="str">
        <f t="shared" si="4"/>
        <v>May</v>
      </c>
      <c r="M412" s="3" t="str">
        <f>VLOOKUP(D412,Lookup_Practice!$A$2:$B$7,2,FALSE)</f>
        <v>Standard</v>
      </c>
      <c r="N412" s="3" t="str">
        <f t="array" ref="N412">INDEX(Lookup_Practice!$B$2:$B$7,MATCH(D412,Lookup_Practice!$A$2:$A$7,0))</f>
        <v>Standard</v>
      </c>
      <c r="O412" s="3" t="str">
        <f t="array" ref="O412">XLOOKUP(D412,Lookup_Practice!$A$2:$A$7,Lookup_Practice!$B$2:$B$7)</f>
        <v>Standard</v>
      </c>
    </row>
    <row r="413">
      <c r="A413" s="1">
        <v>54.0</v>
      </c>
      <c r="B413" s="1" t="s">
        <v>14</v>
      </c>
      <c r="C413" s="1" t="s">
        <v>21</v>
      </c>
      <c r="D413" s="1" t="s">
        <v>26</v>
      </c>
      <c r="E413" s="1" t="s">
        <v>17</v>
      </c>
      <c r="F413" s="1">
        <v>561.0</v>
      </c>
      <c r="G413" s="1">
        <v>20.0</v>
      </c>
      <c r="H413" s="2">
        <v>45092.0</v>
      </c>
      <c r="I413" s="3" t="str">
        <f t="shared" si="1"/>
        <v>Middle Age (36-55)</v>
      </c>
      <c r="J413" s="3">
        <f t="shared" si="2"/>
        <v>6</v>
      </c>
      <c r="K413" s="3">
        <f t="shared" si="3"/>
        <v>2023</v>
      </c>
      <c r="L413" s="3" t="str">
        <f t="shared" si="4"/>
        <v>June</v>
      </c>
      <c r="M413" s="3" t="str">
        <f>VLOOKUP(D413,Lookup_Practice!$A$2:$B$7,2,FALSE)</f>
        <v>Premium</v>
      </c>
      <c r="N413" s="3" t="str">
        <f t="array" ref="N413">INDEX(Lookup_Practice!$B$2:$B$7,MATCH(D413,Lookup_Practice!$A$2:$A$7,0))</f>
        <v>Premium</v>
      </c>
      <c r="O413" s="3" t="str">
        <f t="array" ref="O413">XLOOKUP(D413,Lookup_Practice!$A$2:$A$7,Lookup_Practice!$B$2:$B$7)</f>
        <v>Premium</v>
      </c>
    </row>
    <row r="414">
      <c r="A414" s="1">
        <v>39.0</v>
      </c>
      <c r="B414" s="1" t="s">
        <v>14</v>
      </c>
      <c r="C414" s="1" t="s">
        <v>21</v>
      </c>
      <c r="D414" s="1" t="s">
        <v>16</v>
      </c>
      <c r="E414" s="1" t="s">
        <v>17</v>
      </c>
      <c r="F414" s="1">
        <v>999.0</v>
      </c>
      <c r="G414" s="1">
        <v>7.0</v>
      </c>
      <c r="H414" s="2">
        <v>45102.0</v>
      </c>
      <c r="I414" s="3" t="str">
        <f t="shared" si="1"/>
        <v>Middle Age (36-55)</v>
      </c>
      <c r="J414" s="3">
        <f t="shared" si="2"/>
        <v>6</v>
      </c>
      <c r="K414" s="3">
        <f t="shared" si="3"/>
        <v>2023</v>
      </c>
      <c r="L414" s="3" t="str">
        <f t="shared" si="4"/>
        <v>June</v>
      </c>
      <c r="M414" s="3" t="str">
        <f>VLOOKUP(D414,Lookup_Practice!$A$2:$B$7,2,FALSE)</f>
        <v>Premium</v>
      </c>
      <c r="N414" s="3" t="str">
        <f t="array" ref="N414">INDEX(Lookup_Practice!$B$2:$B$7,MATCH(D414,Lookup_Practice!$A$2:$A$7,0))</f>
        <v>Premium</v>
      </c>
      <c r="O414" s="3" t="str">
        <f t="array" ref="O414">XLOOKUP(D414,Lookup_Practice!$A$2:$A$7,Lookup_Practice!$B$2:$B$7)</f>
        <v>Premium</v>
      </c>
    </row>
    <row r="415">
      <c r="A415" s="1">
        <v>37.0</v>
      </c>
      <c r="B415" s="1" t="s">
        <v>18</v>
      </c>
      <c r="C415" s="1" t="s">
        <v>21</v>
      </c>
      <c r="D415" s="1" t="s">
        <v>30</v>
      </c>
      <c r="E415" s="1" t="s">
        <v>17</v>
      </c>
      <c r="F415" s="1">
        <v>1040.0</v>
      </c>
      <c r="G415" s="1">
        <v>15.0</v>
      </c>
      <c r="H415" s="2">
        <v>45422.0</v>
      </c>
      <c r="I415" s="3" t="str">
        <f t="shared" si="1"/>
        <v>Middle Age (36-55)</v>
      </c>
      <c r="J415" s="3">
        <f t="shared" si="2"/>
        <v>5</v>
      </c>
      <c r="K415" s="3">
        <f t="shared" si="3"/>
        <v>2024</v>
      </c>
      <c r="L415" s="3" t="str">
        <f t="shared" si="4"/>
        <v>May</v>
      </c>
      <c r="M415" s="3" t="str">
        <f>VLOOKUP(D415,Lookup_Practice!$A$2:$B$7,2,FALSE)</f>
        <v>Standard</v>
      </c>
      <c r="N415" s="3" t="str">
        <f t="array" ref="N415">INDEX(Lookup_Practice!$B$2:$B$7,MATCH(D415,Lookup_Practice!$A$2:$A$7,0))</f>
        <v>Standard</v>
      </c>
      <c r="O415" s="3" t="str">
        <f t="array" ref="O415">XLOOKUP(D415,Lookup_Practice!$A$2:$A$7,Lookup_Practice!$B$2:$B$7)</f>
        <v>Standard</v>
      </c>
    </row>
    <row r="416">
      <c r="A416" s="1">
        <v>37.0</v>
      </c>
      <c r="B416" s="1" t="s">
        <v>18</v>
      </c>
      <c r="C416" s="1" t="s">
        <v>15</v>
      </c>
      <c r="D416" s="1" t="s">
        <v>30</v>
      </c>
      <c r="E416" s="1" t="s">
        <v>28</v>
      </c>
      <c r="F416" s="1">
        <v>982.0</v>
      </c>
      <c r="G416" s="1">
        <v>14.0</v>
      </c>
      <c r="H416" s="2">
        <v>44999.0</v>
      </c>
      <c r="I416" s="3" t="str">
        <f t="shared" si="1"/>
        <v>Middle Age (36-55)</v>
      </c>
      <c r="J416" s="3">
        <f t="shared" si="2"/>
        <v>3</v>
      </c>
      <c r="K416" s="3">
        <f t="shared" si="3"/>
        <v>2023</v>
      </c>
      <c r="L416" s="3" t="str">
        <f t="shared" si="4"/>
        <v>March</v>
      </c>
      <c r="M416" s="3" t="str">
        <f>VLOOKUP(D416,Lookup_Practice!$A$2:$B$7,2,FALSE)</f>
        <v>Standard</v>
      </c>
      <c r="N416" s="3" t="str">
        <f t="array" ref="N416">INDEX(Lookup_Practice!$B$2:$B$7,MATCH(D416,Lookup_Practice!$A$2:$A$7,0))</f>
        <v>Standard</v>
      </c>
      <c r="O416" s="3" t="str">
        <f t="array" ref="O416">XLOOKUP(D416,Lookup_Practice!$A$2:$A$7,Lookup_Practice!$B$2:$B$7)</f>
        <v>Standard</v>
      </c>
    </row>
    <row r="417">
      <c r="A417" s="1">
        <v>65.0</v>
      </c>
      <c r="B417" s="1" t="s">
        <v>14</v>
      </c>
      <c r="C417" s="1" t="s">
        <v>15</v>
      </c>
      <c r="D417" s="1" t="s">
        <v>20</v>
      </c>
      <c r="E417" s="1" t="s">
        <v>17</v>
      </c>
      <c r="F417" s="1">
        <v>1576.0</v>
      </c>
      <c r="G417" s="1">
        <v>19.0</v>
      </c>
      <c r="H417" s="2">
        <v>45422.0</v>
      </c>
      <c r="I417" s="3" t="str">
        <f t="shared" si="1"/>
        <v>Senior (56+)</v>
      </c>
      <c r="J417" s="3">
        <f t="shared" si="2"/>
        <v>5</v>
      </c>
      <c r="K417" s="3">
        <f t="shared" si="3"/>
        <v>2024</v>
      </c>
      <c r="L417" s="3" t="str">
        <f t="shared" si="4"/>
        <v>May</v>
      </c>
      <c r="M417" s="3" t="str">
        <f>VLOOKUP(D417,Lookup_Practice!$A$2:$B$7,2,FALSE)</f>
        <v>Standard</v>
      </c>
      <c r="N417" s="3" t="str">
        <f t="array" ref="N417">INDEX(Lookup_Practice!$B$2:$B$7,MATCH(D417,Lookup_Practice!$A$2:$A$7,0))</f>
        <v>Standard</v>
      </c>
      <c r="O417" s="3" t="str">
        <f t="array" ref="O417">XLOOKUP(D417,Lookup_Practice!$A$2:$A$7,Lookup_Practice!$B$2:$B$7)</f>
        <v>Standard</v>
      </c>
    </row>
    <row r="418">
      <c r="A418" s="1">
        <v>55.0</v>
      </c>
      <c r="B418" s="1" t="s">
        <v>18</v>
      </c>
      <c r="C418" s="1" t="s">
        <v>31</v>
      </c>
      <c r="D418" s="1" t="s">
        <v>20</v>
      </c>
      <c r="E418" s="1" t="s">
        <v>17</v>
      </c>
      <c r="F418" s="1">
        <v>1597.0</v>
      </c>
      <c r="G418" s="1">
        <v>20.0</v>
      </c>
      <c r="H418" s="2">
        <v>45285.0</v>
      </c>
      <c r="I418" s="3" t="str">
        <f t="shared" si="1"/>
        <v>Middle Age (36-55)</v>
      </c>
      <c r="J418" s="3">
        <f t="shared" si="2"/>
        <v>12</v>
      </c>
      <c r="K418" s="3">
        <f t="shared" si="3"/>
        <v>2023</v>
      </c>
      <c r="L418" s="3" t="str">
        <f t="shared" si="4"/>
        <v>December</v>
      </c>
      <c r="M418" s="3" t="str">
        <f>VLOOKUP(D418,Lookup_Practice!$A$2:$B$7,2,FALSE)</f>
        <v>Standard</v>
      </c>
      <c r="N418" s="3" t="str">
        <f t="array" ref="N418">INDEX(Lookup_Practice!$B$2:$B$7,MATCH(D418,Lookup_Practice!$A$2:$A$7,0))</f>
        <v>Standard</v>
      </c>
      <c r="O418" s="3" t="str">
        <f t="array" ref="O418">XLOOKUP(D418,Lookup_Practice!$A$2:$A$7,Lookup_Practice!$B$2:$B$7)</f>
        <v>Standard</v>
      </c>
    </row>
    <row r="419">
      <c r="A419" s="1">
        <v>47.0</v>
      </c>
      <c r="B419" s="1" t="s">
        <v>18</v>
      </c>
      <c r="C419" s="1" t="s">
        <v>21</v>
      </c>
      <c r="D419" s="1" t="s">
        <v>20</v>
      </c>
      <c r="E419" s="1" t="s">
        <v>17</v>
      </c>
      <c r="F419" s="1">
        <v>1511.0</v>
      </c>
      <c r="G419" s="1">
        <v>18.0</v>
      </c>
      <c r="H419" s="2">
        <v>45152.0</v>
      </c>
      <c r="I419" s="3" t="str">
        <f t="shared" si="1"/>
        <v>Middle Age (36-55)</v>
      </c>
      <c r="J419" s="3">
        <f t="shared" si="2"/>
        <v>8</v>
      </c>
      <c r="K419" s="3">
        <f t="shared" si="3"/>
        <v>2023</v>
      </c>
      <c r="L419" s="3" t="str">
        <f t="shared" si="4"/>
        <v>August</v>
      </c>
      <c r="M419" s="3" t="str">
        <f>VLOOKUP(D419,Lookup_Practice!$A$2:$B$7,2,FALSE)</f>
        <v>Standard</v>
      </c>
      <c r="N419" s="3" t="str">
        <f t="array" ref="N419">INDEX(Lookup_Practice!$B$2:$B$7,MATCH(D419,Lookup_Practice!$A$2:$A$7,0))</f>
        <v>Standard</v>
      </c>
      <c r="O419" s="3" t="str">
        <f t="array" ref="O419">XLOOKUP(D419,Lookup_Practice!$A$2:$A$7,Lookup_Practice!$B$2:$B$7)</f>
        <v>Standard</v>
      </c>
    </row>
    <row r="420">
      <c r="A420" s="1">
        <v>16.0</v>
      </c>
      <c r="B420" s="1" t="s">
        <v>18</v>
      </c>
      <c r="C420" s="1" t="s">
        <v>15</v>
      </c>
      <c r="D420" s="1" t="s">
        <v>16</v>
      </c>
      <c r="E420" s="1" t="s">
        <v>24</v>
      </c>
      <c r="F420" s="1">
        <v>955.0</v>
      </c>
      <c r="G420" s="1">
        <v>10.0</v>
      </c>
      <c r="H420" s="2">
        <v>45348.0</v>
      </c>
      <c r="I420" s="3" t="str">
        <f t="shared" si="1"/>
        <v>Child (0-17)</v>
      </c>
      <c r="J420" s="3">
        <f t="shared" si="2"/>
        <v>2</v>
      </c>
      <c r="K420" s="3">
        <f t="shared" si="3"/>
        <v>2024</v>
      </c>
      <c r="L420" s="3" t="str">
        <f t="shared" si="4"/>
        <v>February</v>
      </c>
      <c r="M420" s="3" t="str">
        <f>VLOOKUP(D420,Lookup_Practice!$A$2:$B$7,2,FALSE)</f>
        <v>Premium</v>
      </c>
      <c r="N420" s="3" t="str">
        <f t="array" ref="N420">INDEX(Lookup_Practice!$B$2:$B$7,MATCH(D420,Lookup_Practice!$A$2:$A$7,0))</f>
        <v>Premium</v>
      </c>
      <c r="O420" s="3" t="str">
        <f t="array" ref="O420">XLOOKUP(D420,Lookup_Practice!$A$2:$A$7,Lookup_Practice!$B$2:$B$7)</f>
        <v>Premium</v>
      </c>
    </row>
    <row r="421">
      <c r="A421" s="1">
        <v>71.0</v>
      </c>
      <c r="B421" s="1" t="s">
        <v>18</v>
      </c>
      <c r="C421" s="1" t="s">
        <v>25</v>
      </c>
      <c r="D421" s="1" t="s">
        <v>20</v>
      </c>
      <c r="E421" s="1" t="s">
        <v>17</v>
      </c>
      <c r="F421" s="1">
        <v>1578.0</v>
      </c>
      <c r="G421" s="1">
        <v>9.0</v>
      </c>
      <c r="H421" s="2">
        <v>45100.0</v>
      </c>
      <c r="I421" s="3" t="str">
        <f t="shared" si="1"/>
        <v>Senior (56+)</v>
      </c>
      <c r="J421" s="3">
        <f t="shared" si="2"/>
        <v>6</v>
      </c>
      <c r="K421" s="3">
        <f t="shared" si="3"/>
        <v>2023</v>
      </c>
      <c r="L421" s="3" t="str">
        <f t="shared" si="4"/>
        <v>June</v>
      </c>
      <c r="M421" s="3" t="str">
        <f>VLOOKUP(D421,Lookup_Practice!$A$2:$B$7,2,FALSE)</f>
        <v>Standard</v>
      </c>
      <c r="N421" s="3" t="str">
        <f t="array" ref="N421">INDEX(Lookup_Practice!$B$2:$B$7,MATCH(D421,Lookup_Practice!$A$2:$A$7,0))</f>
        <v>Standard</v>
      </c>
      <c r="O421" s="3" t="str">
        <f t="array" ref="O421">XLOOKUP(D421,Lookup_Practice!$A$2:$A$7,Lookup_Practice!$B$2:$B$7)</f>
        <v>Standard</v>
      </c>
    </row>
    <row r="422">
      <c r="A422" s="1">
        <v>69.0</v>
      </c>
      <c r="B422" s="1" t="s">
        <v>14</v>
      </c>
      <c r="C422" s="1" t="s">
        <v>15</v>
      </c>
      <c r="D422" s="1" t="s">
        <v>22</v>
      </c>
      <c r="E422" s="1" t="s">
        <v>17</v>
      </c>
      <c r="F422" s="1">
        <v>885.0</v>
      </c>
      <c r="G422" s="1">
        <v>8.0</v>
      </c>
      <c r="H422" s="2">
        <v>45544.0</v>
      </c>
      <c r="I422" s="3" t="str">
        <f t="shared" si="1"/>
        <v>Senior (56+)</v>
      </c>
      <c r="J422" s="3">
        <f t="shared" si="2"/>
        <v>9</v>
      </c>
      <c r="K422" s="3">
        <f t="shared" si="3"/>
        <v>2024</v>
      </c>
      <c r="L422" s="3" t="str">
        <f t="shared" si="4"/>
        <v>September</v>
      </c>
      <c r="M422" s="3" t="str">
        <f>VLOOKUP(D422,Lookup_Practice!$A$2:$B$7,2,FALSE)</f>
        <v>Basic</v>
      </c>
      <c r="N422" s="3" t="str">
        <f t="array" ref="N422">INDEX(Lookup_Practice!$B$2:$B$7,MATCH(D422,Lookup_Practice!$A$2:$A$7,0))</f>
        <v>Basic</v>
      </c>
      <c r="O422" s="3" t="str">
        <f t="array" ref="O422">XLOOKUP(D422,Lookup_Practice!$A$2:$A$7,Lookup_Practice!$B$2:$B$7)</f>
        <v>Basic</v>
      </c>
    </row>
    <row r="423">
      <c r="A423" s="1">
        <v>37.0</v>
      </c>
      <c r="B423" s="1" t="s">
        <v>14</v>
      </c>
      <c r="C423" s="1" t="s">
        <v>31</v>
      </c>
      <c r="D423" s="1" t="s">
        <v>23</v>
      </c>
      <c r="E423" s="1" t="s">
        <v>17</v>
      </c>
      <c r="F423" s="1">
        <v>1317.0</v>
      </c>
      <c r="G423" s="1">
        <v>10.0</v>
      </c>
      <c r="H423" s="2">
        <v>45163.0</v>
      </c>
      <c r="I423" s="3" t="str">
        <f t="shared" si="1"/>
        <v>Middle Age (36-55)</v>
      </c>
      <c r="J423" s="3">
        <f t="shared" si="2"/>
        <v>8</v>
      </c>
      <c r="K423" s="3">
        <f t="shared" si="3"/>
        <v>2023</v>
      </c>
      <c r="L423" s="3" t="str">
        <f t="shared" si="4"/>
        <v>August</v>
      </c>
      <c r="M423" s="3" t="str">
        <f>VLOOKUP(D423,Lookup_Practice!$A$2:$B$7,2,FALSE)</f>
        <v>Standard</v>
      </c>
      <c r="N423" s="3" t="str">
        <f t="array" ref="N423">INDEX(Lookup_Practice!$B$2:$B$7,MATCH(D423,Lookup_Practice!$A$2:$A$7,0))</f>
        <v>Standard</v>
      </c>
      <c r="O423" s="3" t="str">
        <f t="array" ref="O423">XLOOKUP(D423,Lookup_Practice!$A$2:$A$7,Lookup_Practice!$B$2:$B$7)</f>
        <v>Standard</v>
      </c>
    </row>
    <row r="424">
      <c r="A424" s="1">
        <v>44.0</v>
      </c>
      <c r="B424" s="1" t="s">
        <v>14</v>
      </c>
      <c r="C424" s="1" t="s">
        <v>25</v>
      </c>
      <c r="D424" s="1" t="s">
        <v>26</v>
      </c>
      <c r="E424" s="1" t="s">
        <v>24</v>
      </c>
      <c r="F424" s="1">
        <v>616.0</v>
      </c>
      <c r="G424" s="1">
        <v>17.0</v>
      </c>
      <c r="H424" s="2">
        <v>45244.0</v>
      </c>
      <c r="I424" s="3" t="str">
        <f t="shared" si="1"/>
        <v>Middle Age (36-55)</v>
      </c>
      <c r="J424" s="3">
        <f t="shared" si="2"/>
        <v>11</v>
      </c>
      <c r="K424" s="3">
        <f t="shared" si="3"/>
        <v>2023</v>
      </c>
      <c r="L424" s="3" t="str">
        <f t="shared" si="4"/>
        <v>November</v>
      </c>
      <c r="M424" s="3" t="str">
        <f>VLOOKUP(D424,Lookup_Practice!$A$2:$B$7,2,FALSE)</f>
        <v>Premium</v>
      </c>
      <c r="N424" s="3" t="str">
        <f t="array" ref="N424">INDEX(Lookup_Practice!$B$2:$B$7,MATCH(D424,Lookup_Practice!$A$2:$A$7,0))</f>
        <v>Premium</v>
      </c>
      <c r="O424" s="3" t="str">
        <f t="array" ref="O424">XLOOKUP(D424,Lookup_Practice!$A$2:$A$7,Lookup_Practice!$B$2:$B$7)</f>
        <v>Premium</v>
      </c>
    </row>
    <row r="425">
      <c r="A425" s="1">
        <v>78.0</v>
      </c>
      <c r="B425" s="1" t="s">
        <v>14</v>
      </c>
      <c r="C425" s="1" t="s">
        <v>21</v>
      </c>
      <c r="D425" s="1" t="s">
        <v>30</v>
      </c>
      <c r="E425" s="1" t="s">
        <v>17</v>
      </c>
      <c r="F425" s="1">
        <v>1019.0</v>
      </c>
      <c r="G425" s="1">
        <v>2.0</v>
      </c>
      <c r="H425" s="2">
        <v>45507.0</v>
      </c>
      <c r="I425" s="3" t="str">
        <f t="shared" si="1"/>
        <v>Senior (56+)</v>
      </c>
      <c r="J425" s="3">
        <f t="shared" si="2"/>
        <v>8</v>
      </c>
      <c r="K425" s="3">
        <f t="shared" si="3"/>
        <v>2024</v>
      </c>
      <c r="L425" s="3" t="str">
        <f t="shared" si="4"/>
        <v>August</v>
      </c>
      <c r="M425" s="3" t="str">
        <f>VLOOKUP(D425,Lookup_Practice!$A$2:$B$7,2,FALSE)</f>
        <v>Standard</v>
      </c>
      <c r="N425" s="3" t="str">
        <f t="array" ref="N425">INDEX(Lookup_Practice!$B$2:$B$7,MATCH(D425,Lookup_Practice!$A$2:$A$7,0))</f>
        <v>Standard</v>
      </c>
      <c r="O425" s="3" t="str">
        <f t="array" ref="O425">XLOOKUP(D425,Lookup_Practice!$A$2:$A$7,Lookup_Practice!$B$2:$B$7)</f>
        <v>Standard</v>
      </c>
    </row>
    <row r="426">
      <c r="A426" s="1">
        <v>47.0</v>
      </c>
      <c r="B426" s="1" t="s">
        <v>18</v>
      </c>
      <c r="C426" s="1" t="s">
        <v>29</v>
      </c>
      <c r="D426" s="1" t="s">
        <v>22</v>
      </c>
      <c r="E426" s="1" t="s">
        <v>24</v>
      </c>
      <c r="F426" s="1">
        <v>874.0</v>
      </c>
      <c r="G426" s="1">
        <v>6.0</v>
      </c>
      <c r="H426" s="2">
        <v>45524.0</v>
      </c>
      <c r="I426" s="3" t="str">
        <f t="shared" si="1"/>
        <v>Middle Age (36-55)</v>
      </c>
      <c r="J426" s="3">
        <f t="shared" si="2"/>
        <v>8</v>
      </c>
      <c r="K426" s="3">
        <f t="shared" si="3"/>
        <v>2024</v>
      </c>
      <c r="L426" s="3" t="str">
        <f t="shared" si="4"/>
        <v>August</v>
      </c>
      <c r="M426" s="3" t="str">
        <f>VLOOKUP(D426,Lookup_Practice!$A$2:$B$7,2,FALSE)</f>
        <v>Basic</v>
      </c>
      <c r="N426" s="3" t="str">
        <f t="array" ref="N426">INDEX(Lookup_Practice!$B$2:$B$7,MATCH(D426,Lookup_Practice!$A$2:$A$7,0))</f>
        <v>Basic</v>
      </c>
      <c r="O426" s="3" t="str">
        <f t="array" ref="O426">XLOOKUP(D426,Lookup_Practice!$A$2:$A$7,Lookup_Practice!$B$2:$B$7)</f>
        <v>Basic</v>
      </c>
    </row>
    <row r="427">
      <c r="A427" s="1">
        <v>48.0</v>
      </c>
      <c r="B427" s="1" t="s">
        <v>18</v>
      </c>
      <c r="C427" s="1" t="s">
        <v>15</v>
      </c>
      <c r="D427" s="1" t="s">
        <v>26</v>
      </c>
      <c r="E427" s="1" t="s">
        <v>28</v>
      </c>
      <c r="F427" s="1">
        <v>422.0</v>
      </c>
      <c r="G427" s="1">
        <v>5.0</v>
      </c>
      <c r="H427" s="2">
        <v>45489.0</v>
      </c>
      <c r="I427" s="3" t="str">
        <f t="shared" si="1"/>
        <v>Middle Age (36-55)</v>
      </c>
      <c r="J427" s="3">
        <f t="shared" si="2"/>
        <v>7</v>
      </c>
      <c r="K427" s="3">
        <f t="shared" si="3"/>
        <v>2024</v>
      </c>
      <c r="L427" s="3" t="str">
        <f t="shared" si="4"/>
        <v>July</v>
      </c>
      <c r="M427" s="3" t="str">
        <f>VLOOKUP(D427,Lookup_Practice!$A$2:$B$7,2,FALSE)</f>
        <v>Premium</v>
      </c>
      <c r="N427" s="3" t="str">
        <f t="array" ref="N427">INDEX(Lookup_Practice!$B$2:$B$7,MATCH(D427,Lookup_Practice!$A$2:$A$7,0))</f>
        <v>Premium</v>
      </c>
      <c r="O427" s="3" t="str">
        <f t="array" ref="O427">XLOOKUP(D427,Lookup_Practice!$A$2:$A$7,Lookup_Practice!$B$2:$B$7)</f>
        <v>Premium</v>
      </c>
    </row>
    <row r="428">
      <c r="A428" s="1">
        <v>33.0</v>
      </c>
      <c r="B428" s="1" t="s">
        <v>14</v>
      </c>
      <c r="C428" s="1" t="s">
        <v>15</v>
      </c>
      <c r="D428" s="1" t="s">
        <v>22</v>
      </c>
      <c r="E428" s="1" t="s">
        <v>17</v>
      </c>
      <c r="F428" s="1">
        <v>912.0</v>
      </c>
      <c r="G428" s="1">
        <v>9.0</v>
      </c>
      <c r="H428" s="2">
        <v>45140.0</v>
      </c>
      <c r="I428" s="3" t="str">
        <f t="shared" si="1"/>
        <v>Young Adult (18-35)</v>
      </c>
      <c r="J428" s="3">
        <f t="shared" si="2"/>
        <v>8</v>
      </c>
      <c r="K428" s="3">
        <f t="shared" si="3"/>
        <v>2023</v>
      </c>
      <c r="L428" s="3" t="str">
        <f t="shared" si="4"/>
        <v>August</v>
      </c>
      <c r="M428" s="3" t="str">
        <f>VLOOKUP(D428,Lookup_Practice!$A$2:$B$7,2,FALSE)</f>
        <v>Basic</v>
      </c>
      <c r="N428" s="3" t="str">
        <f t="array" ref="N428">INDEX(Lookup_Practice!$B$2:$B$7,MATCH(D428,Lookup_Practice!$A$2:$A$7,0))</f>
        <v>Basic</v>
      </c>
      <c r="O428" s="3" t="str">
        <f t="array" ref="O428">XLOOKUP(D428,Lookup_Practice!$A$2:$A$7,Lookup_Practice!$B$2:$B$7)</f>
        <v>Basic</v>
      </c>
    </row>
    <row r="429">
      <c r="A429" s="1">
        <v>17.0</v>
      </c>
      <c r="B429" s="1" t="s">
        <v>18</v>
      </c>
      <c r="C429" s="1" t="s">
        <v>15</v>
      </c>
      <c r="D429" s="1" t="s">
        <v>22</v>
      </c>
      <c r="E429" s="1" t="s">
        <v>24</v>
      </c>
      <c r="F429" s="1">
        <v>934.0</v>
      </c>
      <c r="G429" s="1">
        <v>5.0</v>
      </c>
      <c r="H429" s="2">
        <v>45087.0</v>
      </c>
      <c r="I429" s="3" t="str">
        <f t="shared" si="1"/>
        <v>Child (0-17)</v>
      </c>
      <c r="J429" s="3">
        <f t="shared" si="2"/>
        <v>6</v>
      </c>
      <c r="K429" s="3">
        <f t="shared" si="3"/>
        <v>2023</v>
      </c>
      <c r="L429" s="3" t="str">
        <f t="shared" si="4"/>
        <v>June</v>
      </c>
      <c r="M429" s="3" t="str">
        <f>VLOOKUP(D429,Lookup_Practice!$A$2:$B$7,2,FALSE)</f>
        <v>Basic</v>
      </c>
      <c r="N429" s="3" t="str">
        <f t="array" ref="N429">INDEX(Lookup_Practice!$B$2:$B$7,MATCH(D429,Lookup_Practice!$A$2:$A$7,0))</f>
        <v>Basic</v>
      </c>
      <c r="O429" s="3" t="str">
        <f t="array" ref="O429">XLOOKUP(D429,Lookup_Practice!$A$2:$A$7,Lookup_Practice!$B$2:$B$7)</f>
        <v>Basic</v>
      </c>
    </row>
    <row r="430">
      <c r="A430" s="1">
        <v>16.0</v>
      </c>
      <c r="B430" s="1" t="s">
        <v>14</v>
      </c>
      <c r="C430" s="1" t="s">
        <v>15</v>
      </c>
      <c r="D430" s="1" t="s">
        <v>30</v>
      </c>
      <c r="E430" s="1" t="s">
        <v>17</v>
      </c>
      <c r="F430" s="1">
        <v>912.0</v>
      </c>
      <c r="G430" s="1">
        <v>18.0</v>
      </c>
      <c r="H430" s="2">
        <v>44960.0</v>
      </c>
      <c r="I430" s="3" t="str">
        <f t="shared" si="1"/>
        <v>Child (0-17)</v>
      </c>
      <c r="J430" s="3">
        <f t="shared" si="2"/>
        <v>2</v>
      </c>
      <c r="K430" s="3">
        <f t="shared" si="3"/>
        <v>2023</v>
      </c>
      <c r="L430" s="3" t="str">
        <f t="shared" si="4"/>
        <v>February</v>
      </c>
      <c r="M430" s="3" t="str">
        <f>VLOOKUP(D430,Lookup_Practice!$A$2:$B$7,2,FALSE)</f>
        <v>Standard</v>
      </c>
      <c r="N430" s="3" t="str">
        <f t="array" ref="N430">INDEX(Lookup_Practice!$B$2:$B$7,MATCH(D430,Lookup_Practice!$A$2:$A$7,0))</f>
        <v>Standard</v>
      </c>
      <c r="O430" s="3" t="str">
        <f t="array" ref="O430">XLOOKUP(D430,Lookup_Practice!$A$2:$A$7,Lookup_Practice!$B$2:$B$7)</f>
        <v>Standard</v>
      </c>
    </row>
    <row r="431">
      <c r="A431" s="1">
        <v>50.0</v>
      </c>
      <c r="B431" s="1" t="s">
        <v>14</v>
      </c>
      <c r="C431" s="1" t="s">
        <v>29</v>
      </c>
      <c r="D431" s="1" t="s">
        <v>23</v>
      </c>
      <c r="E431" s="1" t="s">
        <v>28</v>
      </c>
      <c r="F431" s="1">
        <v>1200.0</v>
      </c>
      <c r="G431" s="1">
        <v>20.0</v>
      </c>
      <c r="H431" s="2">
        <v>45333.0</v>
      </c>
      <c r="I431" s="3" t="str">
        <f t="shared" si="1"/>
        <v>Middle Age (36-55)</v>
      </c>
      <c r="J431" s="3">
        <f t="shared" si="2"/>
        <v>2</v>
      </c>
      <c r="K431" s="3">
        <f t="shared" si="3"/>
        <v>2024</v>
      </c>
      <c r="L431" s="3" t="str">
        <f t="shared" si="4"/>
        <v>February</v>
      </c>
      <c r="M431" s="3" t="str">
        <f>VLOOKUP(D431,Lookup_Practice!$A$2:$B$7,2,FALSE)</f>
        <v>Standard</v>
      </c>
      <c r="N431" s="3" t="str">
        <f t="array" ref="N431">INDEX(Lookup_Practice!$B$2:$B$7,MATCH(D431,Lookup_Practice!$A$2:$A$7,0))</f>
        <v>Standard</v>
      </c>
      <c r="O431" s="3" t="str">
        <f t="array" ref="O431">XLOOKUP(D431,Lookup_Practice!$A$2:$A$7,Lookup_Practice!$B$2:$B$7)</f>
        <v>Standard</v>
      </c>
    </row>
    <row r="432">
      <c r="A432" s="1">
        <v>6.0</v>
      </c>
      <c r="B432" s="1" t="s">
        <v>18</v>
      </c>
      <c r="C432" s="1" t="s">
        <v>21</v>
      </c>
      <c r="D432" s="1" t="s">
        <v>20</v>
      </c>
      <c r="E432" s="1" t="s">
        <v>17</v>
      </c>
      <c r="F432" s="1">
        <v>1423.0</v>
      </c>
      <c r="G432" s="1">
        <v>9.0</v>
      </c>
      <c r="H432" s="2">
        <v>45515.0</v>
      </c>
      <c r="I432" s="3" t="str">
        <f t="shared" si="1"/>
        <v>Child (0-17)</v>
      </c>
      <c r="J432" s="3">
        <f t="shared" si="2"/>
        <v>8</v>
      </c>
      <c r="K432" s="3">
        <f t="shared" si="3"/>
        <v>2024</v>
      </c>
      <c r="L432" s="3" t="str">
        <f t="shared" si="4"/>
        <v>August</v>
      </c>
      <c r="M432" s="3" t="str">
        <f>VLOOKUP(D432,Lookup_Practice!$A$2:$B$7,2,FALSE)</f>
        <v>Standard</v>
      </c>
      <c r="N432" s="3" t="str">
        <f t="array" ref="N432">INDEX(Lookup_Practice!$B$2:$B$7,MATCH(D432,Lookup_Practice!$A$2:$A$7,0))</f>
        <v>Standard</v>
      </c>
      <c r="O432" s="3" t="str">
        <f t="array" ref="O432">XLOOKUP(D432,Lookup_Practice!$A$2:$A$7,Lookup_Practice!$B$2:$B$7)</f>
        <v>Standard</v>
      </c>
    </row>
    <row r="433">
      <c r="A433" s="1">
        <v>39.0</v>
      </c>
      <c r="B433" s="1" t="s">
        <v>14</v>
      </c>
      <c r="C433" s="1" t="s">
        <v>21</v>
      </c>
      <c r="D433" s="1" t="s">
        <v>16</v>
      </c>
      <c r="E433" s="1" t="s">
        <v>24</v>
      </c>
      <c r="F433" s="1">
        <v>910.0</v>
      </c>
      <c r="G433" s="1">
        <v>17.0</v>
      </c>
      <c r="H433" s="2">
        <v>45617.0</v>
      </c>
      <c r="I433" s="3" t="str">
        <f t="shared" si="1"/>
        <v>Middle Age (36-55)</v>
      </c>
      <c r="J433" s="3">
        <f t="shared" si="2"/>
        <v>11</v>
      </c>
      <c r="K433" s="3">
        <f t="shared" si="3"/>
        <v>2024</v>
      </c>
      <c r="L433" s="3" t="str">
        <f t="shared" si="4"/>
        <v>November</v>
      </c>
      <c r="M433" s="3" t="str">
        <f>VLOOKUP(D433,Lookup_Practice!$A$2:$B$7,2,FALSE)</f>
        <v>Premium</v>
      </c>
      <c r="N433" s="3" t="str">
        <f t="array" ref="N433">INDEX(Lookup_Practice!$B$2:$B$7,MATCH(D433,Lookup_Practice!$A$2:$A$7,0))</f>
        <v>Premium</v>
      </c>
      <c r="O433" s="3" t="str">
        <f t="array" ref="O433">XLOOKUP(D433,Lookup_Practice!$A$2:$A$7,Lookup_Practice!$B$2:$B$7)</f>
        <v>Premium</v>
      </c>
    </row>
    <row r="434">
      <c r="A434" s="1">
        <v>12.0</v>
      </c>
      <c r="B434" s="1" t="s">
        <v>14</v>
      </c>
      <c r="C434" s="1" t="s">
        <v>21</v>
      </c>
      <c r="D434" s="1" t="s">
        <v>23</v>
      </c>
      <c r="E434" s="1" t="s">
        <v>17</v>
      </c>
      <c r="F434" s="1">
        <v>1372.0</v>
      </c>
      <c r="G434" s="1">
        <v>17.0</v>
      </c>
      <c r="H434" s="2">
        <v>44947.0</v>
      </c>
      <c r="I434" s="3" t="str">
        <f t="shared" si="1"/>
        <v>Child (0-17)</v>
      </c>
      <c r="J434" s="3">
        <f t="shared" si="2"/>
        <v>1</v>
      </c>
      <c r="K434" s="3">
        <f t="shared" si="3"/>
        <v>2023</v>
      </c>
      <c r="L434" s="3" t="str">
        <f t="shared" si="4"/>
        <v>January</v>
      </c>
      <c r="M434" s="3" t="str">
        <f>VLOOKUP(D434,Lookup_Practice!$A$2:$B$7,2,FALSE)</f>
        <v>Standard</v>
      </c>
      <c r="N434" s="3" t="str">
        <f t="array" ref="N434">INDEX(Lookup_Practice!$B$2:$B$7,MATCH(D434,Lookup_Practice!$A$2:$A$7,0))</f>
        <v>Standard</v>
      </c>
      <c r="O434" s="3" t="str">
        <f t="array" ref="O434">XLOOKUP(D434,Lookup_Practice!$A$2:$A$7,Lookup_Practice!$B$2:$B$7)</f>
        <v>Standard</v>
      </c>
    </row>
    <row r="435">
      <c r="A435" s="1">
        <v>30.0</v>
      </c>
      <c r="B435" s="1" t="s">
        <v>14</v>
      </c>
      <c r="C435" s="1" t="s">
        <v>29</v>
      </c>
      <c r="D435" s="1" t="s">
        <v>16</v>
      </c>
      <c r="E435" s="1" t="s">
        <v>17</v>
      </c>
      <c r="F435" s="1">
        <v>1180.0</v>
      </c>
      <c r="G435" s="1">
        <v>12.0</v>
      </c>
      <c r="H435" s="2">
        <v>45099.0</v>
      </c>
      <c r="I435" s="3" t="str">
        <f t="shared" si="1"/>
        <v>Young Adult (18-35)</v>
      </c>
      <c r="J435" s="3">
        <f t="shared" si="2"/>
        <v>6</v>
      </c>
      <c r="K435" s="3">
        <f t="shared" si="3"/>
        <v>2023</v>
      </c>
      <c r="L435" s="3" t="str">
        <f t="shared" si="4"/>
        <v>June</v>
      </c>
      <c r="M435" s="3" t="str">
        <f>VLOOKUP(D435,Lookup_Practice!$A$2:$B$7,2,FALSE)</f>
        <v>Premium</v>
      </c>
      <c r="N435" s="3" t="str">
        <f t="array" ref="N435">INDEX(Lookup_Practice!$B$2:$B$7,MATCH(D435,Lookup_Practice!$A$2:$A$7,0))</f>
        <v>Premium</v>
      </c>
      <c r="O435" s="3" t="str">
        <f t="array" ref="O435">XLOOKUP(D435,Lookup_Practice!$A$2:$A$7,Lookup_Practice!$B$2:$B$7)</f>
        <v>Premium</v>
      </c>
    </row>
    <row r="436">
      <c r="A436" s="1">
        <v>78.0</v>
      </c>
      <c r="B436" s="1" t="s">
        <v>18</v>
      </c>
      <c r="C436" s="1" t="s">
        <v>21</v>
      </c>
      <c r="D436" s="1" t="s">
        <v>30</v>
      </c>
      <c r="E436" s="1" t="s">
        <v>17</v>
      </c>
      <c r="F436" s="1">
        <v>993.0</v>
      </c>
      <c r="G436" s="1">
        <v>7.0</v>
      </c>
      <c r="H436" s="2">
        <v>45456.0</v>
      </c>
      <c r="I436" s="3" t="str">
        <f t="shared" si="1"/>
        <v>Senior (56+)</v>
      </c>
      <c r="J436" s="3">
        <f t="shared" si="2"/>
        <v>6</v>
      </c>
      <c r="K436" s="3">
        <f t="shared" si="3"/>
        <v>2024</v>
      </c>
      <c r="L436" s="3" t="str">
        <f t="shared" si="4"/>
        <v>June</v>
      </c>
      <c r="M436" s="3" t="str">
        <f>VLOOKUP(D436,Lookup_Practice!$A$2:$B$7,2,FALSE)</f>
        <v>Standard</v>
      </c>
      <c r="N436" s="3" t="str">
        <f t="array" ref="N436">INDEX(Lookup_Practice!$B$2:$B$7,MATCH(D436,Lookup_Practice!$A$2:$A$7,0))</f>
        <v>Standard</v>
      </c>
      <c r="O436" s="3" t="str">
        <f t="array" ref="O436">XLOOKUP(D436,Lookup_Practice!$A$2:$A$7,Lookup_Practice!$B$2:$B$7)</f>
        <v>Standard</v>
      </c>
    </row>
    <row r="437">
      <c r="A437" s="1">
        <v>38.0</v>
      </c>
      <c r="B437" s="1" t="s">
        <v>18</v>
      </c>
      <c r="C437" s="1" t="s">
        <v>19</v>
      </c>
      <c r="D437" s="1" t="s">
        <v>30</v>
      </c>
      <c r="E437" s="1" t="s">
        <v>17</v>
      </c>
      <c r="F437" s="1">
        <v>1100.0</v>
      </c>
      <c r="G437" s="1">
        <v>3.0</v>
      </c>
      <c r="H437" s="2">
        <v>45237.0</v>
      </c>
      <c r="I437" s="3" t="str">
        <f t="shared" si="1"/>
        <v>Middle Age (36-55)</v>
      </c>
      <c r="J437" s="3">
        <f t="shared" si="2"/>
        <v>11</v>
      </c>
      <c r="K437" s="3">
        <f t="shared" si="3"/>
        <v>2023</v>
      </c>
      <c r="L437" s="3" t="str">
        <f t="shared" si="4"/>
        <v>November</v>
      </c>
      <c r="M437" s="3" t="str">
        <f>VLOOKUP(D437,Lookup_Practice!$A$2:$B$7,2,FALSE)</f>
        <v>Standard</v>
      </c>
      <c r="N437" s="3" t="str">
        <f t="array" ref="N437">INDEX(Lookup_Practice!$B$2:$B$7,MATCH(D437,Lookup_Practice!$A$2:$A$7,0))</f>
        <v>Standard</v>
      </c>
      <c r="O437" s="3" t="str">
        <f t="array" ref="O437">XLOOKUP(D437,Lookup_Practice!$A$2:$A$7,Lookup_Practice!$B$2:$B$7)</f>
        <v>Standard</v>
      </c>
    </row>
    <row r="438">
      <c r="A438" s="1">
        <v>11.0</v>
      </c>
      <c r="B438" s="1" t="s">
        <v>18</v>
      </c>
      <c r="C438" s="1" t="s">
        <v>15</v>
      </c>
      <c r="D438" s="1" t="s">
        <v>30</v>
      </c>
      <c r="E438" s="1" t="s">
        <v>17</v>
      </c>
      <c r="F438" s="1">
        <v>920.0</v>
      </c>
      <c r="G438" s="1">
        <v>10.0</v>
      </c>
      <c r="H438" s="2">
        <v>45405.0</v>
      </c>
      <c r="I438" s="3" t="str">
        <f t="shared" si="1"/>
        <v>Child (0-17)</v>
      </c>
      <c r="J438" s="3">
        <f t="shared" si="2"/>
        <v>4</v>
      </c>
      <c r="K438" s="3">
        <f t="shared" si="3"/>
        <v>2024</v>
      </c>
      <c r="L438" s="3" t="str">
        <f t="shared" si="4"/>
        <v>April</v>
      </c>
      <c r="M438" s="3" t="str">
        <f>VLOOKUP(D438,Lookup_Practice!$A$2:$B$7,2,FALSE)</f>
        <v>Standard</v>
      </c>
      <c r="N438" s="3" t="str">
        <f t="array" ref="N438">INDEX(Lookup_Practice!$B$2:$B$7,MATCH(D438,Lookup_Practice!$A$2:$A$7,0))</f>
        <v>Standard</v>
      </c>
      <c r="O438" s="3" t="str">
        <f t="array" ref="O438">XLOOKUP(D438,Lookup_Practice!$A$2:$A$7,Lookup_Practice!$B$2:$B$7)</f>
        <v>Standard</v>
      </c>
    </row>
    <row r="439">
      <c r="A439" s="1">
        <v>72.0</v>
      </c>
      <c r="B439" s="1" t="s">
        <v>18</v>
      </c>
      <c r="C439" s="1" t="s">
        <v>31</v>
      </c>
      <c r="D439" s="1" t="s">
        <v>26</v>
      </c>
      <c r="E439" s="1" t="s">
        <v>17</v>
      </c>
      <c r="F439" s="1">
        <v>610.0</v>
      </c>
      <c r="G439" s="1">
        <v>2.0</v>
      </c>
      <c r="H439" s="2">
        <v>45277.0</v>
      </c>
      <c r="I439" s="3" t="str">
        <f t="shared" si="1"/>
        <v>Senior (56+)</v>
      </c>
      <c r="J439" s="3">
        <f t="shared" si="2"/>
        <v>12</v>
      </c>
      <c r="K439" s="3">
        <f t="shared" si="3"/>
        <v>2023</v>
      </c>
      <c r="L439" s="3" t="str">
        <f t="shared" si="4"/>
        <v>December</v>
      </c>
      <c r="M439" s="3" t="str">
        <f>VLOOKUP(D439,Lookup_Practice!$A$2:$B$7,2,FALSE)</f>
        <v>Premium</v>
      </c>
      <c r="N439" s="3" t="str">
        <f t="array" ref="N439">INDEX(Lookup_Practice!$B$2:$B$7,MATCH(D439,Lookup_Practice!$A$2:$A$7,0))</f>
        <v>Premium</v>
      </c>
      <c r="O439" s="3" t="str">
        <f t="array" ref="O439">XLOOKUP(D439,Lookup_Practice!$A$2:$A$7,Lookup_Practice!$B$2:$B$7)</f>
        <v>Premium</v>
      </c>
    </row>
    <row r="440">
      <c r="A440" s="1">
        <v>62.0</v>
      </c>
      <c r="B440" s="1" t="s">
        <v>18</v>
      </c>
      <c r="C440" s="1" t="s">
        <v>32</v>
      </c>
      <c r="D440" s="1" t="s">
        <v>16</v>
      </c>
      <c r="E440" s="1" t="s">
        <v>17</v>
      </c>
      <c r="F440" s="1">
        <v>1039.0</v>
      </c>
      <c r="G440" s="1">
        <v>3.0</v>
      </c>
      <c r="H440" s="2">
        <v>45232.0</v>
      </c>
      <c r="I440" s="3" t="str">
        <f t="shared" si="1"/>
        <v>Senior (56+)</v>
      </c>
      <c r="J440" s="3">
        <f t="shared" si="2"/>
        <v>11</v>
      </c>
      <c r="K440" s="3">
        <f t="shared" si="3"/>
        <v>2023</v>
      </c>
      <c r="L440" s="3" t="str">
        <f t="shared" si="4"/>
        <v>November</v>
      </c>
      <c r="M440" s="3" t="str">
        <f>VLOOKUP(D440,Lookup_Practice!$A$2:$B$7,2,FALSE)</f>
        <v>Premium</v>
      </c>
      <c r="N440" s="3" t="str">
        <f t="array" ref="N440">INDEX(Lookup_Practice!$B$2:$B$7,MATCH(D440,Lookup_Practice!$A$2:$A$7,0))</f>
        <v>Premium</v>
      </c>
      <c r="O440" s="3" t="str">
        <f t="array" ref="O440">XLOOKUP(D440,Lookup_Practice!$A$2:$A$7,Lookup_Practice!$B$2:$B$7)</f>
        <v>Premium</v>
      </c>
    </row>
    <row r="441">
      <c r="A441" s="1">
        <v>79.0</v>
      </c>
      <c r="B441" s="1" t="s">
        <v>14</v>
      </c>
      <c r="C441" s="1" t="s">
        <v>31</v>
      </c>
      <c r="D441" s="1" t="s">
        <v>23</v>
      </c>
      <c r="E441" s="1" t="s">
        <v>17</v>
      </c>
      <c r="F441" s="1">
        <v>1392.0</v>
      </c>
      <c r="G441" s="1">
        <v>16.0</v>
      </c>
      <c r="H441" s="2">
        <v>45608.0</v>
      </c>
      <c r="I441" s="3" t="str">
        <f t="shared" si="1"/>
        <v>Senior (56+)</v>
      </c>
      <c r="J441" s="3">
        <f t="shared" si="2"/>
        <v>11</v>
      </c>
      <c r="K441" s="3">
        <f t="shared" si="3"/>
        <v>2024</v>
      </c>
      <c r="L441" s="3" t="str">
        <f t="shared" si="4"/>
        <v>November</v>
      </c>
      <c r="M441" s="3" t="str">
        <f>VLOOKUP(D441,Lookup_Practice!$A$2:$B$7,2,FALSE)</f>
        <v>Standard</v>
      </c>
      <c r="N441" s="3" t="str">
        <f t="array" ref="N441">INDEX(Lookup_Practice!$B$2:$B$7,MATCH(D441,Lookup_Practice!$A$2:$A$7,0))</f>
        <v>Standard</v>
      </c>
      <c r="O441" s="3" t="str">
        <f t="array" ref="O441">XLOOKUP(D441,Lookup_Practice!$A$2:$A$7,Lookup_Practice!$B$2:$B$7)</f>
        <v>Standard</v>
      </c>
    </row>
    <row r="442">
      <c r="A442" s="1">
        <v>33.0</v>
      </c>
      <c r="B442" s="1" t="s">
        <v>18</v>
      </c>
      <c r="C442" s="1" t="s">
        <v>19</v>
      </c>
      <c r="D442" s="1" t="s">
        <v>23</v>
      </c>
      <c r="E442" s="1" t="s">
        <v>24</v>
      </c>
      <c r="F442" s="1">
        <v>1397.0</v>
      </c>
      <c r="G442" s="1">
        <v>2.0</v>
      </c>
      <c r="H442" s="2">
        <v>45224.0</v>
      </c>
      <c r="I442" s="3" t="str">
        <f t="shared" si="1"/>
        <v>Young Adult (18-35)</v>
      </c>
      <c r="J442" s="3">
        <f t="shared" si="2"/>
        <v>10</v>
      </c>
      <c r="K442" s="3">
        <f t="shared" si="3"/>
        <v>2023</v>
      </c>
      <c r="L442" s="3" t="str">
        <f t="shared" si="4"/>
        <v>October</v>
      </c>
      <c r="M442" s="3" t="str">
        <f>VLOOKUP(D442,Lookup_Practice!$A$2:$B$7,2,FALSE)</f>
        <v>Standard</v>
      </c>
      <c r="N442" s="3" t="str">
        <f t="array" ref="N442">INDEX(Lookup_Practice!$B$2:$B$7,MATCH(D442,Lookup_Practice!$A$2:$A$7,0))</f>
        <v>Standard</v>
      </c>
      <c r="O442" s="3" t="str">
        <f t="array" ref="O442">XLOOKUP(D442,Lookup_Practice!$A$2:$A$7,Lookup_Practice!$B$2:$B$7)</f>
        <v>Standard</v>
      </c>
    </row>
    <row r="443">
      <c r="A443" s="1">
        <v>40.0</v>
      </c>
      <c r="B443" s="1" t="s">
        <v>14</v>
      </c>
      <c r="C443" s="1" t="s">
        <v>15</v>
      </c>
      <c r="D443" s="1" t="s">
        <v>22</v>
      </c>
      <c r="E443" s="1" t="s">
        <v>17</v>
      </c>
      <c r="F443" s="1">
        <v>800.0</v>
      </c>
      <c r="G443" s="1">
        <v>10.0</v>
      </c>
      <c r="H443" s="2">
        <v>44995.0</v>
      </c>
      <c r="I443" s="3" t="str">
        <f t="shared" si="1"/>
        <v>Middle Age (36-55)</v>
      </c>
      <c r="J443" s="3">
        <f t="shared" si="2"/>
        <v>3</v>
      </c>
      <c r="K443" s="3">
        <f t="shared" si="3"/>
        <v>2023</v>
      </c>
      <c r="L443" s="3" t="str">
        <f t="shared" si="4"/>
        <v>March</v>
      </c>
      <c r="M443" s="3" t="str">
        <f>VLOOKUP(D443,Lookup_Practice!$A$2:$B$7,2,FALSE)</f>
        <v>Basic</v>
      </c>
      <c r="N443" s="3" t="str">
        <f t="array" ref="N443">INDEX(Lookup_Practice!$B$2:$B$7,MATCH(D443,Lookup_Practice!$A$2:$A$7,0))</f>
        <v>Basic</v>
      </c>
      <c r="O443" s="3" t="str">
        <f t="array" ref="O443">XLOOKUP(D443,Lookup_Practice!$A$2:$A$7,Lookup_Practice!$B$2:$B$7)</f>
        <v>Basic</v>
      </c>
    </row>
    <row r="444">
      <c r="A444" s="1">
        <v>25.0</v>
      </c>
      <c r="B444" s="1" t="s">
        <v>14</v>
      </c>
      <c r="C444" s="1" t="s">
        <v>25</v>
      </c>
      <c r="D444" s="1" t="s">
        <v>22</v>
      </c>
      <c r="E444" s="1" t="s">
        <v>17</v>
      </c>
      <c r="F444" s="1">
        <v>727.0</v>
      </c>
      <c r="G444" s="1">
        <v>6.0</v>
      </c>
      <c r="H444" s="2">
        <v>45614.0</v>
      </c>
      <c r="I444" s="3" t="str">
        <f t="shared" si="1"/>
        <v>Young Adult (18-35)</v>
      </c>
      <c r="J444" s="3">
        <f t="shared" si="2"/>
        <v>11</v>
      </c>
      <c r="K444" s="3">
        <f t="shared" si="3"/>
        <v>2024</v>
      </c>
      <c r="L444" s="3" t="str">
        <f t="shared" si="4"/>
        <v>November</v>
      </c>
      <c r="M444" s="3" t="str">
        <f>VLOOKUP(D444,Lookup_Practice!$A$2:$B$7,2,FALSE)</f>
        <v>Basic</v>
      </c>
      <c r="N444" s="3" t="str">
        <f t="array" ref="N444">INDEX(Lookup_Practice!$B$2:$B$7,MATCH(D444,Lookup_Practice!$A$2:$A$7,0))</f>
        <v>Basic</v>
      </c>
      <c r="O444" s="3" t="str">
        <f t="array" ref="O444">XLOOKUP(D444,Lookup_Practice!$A$2:$A$7,Lookup_Practice!$B$2:$B$7)</f>
        <v>Basic</v>
      </c>
    </row>
    <row r="445">
      <c r="A445" s="1">
        <v>40.0</v>
      </c>
      <c r="B445" s="1" t="s">
        <v>14</v>
      </c>
      <c r="C445" s="1" t="s">
        <v>21</v>
      </c>
      <c r="D445" s="1" t="s">
        <v>22</v>
      </c>
      <c r="E445" s="1" t="s">
        <v>17</v>
      </c>
      <c r="F445" s="1">
        <v>740.0</v>
      </c>
      <c r="G445" s="1">
        <v>11.0</v>
      </c>
      <c r="H445" s="2">
        <v>45373.0</v>
      </c>
      <c r="I445" s="3" t="str">
        <f t="shared" si="1"/>
        <v>Middle Age (36-55)</v>
      </c>
      <c r="J445" s="3">
        <f t="shared" si="2"/>
        <v>3</v>
      </c>
      <c r="K445" s="3">
        <f t="shared" si="3"/>
        <v>2024</v>
      </c>
      <c r="L445" s="3" t="str">
        <f t="shared" si="4"/>
        <v>March</v>
      </c>
      <c r="M445" s="3" t="str">
        <f>VLOOKUP(D445,Lookup_Practice!$A$2:$B$7,2,FALSE)</f>
        <v>Basic</v>
      </c>
      <c r="N445" s="3" t="str">
        <f t="array" ref="N445">INDEX(Lookup_Practice!$B$2:$B$7,MATCH(D445,Lookup_Practice!$A$2:$A$7,0))</f>
        <v>Basic</v>
      </c>
      <c r="O445" s="3" t="str">
        <f t="array" ref="O445">XLOOKUP(D445,Lookup_Practice!$A$2:$A$7,Lookup_Practice!$B$2:$B$7)</f>
        <v>Basic</v>
      </c>
    </row>
    <row r="446">
      <c r="A446" s="1">
        <v>14.0</v>
      </c>
      <c r="B446" s="1" t="s">
        <v>18</v>
      </c>
      <c r="C446" s="1" t="s">
        <v>21</v>
      </c>
      <c r="D446" s="1" t="s">
        <v>30</v>
      </c>
      <c r="E446" s="1" t="s">
        <v>17</v>
      </c>
      <c r="F446" s="1">
        <v>1045.0</v>
      </c>
      <c r="G446" s="1">
        <v>7.0</v>
      </c>
      <c r="H446" s="2">
        <v>44953.0</v>
      </c>
      <c r="I446" s="3" t="str">
        <f t="shared" si="1"/>
        <v>Child (0-17)</v>
      </c>
      <c r="J446" s="3">
        <f t="shared" si="2"/>
        <v>1</v>
      </c>
      <c r="K446" s="3">
        <f t="shared" si="3"/>
        <v>2023</v>
      </c>
      <c r="L446" s="3" t="str">
        <f t="shared" si="4"/>
        <v>January</v>
      </c>
      <c r="M446" s="3" t="str">
        <f>VLOOKUP(D446,Lookup_Practice!$A$2:$B$7,2,FALSE)</f>
        <v>Standard</v>
      </c>
      <c r="N446" s="3" t="str">
        <f t="array" ref="N446">INDEX(Lookup_Practice!$B$2:$B$7,MATCH(D446,Lookup_Practice!$A$2:$A$7,0))</f>
        <v>Standard</v>
      </c>
      <c r="O446" s="3" t="str">
        <f t="array" ref="O446">XLOOKUP(D446,Lookup_Practice!$A$2:$A$7,Lookup_Practice!$B$2:$B$7)</f>
        <v>Standard</v>
      </c>
    </row>
    <row r="447">
      <c r="A447" s="1">
        <v>77.0</v>
      </c>
      <c r="B447" s="1" t="s">
        <v>14</v>
      </c>
      <c r="C447" s="1" t="s">
        <v>15</v>
      </c>
      <c r="D447" s="1" t="s">
        <v>23</v>
      </c>
      <c r="E447" s="1" t="s">
        <v>28</v>
      </c>
      <c r="F447" s="1">
        <v>1355.0</v>
      </c>
      <c r="G447" s="1">
        <v>15.0</v>
      </c>
      <c r="H447" s="2">
        <v>45362.0</v>
      </c>
      <c r="I447" s="3" t="str">
        <f t="shared" si="1"/>
        <v>Senior (56+)</v>
      </c>
      <c r="J447" s="3">
        <f t="shared" si="2"/>
        <v>3</v>
      </c>
      <c r="K447" s="3">
        <f t="shared" si="3"/>
        <v>2024</v>
      </c>
      <c r="L447" s="3" t="str">
        <f t="shared" si="4"/>
        <v>March</v>
      </c>
      <c r="M447" s="3" t="str">
        <f>VLOOKUP(D447,Lookup_Practice!$A$2:$B$7,2,FALSE)</f>
        <v>Standard</v>
      </c>
      <c r="N447" s="3" t="str">
        <f t="array" ref="N447">INDEX(Lookup_Practice!$B$2:$B$7,MATCH(D447,Lookup_Practice!$A$2:$A$7,0))</f>
        <v>Standard</v>
      </c>
      <c r="O447" s="3" t="str">
        <f t="array" ref="O447">XLOOKUP(D447,Lookup_Practice!$A$2:$A$7,Lookup_Practice!$B$2:$B$7)</f>
        <v>Standard</v>
      </c>
    </row>
    <row r="448">
      <c r="A448" s="1">
        <v>28.0</v>
      </c>
      <c r="B448" s="1" t="s">
        <v>18</v>
      </c>
      <c r="C448" s="1" t="s">
        <v>25</v>
      </c>
      <c r="D448" s="1" t="s">
        <v>16</v>
      </c>
      <c r="E448" s="1" t="s">
        <v>17</v>
      </c>
      <c r="F448" s="1">
        <v>1126.0</v>
      </c>
      <c r="G448" s="1">
        <v>6.0</v>
      </c>
      <c r="H448" s="2">
        <v>45032.0</v>
      </c>
      <c r="I448" s="3" t="str">
        <f t="shared" si="1"/>
        <v>Young Adult (18-35)</v>
      </c>
      <c r="J448" s="3">
        <f t="shared" si="2"/>
        <v>4</v>
      </c>
      <c r="K448" s="3">
        <f t="shared" si="3"/>
        <v>2023</v>
      </c>
      <c r="L448" s="3" t="str">
        <f t="shared" si="4"/>
        <v>April</v>
      </c>
      <c r="M448" s="3" t="str">
        <f>VLOOKUP(D448,Lookup_Practice!$A$2:$B$7,2,FALSE)</f>
        <v>Premium</v>
      </c>
      <c r="N448" s="3" t="str">
        <f t="array" ref="N448">INDEX(Lookup_Practice!$B$2:$B$7,MATCH(D448,Lookup_Practice!$A$2:$A$7,0))</f>
        <v>Premium</v>
      </c>
      <c r="O448" s="3" t="str">
        <f t="array" ref="O448">XLOOKUP(D448,Lookup_Practice!$A$2:$A$7,Lookup_Practice!$B$2:$B$7)</f>
        <v>Premium</v>
      </c>
    </row>
    <row r="449">
      <c r="A449" s="1">
        <v>68.0</v>
      </c>
      <c r="B449" s="1" t="s">
        <v>18</v>
      </c>
      <c r="C449" s="1" t="s">
        <v>21</v>
      </c>
      <c r="D449" s="1" t="s">
        <v>30</v>
      </c>
      <c r="E449" s="1" t="s">
        <v>24</v>
      </c>
      <c r="F449" s="1">
        <v>1135.0</v>
      </c>
      <c r="G449" s="1">
        <v>20.0</v>
      </c>
      <c r="H449" s="2">
        <v>45613.0</v>
      </c>
      <c r="I449" s="3" t="str">
        <f t="shared" si="1"/>
        <v>Senior (56+)</v>
      </c>
      <c r="J449" s="3">
        <f t="shared" si="2"/>
        <v>11</v>
      </c>
      <c r="K449" s="3">
        <f t="shared" si="3"/>
        <v>2024</v>
      </c>
      <c r="L449" s="3" t="str">
        <f t="shared" si="4"/>
        <v>November</v>
      </c>
      <c r="M449" s="3" t="str">
        <f>VLOOKUP(D449,Lookup_Practice!$A$2:$B$7,2,FALSE)</f>
        <v>Standard</v>
      </c>
      <c r="N449" s="3" t="str">
        <f t="array" ref="N449">INDEX(Lookup_Practice!$B$2:$B$7,MATCH(D449,Lookup_Practice!$A$2:$A$7,0))</f>
        <v>Standard</v>
      </c>
      <c r="O449" s="3" t="str">
        <f t="array" ref="O449">XLOOKUP(D449,Lookup_Practice!$A$2:$A$7,Lookup_Practice!$B$2:$B$7)</f>
        <v>Standard</v>
      </c>
    </row>
    <row r="450">
      <c r="A450" s="1">
        <v>53.0</v>
      </c>
      <c r="B450" s="1" t="s">
        <v>14</v>
      </c>
      <c r="C450" s="1" t="s">
        <v>25</v>
      </c>
      <c r="D450" s="1" t="s">
        <v>26</v>
      </c>
      <c r="E450" s="1" t="s">
        <v>28</v>
      </c>
      <c r="F450" s="1">
        <v>412.0</v>
      </c>
      <c r="G450" s="1">
        <v>9.0</v>
      </c>
      <c r="H450" s="2">
        <v>45249.0</v>
      </c>
      <c r="I450" s="3" t="str">
        <f t="shared" si="1"/>
        <v>Middle Age (36-55)</v>
      </c>
      <c r="J450" s="3">
        <f t="shared" si="2"/>
        <v>11</v>
      </c>
      <c r="K450" s="3">
        <f t="shared" si="3"/>
        <v>2023</v>
      </c>
      <c r="L450" s="3" t="str">
        <f t="shared" si="4"/>
        <v>November</v>
      </c>
      <c r="M450" s="3" t="str">
        <f>VLOOKUP(D450,Lookup_Practice!$A$2:$B$7,2,FALSE)</f>
        <v>Premium</v>
      </c>
      <c r="N450" s="3" t="str">
        <f t="array" ref="N450">INDEX(Lookup_Practice!$B$2:$B$7,MATCH(D450,Lookup_Practice!$A$2:$A$7,0))</f>
        <v>Premium</v>
      </c>
      <c r="O450" s="3" t="str">
        <f t="array" ref="O450">XLOOKUP(D450,Lookup_Practice!$A$2:$A$7,Lookup_Practice!$B$2:$B$7)</f>
        <v>Premium</v>
      </c>
    </row>
    <row r="451">
      <c r="A451" s="1">
        <v>40.0</v>
      </c>
      <c r="B451" s="1" t="s">
        <v>18</v>
      </c>
      <c r="C451" s="1" t="s">
        <v>19</v>
      </c>
      <c r="D451" s="1" t="s">
        <v>22</v>
      </c>
      <c r="E451" s="1" t="s">
        <v>24</v>
      </c>
      <c r="F451" s="1">
        <v>909.0</v>
      </c>
      <c r="G451" s="1">
        <v>20.0</v>
      </c>
      <c r="H451" s="2">
        <v>45064.0</v>
      </c>
      <c r="I451" s="3" t="str">
        <f t="shared" si="1"/>
        <v>Middle Age (36-55)</v>
      </c>
      <c r="J451" s="3">
        <f t="shared" si="2"/>
        <v>5</v>
      </c>
      <c r="K451" s="3">
        <f t="shared" si="3"/>
        <v>2023</v>
      </c>
      <c r="L451" s="3" t="str">
        <f t="shared" si="4"/>
        <v>May</v>
      </c>
      <c r="M451" s="3" t="str">
        <f>VLOOKUP(D451,Lookup_Practice!$A$2:$B$7,2,FALSE)</f>
        <v>Basic</v>
      </c>
      <c r="N451" s="3" t="str">
        <f t="array" ref="N451">INDEX(Lookup_Practice!$B$2:$B$7,MATCH(D451,Lookup_Practice!$A$2:$A$7,0))</f>
        <v>Basic</v>
      </c>
      <c r="O451" s="3" t="str">
        <f t="array" ref="O451">XLOOKUP(D451,Lookup_Practice!$A$2:$A$7,Lookup_Practice!$B$2:$B$7)</f>
        <v>Basic</v>
      </c>
    </row>
    <row r="452">
      <c r="A452" s="1">
        <v>28.0</v>
      </c>
      <c r="B452" s="1" t="s">
        <v>18</v>
      </c>
      <c r="C452" s="1" t="s">
        <v>25</v>
      </c>
      <c r="D452" s="1" t="s">
        <v>30</v>
      </c>
      <c r="E452" s="1" t="s">
        <v>17</v>
      </c>
      <c r="F452" s="1">
        <v>1128.0</v>
      </c>
      <c r="G452" s="1">
        <v>12.0</v>
      </c>
      <c r="H452" s="2">
        <v>45354.0</v>
      </c>
      <c r="I452" s="3" t="str">
        <f t="shared" si="1"/>
        <v>Young Adult (18-35)</v>
      </c>
      <c r="J452" s="3">
        <f t="shared" si="2"/>
        <v>3</v>
      </c>
      <c r="K452" s="3">
        <f t="shared" si="3"/>
        <v>2024</v>
      </c>
      <c r="L452" s="3" t="str">
        <f t="shared" si="4"/>
        <v>March</v>
      </c>
      <c r="M452" s="3" t="str">
        <f>VLOOKUP(D452,Lookup_Practice!$A$2:$B$7,2,FALSE)</f>
        <v>Standard</v>
      </c>
      <c r="N452" s="3" t="str">
        <f t="array" ref="N452">INDEX(Lookup_Practice!$B$2:$B$7,MATCH(D452,Lookup_Practice!$A$2:$A$7,0))</f>
        <v>Standard</v>
      </c>
      <c r="O452" s="3" t="str">
        <f t="array" ref="O452">XLOOKUP(D452,Lookup_Practice!$A$2:$A$7,Lookup_Practice!$B$2:$B$7)</f>
        <v>Standard</v>
      </c>
    </row>
    <row r="453">
      <c r="A453" s="1">
        <v>27.0</v>
      </c>
      <c r="B453" s="1" t="s">
        <v>14</v>
      </c>
      <c r="C453" s="1" t="s">
        <v>29</v>
      </c>
      <c r="D453" s="1" t="s">
        <v>30</v>
      </c>
      <c r="E453" s="1" t="s">
        <v>24</v>
      </c>
      <c r="F453" s="1">
        <v>999.0</v>
      </c>
      <c r="G453" s="1">
        <v>19.0</v>
      </c>
      <c r="H453" s="2">
        <v>45098.0</v>
      </c>
      <c r="I453" s="3" t="str">
        <f t="shared" si="1"/>
        <v>Young Adult (18-35)</v>
      </c>
      <c r="J453" s="3">
        <f t="shared" si="2"/>
        <v>6</v>
      </c>
      <c r="K453" s="3">
        <f t="shared" si="3"/>
        <v>2023</v>
      </c>
      <c r="L453" s="3" t="str">
        <f t="shared" si="4"/>
        <v>June</v>
      </c>
      <c r="M453" s="3" t="str">
        <f>VLOOKUP(D453,Lookup_Practice!$A$2:$B$7,2,FALSE)</f>
        <v>Standard</v>
      </c>
      <c r="N453" s="3" t="str">
        <f t="array" ref="N453">INDEX(Lookup_Practice!$B$2:$B$7,MATCH(D453,Lookup_Practice!$A$2:$A$7,0))</f>
        <v>Standard</v>
      </c>
      <c r="O453" s="3" t="str">
        <f t="array" ref="O453">XLOOKUP(D453,Lookup_Practice!$A$2:$A$7,Lookup_Practice!$B$2:$B$7)</f>
        <v>Standard</v>
      </c>
    </row>
    <row r="454">
      <c r="A454" s="1">
        <v>66.0</v>
      </c>
      <c r="B454" s="1" t="s">
        <v>18</v>
      </c>
      <c r="C454" s="1" t="s">
        <v>31</v>
      </c>
      <c r="D454" s="1" t="s">
        <v>26</v>
      </c>
      <c r="E454" s="1" t="s">
        <v>28</v>
      </c>
      <c r="F454" s="1">
        <v>430.0</v>
      </c>
      <c r="G454" s="1">
        <v>20.0</v>
      </c>
      <c r="H454" s="2">
        <v>45257.0</v>
      </c>
      <c r="I454" s="3" t="str">
        <f t="shared" si="1"/>
        <v>Senior (56+)</v>
      </c>
      <c r="J454" s="3">
        <f t="shared" si="2"/>
        <v>11</v>
      </c>
      <c r="K454" s="3">
        <f t="shared" si="3"/>
        <v>2023</v>
      </c>
      <c r="L454" s="3" t="str">
        <f t="shared" si="4"/>
        <v>November</v>
      </c>
      <c r="M454" s="3" t="str">
        <f>VLOOKUP(D454,Lookup_Practice!$A$2:$B$7,2,FALSE)</f>
        <v>Premium</v>
      </c>
      <c r="N454" s="3" t="str">
        <f t="array" ref="N454">INDEX(Lookup_Practice!$B$2:$B$7,MATCH(D454,Lookup_Practice!$A$2:$A$7,0))</f>
        <v>Premium</v>
      </c>
      <c r="O454" s="3" t="str">
        <f t="array" ref="O454">XLOOKUP(D454,Lookup_Practice!$A$2:$A$7,Lookup_Practice!$B$2:$B$7)</f>
        <v>Premium</v>
      </c>
    </row>
    <row r="455">
      <c r="A455" s="1">
        <v>41.0</v>
      </c>
      <c r="B455" s="1" t="s">
        <v>18</v>
      </c>
      <c r="C455" s="1" t="s">
        <v>32</v>
      </c>
      <c r="D455" s="1" t="s">
        <v>20</v>
      </c>
      <c r="E455" s="1" t="s">
        <v>17</v>
      </c>
      <c r="F455" s="1">
        <v>1415.0</v>
      </c>
      <c r="G455" s="1">
        <v>3.0</v>
      </c>
      <c r="H455" s="2">
        <v>45652.0</v>
      </c>
      <c r="I455" s="3" t="str">
        <f t="shared" si="1"/>
        <v>Middle Age (36-55)</v>
      </c>
      <c r="J455" s="3">
        <f t="shared" si="2"/>
        <v>12</v>
      </c>
      <c r="K455" s="3">
        <f t="shared" si="3"/>
        <v>2024</v>
      </c>
      <c r="L455" s="3" t="str">
        <f t="shared" si="4"/>
        <v>December</v>
      </c>
      <c r="M455" s="3" t="str">
        <f>VLOOKUP(D455,Lookup_Practice!$A$2:$B$7,2,FALSE)</f>
        <v>Standard</v>
      </c>
      <c r="N455" s="3" t="str">
        <f t="array" ref="N455">INDEX(Lookup_Practice!$B$2:$B$7,MATCH(D455,Lookup_Practice!$A$2:$A$7,0))</f>
        <v>Standard</v>
      </c>
      <c r="O455" s="3" t="str">
        <f t="array" ref="O455">XLOOKUP(D455,Lookup_Practice!$A$2:$A$7,Lookup_Practice!$B$2:$B$7)</f>
        <v>Standard</v>
      </c>
    </row>
    <row r="456">
      <c r="A456" s="1">
        <v>16.0</v>
      </c>
      <c r="B456" s="1" t="s">
        <v>18</v>
      </c>
      <c r="C456" s="1" t="s">
        <v>25</v>
      </c>
      <c r="D456" s="1" t="s">
        <v>23</v>
      </c>
      <c r="E456" s="1" t="s">
        <v>17</v>
      </c>
      <c r="F456" s="1">
        <v>1236.0</v>
      </c>
      <c r="G456" s="1">
        <v>15.0</v>
      </c>
      <c r="H456" s="2">
        <v>45428.0</v>
      </c>
      <c r="I456" s="3" t="str">
        <f t="shared" si="1"/>
        <v>Child (0-17)</v>
      </c>
      <c r="J456" s="3">
        <f t="shared" si="2"/>
        <v>5</v>
      </c>
      <c r="K456" s="3">
        <f t="shared" si="3"/>
        <v>2024</v>
      </c>
      <c r="L456" s="3" t="str">
        <f t="shared" si="4"/>
        <v>May</v>
      </c>
      <c r="M456" s="3" t="str">
        <f>VLOOKUP(D456,Lookup_Practice!$A$2:$B$7,2,FALSE)</f>
        <v>Standard</v>
      </c>
      <c r="N456" s="3" t="str">
        <f t="array" ref="N456">INDEX(Lookup_Practice!$B$2:$B$7,MATCH(D456,Lookup_Practice!$A$2:$A$7,0))</f>
        <v>Standard</v>
      </c>
      <c r="O456" s="3" t="str">
        <f t="array" ref="O456">XLOOKUP(D456,Lookup_Practice!$A$2:$A$7,Lookup_Practice!$B$2:$B$7)</f>
        <v>Standard</v>
      </c>
    </row>
    <row r="457">
      <c r="A457" s="1">
        <v>59.0</v>
      </c>
      <c r="B457" s="1" t="s">
        <v>14</v>
      </c>
      <c r="C457" s="1" t="s">
        <v>31</v>
      </c>
      <c r="D457" s="1" t="s">
        <v>16</v>
      </c>
      <c r="E457" s="1" t="s">
        <v>17</v>
      </c>
      <c r="F457" s="1">
        <v>1065.0</v>
      </c>
      <c r="G457" s="1">
        <v>2.0</v>
      </c>
      <c r="H457" s="2">
        <v>44991.0</v>
      </c>
      <c r="I457" s="3" t="str">
        <f t="shared" si="1"/>
        <v>Senior (56+)</v>
      </c>
      <c r="J457" s="3">
        <f t="shared" si="2"/>
        <v>3</v>
      </c>
      <c r="K457" s="3">
        <f t="shared" si="3"/>
        <v>2023</v>
      </c>
      <c r="L457" s="3" t="str">
        <f t="shared" si="4"/>
        <v>March</v>
      </c>
      <c r="M457" s="3" t="str">
        <f>VLOOKUP(D457,Lookup_Practice!$A$2:$B$7,2,FALSE)</f>
        <v>Premium</v>
      </c>
      <c r="N457" s="3" t="str">
        <f t="array" ref="N457">INDEX(Lookup_Practice!$B$2:$B$7,MATCH(D457,Lookup_Practice!$A$2:$A$7,0))</f>
        <v>Premium</v>
      </c>
      <c r="O457" s="3" t="str">
        <f t="array" ref="O457">XLOOKUP(D457,Lookup_Practice!$A$2:$A$7,Lookup_Practice!$B$2:$B$7)</f>
        <v>Premium</v>
      </c>
    </row>
    <row r="458">
      <c r="A458" s="1">
        <v>17.0</v>
      </c>
      <c r="B458" s="1" t="s">
        <v>14</v>
      </c>
      <c r="C458" s="1" t="s">
        <v>32</v>
      </c>
      <c r="D458" s="1" t="s">
        <v>20</v>
      </c>
      <c r="E458" s="1" t="s">
        <v>17</v>
      </c>
      <c r="F458" s="1">
        <v>1499.0</v>
      </c>
      <c r="G458" s="1">
        <v>2.0</v>
      </c>
      <c r="H458" s="2">
        <v>45468.0</v>
      </c>
      <c r="I458" s="3" t="str">
        <f t="shared" si="1"/>
        <v>Child (0-17)</v>
      </c>
      <c r="J458" s="3">
        <f t="shared" si="2"/>
        <v>6</v>
      </c>
      <c r="K458" s="3">
        <f t="shared" si="3"/>
        <v>2024</v>
      </c>
      <c r="L458" s="3" t="str">
        <f t="shared" si="4"/>
        <v>June</v>
      </c>
      <c r="M458" s="3" t="str">
        <f>VLOOKUP(D458,Lookup_Practice!$A$2:$B$7,2,FALSE)</f>
        <v>Standard</v>
      </c>
      <c r="N458" s="3" t="str">
        <f t="array" ref="N458">INDEX(Lookup_Practice!$B$2:$B$7,MATCH(D458,Lookup_Practice!$A$2:$A$7,0))</f>
        <v>Standard</v>
      </c>
      <c r="O458" s="3" t="str">
        <f t="array" ref="O458">XLOOKUP(D458,Lookup_Practice!$A$2:$A$7,Lookup_Practice!$B$2:$B$7)</f>
        <v>Standard</v>
      </c>
    </row>
    <row r="459">
      <c r="A459" s="1">
        <v>27.0</v>
      </c>
      <c r="B459" s="1" t="s">
        <v>18</v>
      </c>
      <c r="C459" s="1" t="s">
        <v>27</v>
      </c>
      <c r="D459" s="1" t="s">
        <v>22</v>
      </c>
      <c r="E459" s="1" t="s">
        <v>17</v>
      </c>
      <c r="F459" s="1">
        <v>808.0</v>
      </c>
      <c r="G459" s="1">
        <v>3.0</v>
      </c>
      <c r="H459" s="2">
        <v>45455.0</v>
      </c>
      <c r="I459" s="3" t="str">
        <f t="shared" si="1"/>
        <v>Young Adult (18-35)</v>
      </c>
      <c r="J459" s="3">
        <f t="shared" si="2"/>
        <v>6</v>
      </c>
      <c r="K459" s="3">
        <f t="shared" si="3"/>
        <v>2024</v>
      </c>
      <c r="L459" s="3" t="str">
        <f t="shared" si="4"/>
        <v>June</v>
      </c>
      <c r="M459" s="3" t="str">
        <f>VLOOKUP(D459,Lookup_Practice!$A$2:$B$7,2,FALSE)</f>
        <v>Basic</v>
      </c>
      <c r="N459" s="3" t="str">
        <f t="array" ref="N459">INDEX(Lookup_Practice!$B$2:$B$7,MATCH(D459,Lookup_Practice!$A$2:$A$7,0))</f>
        <v>Basic</v>
      </c>
      <c r="O459" s="3" t="str">
        <f t="array" ref="O459">XLOOKUP(D459,Lookup_Practice!$A$2:$A$7,Lookup_Practice!$B$2:$B$7)</f>
        <v>Basic</v>
      </c>
    </row>
    <row r="460">
      <c r="A460" s="1">
        <v>34.0</v>
      </c>
      <c r="B460" s="1" t="s">
        <v>18</v>
      </c>
      <c r="C460" s="1" t="s">
        <v>21</v>
      </c>
      <c r="D460" s="1" t="s">
        <v>30</v>
      </c>
      <c r="E460" s="1" t="s">
        <v>17</v>
      </c>
      <c r="F460" s="1">
        <v>1072.0</v>
      </c>
      <c r="G460" s="1">
        <v>6.0</v>
      </c>
      <c r="H460" s="2">
        <v>45149.0</v>
      </c>
      <c r="I460" s="3" t="str">
        <f t="shared" si="1"/>
        <v>Young Adult (18-35)</v>
      </c>
      <c r="J460" s="3">
        <f t="shared" si="2"/>
        <v>8</v>
      </c>
      <c r="K460" s="3">
        <f t="shared" si="3"/>
        <v>2023</v>
      </c>
      <c r="L460" s="3" t="str">
        <f t="shared" si="4"/>
        <v>August</v>
      </c>
      <c r="M460" s="3" t="str">
        <f>VLOOKUP(D460,Lookup_Practice!$A$2:$B$7,2,FALSE)</f>
        <v>Standard</v>
      </c>
      <c r="N460" s="3" t="str">
        <f t="array" ref="N460">INDEX(Lookup_Practice!$B$2:$B$7,MATCH(D460,Lookup_Practice!$A$2:$A$7,0))</f>
        <v>Standard</v>
      </c>
      <c r="O460" s="3" t="str">
        <f t="array" ref="O460">XLOOKUP(D460,Lookup_Practice!$A$2:$A$7,Lookup_Practice!$B$2:$B$7)</f>
        <v>Standard</v>
      </c>
    </row>
    <row r="461">
      <c r="A461" s="1">
        <v>21.0</v>
      </c>
      <c r="B461" s="1" t="s">
        <v>18</v>
      </c>
      <c r="C461" s="1" t="s">
        <v>15</v>
      </c>
      <c r="D461" s="1" t="s">
        <v>26</v>
      </c>
      <c r="E461" s="1" t="s">
        <v>17</v>
      </c>
      <c r="F461" s="1">
        <v>636.0</v>
      </c>
      <c r="G461" s="1">
        <v>15.0</v>
      </c>
      <c r="H461" s="2">
        <v>44972.0</v>
      </c>
      <c r="I461" s="3" t="str">
        <f t="shared" si="1"/>
        <v>Young Adult (18-35)</v>
      </c>
      <c r="J461" s="3">
        <f t="shared" si="2"/>
        <v>2</v>
      </c>
      <c r="K461" s="3">
        <f t="shared" si="3"/>
        <v>2023</v>
      </c>
      <c r="L461" s="3" t="str">
        <f t="shared" si="4"/>
        <v>February</v>
      </c>
      <c r="M461" s="3" t="str">
        <f>VLOOKUP(D461,Lookup_Practice!$A$2:$B$7,2,FALSE)</f>
        <v>Premium</v>
      </c>
      <c r="N461" s="3" t="str">
        <f t="array" ref="N461">INDEX(Lookup_Practice!$B$2:$B$7,MATCH(D461,Lookup_Practice!$A$2:$A$7,0))</f>
        <v>Premium</v>
      </c>
      <c r="O461" s="3" t="str">
        <f t="array" ref="O461">XLOOKUP(D461,Lookup_Practice!$A$2:$A$7,Lookup_Practice!$B$2:$B$7)</f>
        <v>Premium</v>
      </c>
    </row>
    <row r="462">
      <c r="A462" s="1">
        <v>66.0</v>
      </c>
      <c r="B462" s="1" t="s">
        <v>18</v>
      </c>
      <c r="C462" s="1" t="s">
        <v>21</v>
      </c>
      <c r="D462" s="1" t="s">
        <v>26</v>
      </c>
      <c r="E462" s="1" t="s">
        <v>17</v>
      </c>
      <c r="F462" s="1">
        <v>561.0</v>
      </c>
      <c r="G462" s="1">
        <v>10.0</v>
      </c>
      <c r="H462" s="2">
        <v>45306.0</v>
      </c>
      <c r="I462" s="3" t="str">
        <f t="shared" si="1"/>
        <v>Senior (56+)</v>
      </c>
      <c r="J462" s="3">
        <f t="shared" si="2"/>
        <v>1</v>
      </c>
      <c r="K462" s="3">
        <f t="shared" si="3"/>
        <v>2024</v>
      </c>
      <c r="L462" s="3" t="str">
        <f t="shared" si="4"/>
        <v>January</v>
      </c>
      <c r="M462" s="3" t="str">
        <f>VLOOKUP(D462,Lookup_Practice!$A$2:$B$7,2,FALSE)</f>
        <v>Premium</v>
      </c>
      <c r="N462" s="3" t="str">
        <f t="array" ref="N462">INDEX(Lookup_Practice!$B$2:$B$7,MATCH(D462,Lookup_Practice!$A$2:$A$7,0))</f>
        <v>Premium</v>
      </c>
      <c r="O462" s="3" t="str">
        <f t="array" ref="O462">XLOOKUP(D462,Lookup_Practice!$A$2:$A$7,Lookup_Practice!$B$2:$B$7)</f>
        <v>Premium</v>
      </c>
    </row>
    <row r="463">
      <c r="A463" s="1">
        <v>17.0</v>
      </c>
      <c r="B463" s="1" t="s">
        <v>14</v>
      </c>
      <c r="C463" s="1" t="s">
        <v>21</v>
      </c>
      <c r="D463" s="1" t="s">
        <v>23</v>
      </c>
      <c r="E463" s="1" t="s">
        <v>17</v>
      </c>
      <c r="F463" s="1">
        <v>1315.0</v>
      </c>
      <c r="G463" s="1">
        <v>9.0</v>
      </c>
      <c r="H463" s="2">
        <v>45398.0</v>
      </c>
      <c r="I463" s="3" t="str">
        <f t="shared" si="1"/>
        <v>Child (0-17)</v>
      </c>
      <c r="J463" s="3">
        <f t="shared" si="2"/>
        <v>4</v>
      </c>
      <c r="K463" s="3">
        <f t="shared" si="3"/>
        <v>2024</v>
      </c>
      <c r="L463" s="3" t="str">
        <f t="shared" si="4"/>
        <v>April</v>
      </c>
      <c r="M463" s="3" t="str">
        <f>VLOOKUP(D463,Lookup_Practice!$A$2:$B$7,2,FALSE)</f>
        <v>Standard</v>
      </c>
      <c r="N463" s="3" t="str">
        <f t="array" ref="N463">INDEX(Lookup_Practice!$B$2:$B$7,MATCH(D463,Lookup_Practice!$A$2:$A$7,0))</f>
        <v>Standard</v>
      </c>
      <c r="O463" s="3" t="str">
        <f t="array" ref="O463">XLOOKUP(D463,Lookup_Practice!$A$2:$A$7,Lookup_Practice!$B$2:$B$7)</f>
        <v>Standard</v>
      </c>
    </row>
    <row r="464">
      <c r="A464" s="1">
        <v>63.0</v>
      </c>
      <c r="B464" s="1" t="s">
        <v>18</v>
      </c>
      <c r="C464" s="1" t="s">
        <v>25</v>
      </c>
      <c r="D464" s="1" t="s">
        <v>20</v>
      </c>
      <c r="E464" s="1" t="s">
        <v>17</v>
      </c>
      <c r="F464" s="1">
        <v>1663.0</v>
      </c>
      <c r="G464" s="1">
        <v>1.0</v>
      </c>
      <c r="H464" s="2">
        <v>45483.0</v>
      </c>
      <c r="I464" s="3" t="str">
        <f t="shared" si="1"/>
        <v>Senior (56+)</v>
      </c>
      <c r="J464" s="3">
        <f t="shared" si="2"/>
        <v>7</v>
      </c>
      <c r="K464" s="3">
        <f t="shared" si="3"/>
        <v>2024</v>
      </c>
      <c r="L464" s="3" t="str">
        <f t="shared" si="4"/>
        <v>July</v>
      </c>
      <c r="M464" s="3" t="str">
        <f>VLOOKUP(D464,Lookup_Practice!$A$2:$B$7,2,FALSE)</f>
        <v>Standard</v>
      </c>
      <c r="N464" s="3" t="str">
        <f t="array" ref="N464">INDEX(Lookup_Practice!$B$2:$B$7,MATCH(D464,Lookup_Practice!$A$2:$A$7,0))</f>
        <v>Standard</v>
      </c>
      <c r="O464" s="3" t="str">
        <f t="array" ref="O464">XLOOKUP(D464,Lookup_Practice!$A$2:$A$7,Lookup_Practice!$B$2:$B$7)</f>
        <v>Standard</v>
      </c>
    </row>
    <row r="465">
      <c r="A465" s="1">
        <v>23.0</v>
      </c>
      <c r="B465" s="1" t="s">
        <v>18</v>
      </c>
      <c r="C465" s="1" t="s">
        <v>29</v>
      </c>
      <c r="D465" s="1" t="s">
        <v>23</v>
      </c>
      <c r="E465" s="1" t="s">
        <v>17</v>
      </c>
      <c r="F465" s="1">
        <v>1362.0</v>
      </c>
      <c r="G465" s="1">
        <v>16.0</v>
      </c>
      <c r="H465" s="2">
        <v>45242.0</v>
      </c>
      <c r="I465" s="3" t="str">
        <f t="shared" si="1"/>
        <v>Young Adult (18-35)</v>
      </c>
      <c r="J465" s="3">
        <f t="shared" si="2"/>
        <v>11</v>
      </c>
      <c r="K465" s="3">
        <f t="shared" si="3"/>
        <v>2023</v>
      </c>
      <c r="L465" s="3" t="str">
        <f t="shared" si="4"/>
        <v>November</v>
      </c>
      <c r="M465" s="3" t="str">
        <f>VLOOKUP(D465,Lookup_Practice!$A$2:$B$7,2,FALSE)</f>
        <v>Standard</v>
      </c>
      <c r="N465" s="3" t="str">
        <f t="array" ref="N465">INDEX(Lookup_Practice!$B$2:$B$7,MATCH(D465,Lookup_Practice!$A$2:$A$7,0))</f>
        <v>Standard</v>
      </c>
      <c r="O465" s="3" t="str">
        <f t="array" ref="O465">XLOOKUP(D465,Lookup_Practice!$A$2:$A$7,Lookup_Practice!$B$2:$B$7)</f>
        <v>Standard</v>
      </c>
    </row>
    <row r="466">
      <c r="A466" s="1">
        <v>53.0</v>
      </c>
      <c r="B466" s="1" t="s">
        <v>14</v>
      </c>
      <c r="C466" s="1" t="s">
        <v>31</v>
      </c>
      <c r="D466" s="1" t="s">
        <v>30</v>
      </c>
      <c r="E466" s="1" t="s">
        <v>17</v>
      </c>
      <c r="F466" s="1">
        <v>1191.0</v>
      </c>
      <c r="G466" s="1">
        <v>6.0</v>
      </c>
      <c r="H466" s="2">
        <v>45212.0</v>
      </c>
      <c r="I466" s="3" t="str">
        <f t="shared" si="1"/>
        <v>Middle Age (36-55)</v>
      </c>
      <c r="J466" s="3">
        <f t="shared" si="2"/>
        <v>10</v>
      </c>
      <c r="K466" s="3">
        <f t="shared" si="3"/>
        <v>2023</v>
      </c>
      <c r="L466" s="3" t="str">
        <f t="shared" si="4"/>
        <v>October</v>
      </c>
      <c r="M466" s="3" t="str">
        <f>VLOOKUP(D466,Lookup_Practice!$A$2:$B$7,2,FALSE)</f>
        <v>Standard</v>
      </c>
      <c r="N466" s="3" t="str">
        <f t="array" ref="N466">INDEX(Lookup_Practice!$B$2:$B$7,MATCH(D466,Lookup_Practice!$A$2:$A$7,0))</f>
        <v>Standard</v>
      </c>
      <c r="O466" s="3" t="str">
        <f t="array" ref="O466">XLOOKUP(D466,Lookup_Practice!$A$2:$A$7,Lookup_Practice!$B$2:$B$7)</f>
        <v>Standard</v>
      </c>
    </row>
    <row r="467">
      <c r="A467" s="1">
        <v>16.0</v>
      </c>
      <c r="B467" s="1" t="s">
        <v>14</v>
      </c>
      <c r="C467" s="1" t="s">
        <v>21</v>
      </c>
      <c r="D467" s="1" t="s">
        <v>23</v>
      </c>
      <c r="E467" s="1" t="s">
        <v>17</v>
      </c>
      <c r="F467" s="1">
        <v>1373.0</v>
      </c>
      <c r="G467" s="1">
        <v>9.0</v>
      </c>
      <c r="H467" s="2">
        <v>44989.0</v>
      </c>
      <c r="I467" s="3" t="str">
        <f t="shared" si="1"/>
        <v>Child (0-17)</v>
      </c>
      <c r="J467" s="3">
        <f t="shared" si="2"/>
        <v>3</v>
      </c>
      <c r="K467" s="3">
        <f t="shared" si="3"/>
        <v>2023</v>
      </c>
      <c r="L467" s="3" t="str">
        <f t="shared" si="4"/>
        <v>March</v>
      </c>
      <c r="M467" s="3" t="str">
        <f>VLOOKUP(D467,Lookup_Practice!$A$2:$B$7,2,FALSE)</f>
        <v>Standard</v>
      </c>
      <c r="N467" s="3" t="str">
        <f t="array" ref="N467">INDEX(Lookup_Practice!$B$2:$B$7,MATCH(D467,Lookup_Practice!$A$2:$A$7,0))</f>
        <v>Standard</v>
      </c>
      <c r="O467" s="3" t="str">
        <f t="array" ref="O467">XLOOKUP(D467,Lookup_Practice!$A$2:$A$7,Lookup_Practice!$B$2:$B$7)</f>
        <v>Standard</v>
      </c>
    </row>
    <row r="468">
      <c r="A468" s="1">
        <v>65.0</v>
      </c>
      <c r="B468" s="1" t="s">
        <v>14</v>
      </c>
      <c r="C468" s="1" t="s">
        <v>19</v>
      </c>
      <c r="D468" s="1" t="s">
        <v>16</v>
      </c>
      <c r="E468" s="1" t="s">
        <v>24</v>
      </c>
      <c r="F468" s="1">
        <v>902.0</v>
      </c>
      <c r="G468" s="1">
        <v>4.0</v>
      </c>
      <c r="H468" s="2">
        <v>44992.0</v>
      </c>
      <c r="I468" s="3" t="str">
        <f t="shared" si="1"/>
        <v>Senior (56+)</v>
      </c>
      <c r="J468" s="3">
        <f t="shared" si="2"/>
        <v>3</v>
      </c>
      <c r="K468" s="3">
        <f t="shared" si="3"/>
        <v>2023</v>
      </c>
      <c r="L468" s="3" t="str">
        <f t="shared" si="4"/>
        <v>March</v>
      </c>
      <c r="M468" s="3" t="str">
        <f>VLOOKUP(D468,Lookup_Practice!$A$2:$B$7,2,FALSE)</f>
        <v>Premium</v>
      </c>
      <c r="N468" s="3" t="str">
        <f t="array" ref="N468">INDEX(Lookup_Practice!$B$2:$B$7,MATCH(D468,Lookup_Practice!$A$2:$A$7,0))</f>
        <v>Premium</v>
      </c>
      <c r="O468" s="3" t="str">
        <f t="array" ref="O468">XLOOKUP(D468,Lookup_Practice!$A$2:$A$7,Lookup_Practice!$B$2:$B$7)</f>
        <v>Premium</v>
      </c>
    </row>
    <row r="469">
      <c r="A469" s="1">
        <v>23.0</v>
      </c>
      <c r="B469" s="1" t="s">
        <v>18</v>
      </c>
      <c r="C469" s="1" t="s">
        <v>25</v>
      </c>
      <c r="D469" s="1" t="s">
        <v>26</v>
      </c>
      <c r="E469" s="1" t="s">
        <v>17</v>
      </c>
      <c r="F469" s="1">
        <v>427.0</v>
      </c>
      <c r="G469" s="1">
        <v>2.0</v>
      </c>
      <c r="H469" s="2">
        <v>45068.0</v>
      </c>
      <c r="I469" s="3" t="str">
        <f t="shared" si="1"/>
        <v>Young Adult (18-35)</v>
      </c>
      <c r="J469" s="3">
        <f t="shared" si="2"/>
        <v>5</v>
      </c>
      <c r="K469" s="3">
        <f t="shared" si="3"/>
        <v>2023</v>
      </c>
      <c r="L469" s="3" t="str">
        <f t="shared" si="4"/>
        <v>May</v>
      </c>
      <c r="M469" s="3" t="str">
        <f>VLOOKUP(D469,Lookup_Practice!$A$2:$B$7,2,FALSE)</f>
        <v>Premium</v>
      </c>
      <c r="N469" s="3" t="str">
        <f t="array" ref="N469">INDEX(Lookup_Practice!$B$2:$B$7,MATCH(D469,Lookup_Practice!$A$2:$A$7,0))</f>
        <v>Premium</v>
      </c>
      <c r="O469" s="3" t="str">
        <f t="array" ref="O469">XLOOKUP(D469,Lookup_Practice!$A$2:$A$7,Lookup_Practice!$B$2:$B$7)</f>
        <v>Premium</v>
      </c>
    </row>
    <row r="470">
      <c r="A470" s="1">
        <v>13.0</v>
      </c>
      <c r="B470" s="1" t="s">
        <v>18</v>
      </c>
      <c r="C470" s="1" t="s">
        <v>29</v>
      </c>
      <c r="D470" s="1" t="s">
        <v>26</v>
      </c>
      <c r="E470" s="1" t="s">
        <v>17</v>
      </c>
      <c r="F470" s="1">
        <v>548.0</v>
      </c>
      <c r="G470" s="1">
        <v>4.0</v>
      </c>
      <c r="H470" s="2">
        <v>45048.0</v>
      </c>
      <c r="I470" s="3" t="str">
        <f t="shared" si="1"/>
        <v>Child (0-17)</v>
      </c>
      <c r="J470" s="3">
        <f t="shared" si="2"/>
        <v>5</v>
      </c>
      <c r="K470" s="3">
        <f t="shared" si="3"/>
        <v>2023</v>
      </c>
      <c r="L470" s="3" t="str">
        <f t="shared" si="4"/>
        <v>May</v>
      </c>
      <c r="M470" s="3" t="str">
        <f>VLOOKUP(D470,Lookup_Practice!$A$2:$B$7,2,FALSE)</f>
        <v>Premium</v>
      </c>
      <c r="N470" s="3" t="str">
        <f t="array" ref="N470">INDEX(Lookup_Practice!$B$2:$B$7,MATCH(D470,Lookup_Practice!$A$2:$A$7,0))</f>
        <v>Premium</v>
      </c>
      <c r="O470" s="3" t="str">
        <f t="array" ref="O470">XLOOKUP(D470,Lookup_Practice!$A$2:$A$7,Lookup_Practice!$B$2:$B$7)</f>
        <v>Premium</v>
      </c>
    </row>
    <row r="471">
      <c r="A471" s="1">
        <v>75.0</v>
      </c>
      <c r="B471" s="1" t="s">
        <v>18</v>
      </c>
      <c r="C471" s="1" t="s">
        <v>27</v>
      </c>
      <c r="D471" s="1" t="s">
        <v>22</v>
      </c>
      <c r="E471" s="1" t="s">
        <v>24</v>
      </c>
      <c r="F471" s="1">
        <v>727.0</v>
      </c>
      <c r="G471" s="1">
        <v>1.0</v>
      </c>
      <c r="H471" s="2">
        <v>45225.0</v>
      </c>
      <c r="I471" s="3" t="str">
        <f t="shared" si="1"/>
        <v>Senior (56+)</v>
      </c>
      <c r="J471" s="3">
        <f t="shared" si="2"/>
        <v>10</v>
      </c>
      <c r="K471" s="3">
        <f t="shared" si="3"/>
        <v>2023</v>
      </c>
      <c r="L471" s="3" t="str">
        <f t="shared" si="4"/>
        <v>October</v>
      </c>
      <c r="M471" s="3" t="str">
        <f>VLOOKUP(D471,Lookup_Practice!$A$2:$B$7,2,FALSE)</f>
        <v>Basic</v>
      </c>
      <c r="N471" s="3" t="str">
        <f t="array" ref="N471">INDEX(Lookup_Practice!$B$2:$B$7,MATCH(D471,Lookup_Practice!$A$2:$A$7,0))</f>
        <v>Basic</v>
      </c>
      <c r="O471" s="3" t="str">
        <f t="array" ref="O471">XLOOKUP(D471,Lookup_Practice!$A$2:$A$7,Lookup_Practice!$B$2:$B$7)</f>
        <v>Basic</v>
      </c>
    </row>
    <row r="472">
      <c r="A472" s="1">
        <v>32.0</v>
      </c>
      <c r="B472" s="1" t="s">
        <v>18</v>
      </c>
      <c r="C472" s="1" t="s">
        <v>25</v>
      </c>
      <c r="D472" s="1" t="s">
        <v>22</v>
      </c>
      <c r="E472" s="1" t="s">
        <v>17</v>
      </c>
      <c r="F472" s="1">
        <v>764.0</v>
      </c>
      <c r="G472" s="1">
        <v>19.0</v>
      </c>
      <c r="H472" s="2">
        <v>45378.0</v>
      </c>
      <c r="I472" s="3" t="str">
        <f t="shared" si="1"/>
        <v>Young Adult (18-35)</v>
      </c>
      <c r="J472" s="3">
        <f t="shared" si="2"/>
        <v>3</v>
      </c>
      <c r="K472" s="3">
        <f t="shared" si="3"/>
        <v>2024</v>
      </c>
      <c r="L472" s="3" t="str">
        <f t="shared" si="4"/>
        <v>March</v>
      </c>
      <c r="M472" s="3" t="str">
        <f>VLOOKUP(D472,Lookup_Practice!$A$2:$B$7,2,FALSE)</f>
        <v>Basic</v>
      </c>
      <c r="N472" s="3" t="str">
        <f t="array" ref="N472">INDEX(Lookup_Practice!$B$2:$B$7,MATCH(D472,Lookup_Practice!$A$2:$A$7,0))</f>
        <v>Basic</v>
      </c>
      <c r="O472" s="3" t="str">
        <f t="array" ref="O472">XLOOKUP(D472,Lookup_Practice!$A$2:$A$7,Lookup_Practice!$B$2:$B$7)</f>
        <v>Basic</v>
      </c>
    </row>
    <row r="473">
      <c r="A473" s="1">
        <v>56.0</v>
      </c>
      <c r="B473" s="1" t="s">
        <v>14</v>
      </c>
      <c r="C473" s="1" t="s">
        <v>21</v>
      </c>
      <c r="D473" s="1" t="s">
        <v>30</v>
      </c>
      <c r="E473" s="1" t="s">
        <v>17</v>
      </c>
      <c r="F473" s="1">
        <v>920.0</v>
      </c>
      <c r="G473" s="1">
        <v>10.0</v>
      </c>
      <c r="H473" s="2">
        <v>45562.0</v>
      </c>
      <c r="I473" s="3" t="str">
        <f t="shared" si="1"/>
        <v>Senior (56+)</v>
      </c>
      <c r="J473" s="3">
        <f t="shared" si="2"/>
        <v>9</v>
      </c>
      <c r="K473" s="3">
        <f t="shared" si="3"/>
        <v>2024</v>
      </c>
      <c r="L473" s="3" t="str">
        <f t="shared" si="4"/>
        <v>September</v>
      </c>
      <c r="M473" s="3" t="str">
        <f>VLOOKUP(D473,Lookup_Practice!$A$2:$B$7,2,FALSE)</f>
        <v>Standard</v>
      </c>
      <c r="N473" s="3" t="str">
        <f t="array" ref="N473">INDEX(Lookup_Practice!$B$2:$B$7,MATCH(D473,Lookup_Practice!$A$2:$A$7,0))</f>
        <v>Standard</v>
      </c>
      <c r="O473" s="3" t="str">
        <f t="array" ref="O473">XLOOKUP(D473,Lookup_Practice!$A$2:$A$7,Lookup_Practice!$B$2:$B$7)</f>
        <v>Standard</v>
      </c>
    </row>
    <row r="474">
      <c r="A474" s="1">
        <v>20.0</v>
      </c>
      <c r="B474" s="1" t="s">
        <v>14</v>
      </c>
      <c r="C474" s="1" t="s">
        <v>31</v>
      </c>
      <c r="D474" s="1" t="s">
        <v>16</v>
      </c>
      <c r="E474" s="1" t="s">
        <v>24</v>
      </c>
      <c r="F474" s="1">
        <v>1151.0</v>
      </c>
      <c r="G474" s="1">
        <v>15.0</v>
      </c>
      <c r="H474" s="2">
        <v>45043.0</v>
      </c>
      <c r="I474" s="3" t="str">
        <f t="shared" si="1"/>
        <v>Young Adult (18-35)</v>
      </c>
      <c r="J474" s="3">
        <f t="shared" si="2"/>
        <v>4</v>
      </c>
      <c r="K474" s="3">
        <f t="shared" si="3"/>
        <v>2023</v>
      </c>
      <c r="L474" s="3" t="str">
        <f t="shared" si="4"/>
        <v>April</v>
      </c>
      <c r="M474" s="3" t="str">
        <f>VLOOKUP(D474,Lookup_Practice!$A$2:$B$7,2,FALSE)</f>
        <v>Premium</v>
      </c>
      <c r="N474" s="3" t="str">
        <f t="array" ref="N474">INDEX(Lookup_Practice!$B$2:$B$7,MATCH(D474,Lookup_Practice!$A$2:$A$7,0))</f>
        <v>Premium</v>
      </c>
      <c r="O474" s="3" t="str">
        <f t="array" ref="O474">XLOOKUP(D474,Lookup_Practice!$A$2:$A$7,Lookup_Practice!$B$2:$B$7)</f>
        <v>Premium</v>
      </c>
    </row>
    <row r="475">
      <c r="A475" s="1">
        <v>73.0</v>
      </c>
      <c r="B475" s="1" t="s">
        <v>14</v>
      </c>
      <c r="C475" s="1" t="s">
        <v>15</v>
      </c>
      <c r="D475" s="1" t="s">
        <v>20</v>
      </c>
      <c r="E475" s="1" t="s">
        <v>24</v>
      </c>
      <c r="F475" s="1">
        <v>1634.0</v>
      </c>
      <c r="G475" s="1">
        <v>19.0</v>
      </c>
      <c r="H475" s="2">
        <v>45000.0</v>
      </c>
      <c r="I475" s="3" t="str">
        <f t="shared" si="1"/>
        <v>Senior (56+)</v>
      </c>
      <c r="J475" s="3">
        <f t="shared" si="2"/>
        <v>3</v>
      </c>
      <c r="K475" s="3">
        <f t="shared" si="3"/>
        <v>2023</v>
      </c>
      <c r="L475" s="3" t="str">
        <f t="shared" si="4"/>
        <v>March</v>
      </c>
      <c r="M475" s="3" t="str">
        <f>VLOOKUP(D475,Lookup_Practice!$A$2:$B$7,2,FALSE)</f>
        <v>Standard</v>
      </c>
      <c r="N475" s="3" t="str">
        <f t="array" ref="N475">INDEX(Lookup_Practice!$B$2:$B$7,MATCH(D475,Lookup_Practice!$A$2:$A$7,0))</f>
        <v>Standard</v>
      </c>
      <c r="O475" s="3" t="str">
        <f t="array" ref="O475">XLOOKUP(D475,Lookup_Practice!$A$2:$A$7,Lookup_Practice!$B$2:$B$7)</f>
        <v>Standard</v>
      </c>
    </row>
    <row r="476">
      <c r="A476" s="1">
        <v>16.0</v>
      </c>
      <c r="B476" s="1" t="s">
        <v>14</v>
      </c>
      <c r="C476" s="1" t="s">
        <v>21</v>
      </c>
      <c r="D476" s="1" t="s">
        <v>23</v>
      </c>
      <c r="E476" s="1" t="s">
        <v>17</v>
      </c>
      <c r="F476" s="1">
        <v>1326.0</v>
      </c>
      <c r="G476" s="1">
        <v>16.0</v>
      </c>
      <c r="H476" s="2">
        <v>45238.0</v>
      </c>
      <c r="I476" s="3" t="str">
        <f t="shared" si="1"/>
        <v>Child (0-17)</v>
      </c>
      <c r="J476" s="3">
        <f t="shared" si="2"/>
        <v>11</v>
      </c>
      <c r="K476" s="3">
        <f t="shared" si="3"/>
        <v>2023</v>
      </c>
      <c r="L476" s="3" t="str">
        <f t="shared" si="4"/>
        <v>November</v>
      </c>
      <c r="M476" s="3" t="str">
        <f>VLOOKUP(D476,Lookup_Practice!$A$2:$B$7,2,FALSE)</f>
        <v>Standard</v>
      </c>
      <c r="N476" s="3" t="str">
        <f t="array" ref="N476">INDEX(Lookup_Practice!$B$2:$B$7,MATCH(D476,Lookup_Practice!$A$2:$A$7,0))</f>
        <v>Standard</v>
      </c>
      <c r="O476" s="3" t="str">
        <f t="array" ref="O476">XLOOKUP(D476,Lookup_Practice!$A$2:$A$7,Lookup_Practice!$B$2:$B$7)</f>
        <v>Standard</v>
      </c>
    </row>
    <row r="477">
      <c r="A477" s="1">
        <v>29.0</v>
      </c>
      <c r="B477" s="1" t="s">
        <v>18</v>
      </c>
      <c r="C477" s="1" t="s">
        <v>31</v>
      </c>
      <c r="D477" s="1" t="s">
        <v>30</v>
      </c>
      <c r="E477" s="1" t="s">
        <v>17</v>
      </c>
      <c r="F477" s="1">
        <v>912.0</v>
      </c>
      <c r="G477" s="1">
        <v>4.0</v>
      </c>
      <c r="H477" s="2">
        <v>45329.0</v>
      </c>
      <c r="I477" s="3" t="str">
        <f t="shared" si="1"/>
        <v>Young Adult (18-35)</v>
      </c>
      <c r="J477" s="3">
        <f t="shared" si="2"/>
        <v>2</v>
      </c>
      <c r="K477" s="3">
        <f t="shared" si="3"/>
        <v>2024</v>
      </c>
      <c r="L477" s="3" t="str">
        <f t="shared" si="4"/>
        <v>February</v>
      </c>
      <c r="M477" s="3" t="str">
        <f>VLOOKUP(D477,Lookup_Practice!$A$2:$B$7,2,FALSE)</f>
        <v>Standard</v>
      </c>
      <c r="N477" s="3" t="str">
        <f t="array" ref="N477">INDEX(Lookup_Practice!$B$2:$B$7,MATCH(D477,Lookup_Practice!$A$2:$A$7,0))</f>
        <v>Standard</v>
      </c>
      <c r="O477" s="3" t="str">
        <f t="array" ref="O477">XLOOKUP(D477,Lookup_Practice!$A$2:$A$7,Lookup_Practice!$B$2:$B$7)</f>
        <v>Standard</v>
      </c>
    </row>
    <row r="478">
      <c r="A478" s="1">
        <v>56.0</v>
      </c>
      <c r="B478" s="1" t="s">
        <v>14</v>
      </c>
      <c r="C478" s="1" t="s">
        <v>21</v>
      </c>
      <c r="D478" s="1" t="s">
        <v>22</v>
      </c>
      <c r="E478" s="1" t="s">
        <v>28</v>
      </c>
      <c r="F478" s="1">
        <v>748.0</v>
      </c>
      <c r="G478" s="1">
        <v>2.0</v>
      </c>
      <c r="H478" s="2">
        <v>45214.0</v>
      </c>
      <c r="I478" s="3" t="str">
        <f t="shared" si="1"/>
        <v>Senior (56+)</v>
      </c>
      <c r="J478" s="3">
        <f t="shared" si="2"/>
        <v>10</v>
      </c>
      <c r="K478" s="3">
        <f t="shared" si="3"/>
        <v>2023</v>
      </c>
      <c r="L478" s="3" t="str">
        <f t="shared" si="4"/>
        <v>October</v>
      </c>
      <c r="M478" s="3" t="str">
        <f>VLOOKUP(D478,Lookup_Practice!$A$2:$B$7,2,FALSE)</f>
        <v>Basic</v>
      </c>
      <c r="N478" s="3" t="str">
        <f t="array" ref="N478">INDEX(Lookup_Practice!$B$2:$B$7,MATCH(D478,Lookup_Practice!$A$2:$A$7,0))</f>
        <v>Basic</v>
      </c>
      <c r="O478" s="3" t="str">
        <f t="array" ref="O478">XLOOKUP(D478,Lookup_Practice!$A$2:$A$7,Lookup_Practice!$B$2:$B$7)</f>
        <v>Basic</v>
      </c>
    </row>
    <row r="479">
      <c r="A479" s="1">
        <v>57.0</v>
      </c>
      <c r="B479" s="1" t="s">
        <v>18</v>
      </c>
      <c r="C479" s="1" t="s">
        <v>31</v>
      </c>
      <c r="D479" s="1" t="s">
        <v>23</v>
      </c>
      <c r="E479" s="1" t="s">
        <v>17</v>
      </c>
      <c r="F479" s="1">
        <v>1217.0</v>
      </c>
      <c r="G479" s="1">
        <v>13.0</v>
      </c>
      <c r="H479" s="2">
        <v>45619.0</v>
      </c>
      <c r="I479" s="3" t="str">
        <f t="shared" si="1"/>
        <v>Senior (56+)</v>
      </c>
      <c r="J479" s="3">
        <f t="shared" si="2"/>
        <v>11</v>
      </c>
      <c r="K479" s="3">
        <f t="shared" si="3"/>
        <v>2024</v>
      </c>
      <c r="L479" s="3" t="str">
        <f t="shared" si="4"/>
        <v>November</v>
      </c>
      <c r="M479" s="3" t="str">
        <f>VLOOKUP(D479,Lookup_Practice!$A$2:$B$7,2,FALSE)</f>
        <v>Standard</v>
      </c>
      <c r="N479" s="3" t="str">
        <f t="array" ref="N479">INDEX(Lookup_Practice!$B$2:$B$7,MATCH(D479,Lookup_Practice!$A$2:$A$7,0))</f>
        <v>Standard</v>
      </c>
      <c r="O479" s="3" t="str">
        <f t="array" ref="O479">XLOOKUP(D479,Lookup_Practice!$A$2:$A$7,Lookup_Practice!$B$2:$B$7)</f>
        <v>Standard</v>
      </c>
    </row>
    <row r="480">
      <c r="A480" s="1">
        <v>27.0</v>
      </c>
      <c r="B480" s="1" t="s">
        <v>14</v>
      </c>
      <c r="C480" s="1" t="s">
        <v>15</v>
      </c>
      <c r="D480" s="1" t="s">
        <v>22</v>
      </c>
      <c r="E480" s="1" t="s">
        <v>17</v>
      </c>
      <c r="F480" s="1">
        <v>753.0</v>
      </c>
      <c r="G480" s="1">
        <v>1.0</v>
      </c>
      <c r="H480" s="2">
        <v>45549.0</v>
      </c>
      <c r="I480" s="3" t="str">
        <f t="shared" si="1"/>
        <v>Young Adult (18-35)</v>
      </c>
      <c r="J480" s="3">
        <f t="shared" si="2"/>
        <v>9</v>
      </c>
      <c r="K480" s="3">
        <f t="shared" si="3"/>
        <v>2024</v>
      </c>
      <c r="L480" s="3" t="str">
        <f t="shared" si="4"/>
        <v>September</v>
      </c>
      <c r="M480" s="3" t="str">
        <f>VLOOKUP(D480,Lookup_Practice!$A$2:$B$7,2,FALSE)</f>
        <v>Basic</v>
      </c>
      <c r="N480" s="3" t="str">
        <f t="array" ref="N480">INDEX(Lookup_Practice!$B$2:$B$7,MATCH(D480,Lookup_Practice!$A$2:$A$7,0))</f>
        <v>Basic</v>
      </c>
      <c r="O480" s="3" t="str">
        <f t="array" ref="O480">XLOOKUP(D480,Lookup_Practice!$A$2:$A$7,Lookup_Practice!$B$2:$B$7)</f>
        <v>Basic</v>
      </c>
    </row>
    <row r="481">
      <c r="A481" s="1">
        <v>20.0</v>
      </c>
      <c r="B481" s="1" t="s">
        <v>18</v>
      </c>
      <c r="C481" s="1" t="s">
        <v>19</v>
      </c>
      <c r="D481" s="1" t="s">
        <v>23</v>
      </c>
      <c r="E481" s="1" t="s">
        <v>24</v>
      </c>
      <c r="F481" s="1">
        <v>1237.0</v>
      </c>
      <c r="G481" s="1">
        <v>17.0</v>
      </c>
      <c r="H481" s="2">
        <v>45390.0</v>
      </c>
      <c r="I481" s="3" t="str">
        <f t="shared" si="1"/>
        <v>Young Adult (18-35)</v>
      </c>
      <c r="J481" s="3">
        <f t="shared" si="2"/>
        <v>4</v>
      </c>
      <c r="K481" s="3">
        <f t="shared" si="3"/>
        <v>2024</v>
      </c>
      <c r="L481" s="3" t="str">
        <f t="shared" si="4"/>
        <v>April</v>
      </c>
      <c r="M481" s="3" t="str">
        <f>VLOOKUP(D481,Lookup_Practice!$A$2:$B$7,2,FALSE)</f>
        <v>Standard</v>
      </c>
      <c r="N481" s="3" t="str">
        <f t="array" ref="N481">INDEX(Lookup_Practice!$B$2:$B$7,MATCH(D481,Lookup_Practice!$A$2:$A$7,0))</f>
        <v>Standard</v>
      </c>
      <c r="O481" s="3" t="str">
        <f t="array" ref="O481">XLOOKUP(D481,Lookup_Practice!$A$2:$A$7,Lookup_Practice!$B$2:$B$7)</f>
        <v>Standard</v>
      </c>
    </row>
    <row r="482">
      <c r="A482" s="1">
        <v>61.0</v>
      </c>
      <c r="B482" s="1" t="s">
        <v>18</v>
      </c>
      <c r="C482" s="1" t="s">
        <v>21</v>
      </c>
      <c r="D482" s="1" t="s">
        <v>20</v>
      </c>
      <c r="E482" s="1" t="s">
        <v>17</v>
      </c>
      <c r="F482" s="1">
        <v>1452.0</v>
      </c>
      <c r="G482" s="1">
        <v>13.0</v>
      </c>
      <c r="H482" s="2">
        <v>45363.0</v>
      </c>
      <c r="I482" s="3" t="str">
        <f t="shared" si="1"/>
        <v>Senior (56+)</v>
      </c>
      <c r="J482" s="3">
        <f t="shared" si="2"/>
        <v>3</v>
      </c>
      <c r="K482" s="3">
        <f t="shared" si="3"/>
        <v>2024</v>
      </c>
      <c r="L482" s="3" t="str">
        <f t="shared" si="4"/>
        <v>March</v>
      </c>
      <c r="M482" s="3" t="str">
        <f>VLOOKUP(D482,Lookup_Practice!$A$2:$B$7,2,FALSE)</f>
        <v>Standard</v>
      </c>
      <c r="N482" s="3" t="str">
        <f t="array" ref="N482">INDEX(Lookup_Practice!$B$2:$B$7,MATCH(D482,Lookup_Practice!$A$2:$A$7,0))</f>
        <v>Standard</v>
      </c>
      <c r="O482" s="3" t="str">
        <f t="array" ref="O482">XLOOKUP(D482,Lookup_Practice!$A$2:$A$7,Lookup_Practice!$B$2:$B$7)</f>
        <v>Standard</v>
      </c>
    </row>
    <row r="483">
      <c r="A483" s="1">
        <v>43.0</v>
      </c>
      <c r="B483" s="1" t="s">
        <v>18</v>
      </c>
      <c r="C483" s="1" t="s">
        <v>32</v>
      </c>
      <c r="D483" s="1" t="s">
        <v>30</v>
      </c>
      <c r="E483" s="1" t="s">
        <v>17</v>
      </c>
      <c r="F483" s="1">
        <v>943.0</v>
      </c>
      <c r="G483" s="1">
        <v>4.0</v>
      </c>
      <c r="H483" s="2">
        <v>45486.0</v>
      </c>
      <c r="I483" s="3" t="str">
        <f t="shared" si="1"/>
        <v>Middle Age (36-55)</v>
      </c>
      <c r="J483" s="3">
        <f t="shared" si="2"/>
        <v>7</v>
      </c>
      <c r="K483" s="3">
        <f t="shared" si="3"/>
        <v>2024</v>
      </c>
      <c r="L483" s="3" t="str">
        <f t="shared" si="4"/>
        <v>July</v>
      </c>
      <c r="M483" s="3" t="str">
        <f>VLOOKUP(D483,Lookup_Practice!$A$2:$B$7,2,FALSE)</f>
        <v>Standard</v>
      </c>
      <c r="N483" s="3" t="str">
        <f t="array" ref="N483">INDEX(Lookup_Practice!$B$2:$B$7,MATCH(D483,Lookup_Practice!$A$2:$A$7,0))</f>
        <v>Standard</v>
      </c>
      <c r="O483" s="3" t="str">
        <f t="array" ref="O483">XLOOKUP(D483,Lookup_Practice!$A$2:$A$7,Lookup_Practice!$B$2:$B$7)</f>
        <v>Standard</v>
      </c>
    </row>
    <row r="484">
      <c r="A484" s="1">
        <v>57.0</v>
      </c>
      <c r="B484" s="1" t="s">
        <v>14</v>
      </c>
      <c r="C484" s="1" t="s">
        <v>31</v>
      </c>
      <c r="D484" s="1" t="s">
        <v>23</v>
      </c>
      <c r="E484" s="1" t="s">
        <v>17</v>
      </c>
      <c r="F484" s="1">
        <v>1152.0</v>
      </c>
      <c r="G484" s="1">
        <v>7.0</v>
      </c>
      <c r="H484" s="2">
        <v>45149.0</v>
      </c>
      <c r="I484" s="3" t="str">
        <f t="shared" si="1"/>
        <v>Senior (56+)</v>
      </c>
      <c r="J484" s="3">
        <f t="shared" si="2"/>
        <v>8</v>
      </c>
      <c r="K484" s="3">
        <f t="shared" si="3"/>
        <v>2023</v>
      </c>
      <c r="L484" s="3" t="str">
        <f t="shared" si="4"/>
        <v>August</v>
      </c>
      <c r="M484" s="3" t="str">
        <f>VLOOKUP(D484,Lookup_Practice!$A$2:$B$7,2,FALSE)</f>
        <v>Standard</v>
      </c>
      <c r="N484" s="3" t="str">
        <f t="array" ref="N484">INDEX(Lookup_Practice!$B$2:$B$7,MATCH(D484,Lookup_Practice!$A$2:$A$7,0))</f>
        <v>Standard</v>
      </c>
      <c r="O484" s="3" t="str">
        <f t="array" ref="O484">XLOOKUP(D484,Lookup_Practice!$A$2:$A$7,Lookup_Practice!$B$2:$B$7)</f>
        <v>Standard</v>
      </c>
    </row>
    <row r="485">
      <c r="A485" s="1">
        <v>46.0</v>
      </c>
      <c r="B485" s="1" t="s">
        <v>18</v>
      </c>
      <c r="C485" s="1" t="s">
        <v>21</v>
      </c>
      <c r="D485" s="1" t="s">
        <v>16</v>
      </c>
      <c r="E485" s="1" t="s">
        <v>24</v>
      </c>
      <c r="F485" s="1">
        <v>973.0</v>
      </c>
      <c r="G485" s="1">
        <v>17.0</v>
      </c>
      <c r="H485" s="2">
        <v>45247.0</v>
      </c>
      <c r="I485" s="3" t="str">
        <f t="shared" si="1"/>
        <v>Middle Age (36-55)</v>
      </c>
      <c r="J485" s="3">
        <f t="shared" si="2"/>
        <v>11</v>
      </c>
      <c r="K485" s="3">
        <f t="shared" si="3"/>
        <v>2023</v>
      </c>
      <c r="L485" s="3" t="str">
        <f t="shared" si="4"/>
        <v>November</v>
      </c>
      <c r="M485" s="3" t="str">
        <f>VLOOKUP(D485,Lookup_Practice!$A$2:$B$7,2,FALSE)</f>
        <v>Premium</v>
      </c>
      <c r="N485" s="3" t="str">
        <f t="array" ref="N485">INDEX(Lookup_Practice!$B$2:$B$7,MATCH(D485,Lookup_Practice!$A$2:$A$7,0))</f>
        <v>Premium</v>
      </c>
      <c r="O485" s="3" t="str">
        <f t="array" ref="O485">XLOOKUP(D485,Lookup_Practice!$A$2:$A$7,Lookup_Practice!$B$2:$B$7)</f>
        <v>Premium</v>
      </c>
    </row>
    <row r="486">
      <c r="A486" s="1">
        <v>62.0</v>
      </c>
      <c r="B486" s="1" t="s">
        <v>18</v>
      </c>
      <c r="C486" s="1" t="s">
        <v>25</v>
      </c>
      <c r="D486" s="1" t="s">
        <v>26</v>
      </c>
      <c r="E486" s="1" t="s">
        <v>17</v>
      </c>
      <c r="F486" s="1">
        <v>445.0</v>
      </c>
      <c r="G486" s="1">
        <v>9.0</v>
      </c>
      <c r="H486" s="2">
        <v>45339.0</v>
      </c>
      <c r="I486" s="3" t="str">
        <f t="shared" si="1"/>
        <v>Senior (56+)</v>
      </c>
      <c r="J486" s="3">
        <f t="shared" si="2"/>
        <v>2</v>
      </c>
      <c r="K486" s="3">
        <f t="shared" si="3"/>
        <v>2024</v>
      </c>
      <c r="L486" s="3" t="str">
        <f t="shared" si="4"/>
        <v>February</v>
      </c>
      <c r="M486" s="3" t="str">
        <f>VLOOKUP(D486,Lookup_Practice!$A$2:$B$7,2,FALSE)</f>
        <v>Premium</v>
      </c>
      <c r="N486" s="3" t="str">
        <f t="array" ref="N486">INDEX(Lookup_Practice!$B$2:$B$7,MATCH(D486,Lookup_Practice!$A$2:$A$7,0))</f>
        <v>Premium</v>
      </c>
      <c r="O486" s="3" t="str">
        <f t="array" ref="O486">XLOOKUP(D486,Lookup_Practice!$A$2:$A$7,Lookup_Practice!$B$2:$B$7)</f>
        <v>Premium</v>
      </c>
    </row>
    <row r="487">
      <c r="A487" s="1">
        <v>43.0</v>
      </c>
      <c r="B487" s="1" t="s">
        <v>18</v>
      </c>
      <c r="C487" s="1" t="s">
        <v>32</v>
      </c>
      <c r="D487" s="1" t="s">
        <v>16</v>
      </c>
      <c r="E487" s="1" t="s">
        <v>17</v>
      </c>
      <c r="F487" s="1">
        <v>912.0</v>
      </c>
      <c r="G487" s="1">
        <v>4.0</v>
      </c>
      <c r="H487" s="2">
        <v>45131.0</v>
      </c>
      <c r="I487" s="3" t="str">
        <f t="shared" si="1"/>
        <v>Middle Age (36-55)</v>
      </c>
      <c r="J487" s="3">
        <f t="shared" si="2"/>
        <v>7</v>
      </c>
      <c r="K487" s="3">
        <f t="shared" si="3"/>
        <v>2023</v>
      </c>
      <c r="L487" s="3" t="str">
        <f t="shared" si="4"/>
        <v>July</v>
      </c>
      <c r="M487" s="3" t="str">
        <f>VLOOKUP(D487,Lookup_Practice!$A$2:$B$7,2,FALSE)</f>
        <v>Premium</v>
      </c>
      <c r="N487" s="3" t="str">
        <f t="array" ref="N487">INDEX(Lookup_Practice!$B$2:$B$7,MATCH(D487,Lookup_Practice!$A$2:$A$7,0))</f>
        <v>Premium</v>
      </c>
      <c r="O487" s="3" t="str">
        <f t="array" ref="O487">XLOOKUP(D487,Lookup_Practice!$A$2:$A$7,Lookup_Practice!$B$2:$B$7)</f>
        <v>Premium</v>
      </c>
    </row>
    <row r="488">
      <c r="A488" s="1">
        <v>18.0</v>
      </c>
      <c r="B488" s="1" t="s">
        <v>14</v>
      </c>
      <c r="C488" s="1" t="s">
        <v>15</v>
      </c>
      <c r="D488" s="1" t="s">
        <v>16</v>
      </c>
      <c r="E488" s="1" t="s">
        <v>17</v>
      </c>
      <c r="F488" s="1">
        <v>1064.0</v>
      </c>
      <c r="G488" s="1">
        <v>19.0</v>
      </c>
      <c r="H488" s="2">
        <v>45630.0</v>
      </c>
      <c r="I488" s="3" t="str">
        <f t="shared" si="1"/>
        <v>Young Adult (18-35)</v>
      </c>
      <c r="J488" s="3">
        <f t="shared" si="2"/>
        <v>12</v>
      </c>
      <c r="K488" s="3">
        <f t="shared" si="3"/>
        <v>2024</v>
      </c>
      <c r="L488" s="3" t="str">
        <f t="shared" si="4"/>
        <v>December</v>
      </c>
      <c r="M488" s="3" t="str">
        <f>VLOOKUP(D488,Lookup_Practice!$A$2:$B$7,2,FALSE)</f>
        <v>Premium</v>
      </c>
      <c r="N488" s="3" t="str">
        <f t="array" ref="N488">INDEX(Lookup_Practice!$B$2:$B$7,MATCH(D488,Lookup_Practice!$A$2:$A$7,0))</f>
        <v>Premium</v>
      </c>
      <c r="O488" s="3" t="str">
        <f t="array" ref="O488">XLOOKUP(D488,Lookup_Practice!$A$2:$A$7,Lookup_Practice!$B$2:$B$7)</f>
        <v>Premium</v>
      </c>
    </row>
    <row r="489">
      <c r="A489" s="1">
        <v>9.0</v>
      </c>
      <c r="B489" s="1" t="s">
        <v>14</v>
      </c>
      <c r="C489" s="1" t="s">
        <v>21</v>
      </c>
      <c r="D489" s="1" t="s">
        <v>26</v>
      </c>
      <c r="E489" s="1" t="s">
        <v>17</v>
      </c>
      <c r="F489" s="1">
        <v>501.0</v>
      </c>
      <c r="G489" s="1">
        <v>1.0</v>
      </c>
      <c r="H489" s="2">
        <v>45433.0</v>
      </c>
      <c r="I489" s="3" t="str">
        <f t="shared" si="1"/>
        <v>Child (0-17)</v>
      </c>
      <c r="J489" s="3">
        <f t="shared" si="2"/>
        <v>5</v>
      </c>
      <c r="K489" s="3">
        <f t="shared" si="3"/>
        <v>2024</v>
      </c>
      <c r="L489" s="3" t="str">
        <f t="shared" si="4"/>
        <v>May</v>
      </c>
      <c r="M489" s="3" t="str">
        <f>VLOOKUP(D489,Lookup_Practice!$A$2:$B$7,2,FALSE)</f>
        <v>Premium</v>
      </c>
      <c r="N489" s="3" t="str">
        <f t="array" ref="N489">INDEX(Lookup_Practice!$B$2:$B$7,MATCH(D489,Lookup_Practice!$A$2:$A$7,0))</f>
        <v>Premium</v>
      </c>
      <c r="O489" s="3" t="str">
        <f t="array" ref="O489">XLOOKUP(D489,Lookup_Practice!$A$2:$A$7,Lookup_Practice!$B$2:$B$7)</f>
        <v>Premium</v>
      </c>
    </row>
    <row r="490">
      <c r="A490" s="1">
        <v>39.0</v>
      </c>
      <c r="B490" s="1" t="s">
        <v>14</v>
      </c>
      <c r="C490" s="1" t="s">
        <v>15</v>
      </c>
      <c r="D490" s="1" t="s">
        <v>16</v>
      </c>
      <c r="E490" s="1" t="s">
        <v>17</v>
      </c>
      <c r="F490" s="1">
        <v>1179.0</v>
      </c>
      <c r="G490" s="1">
        <v>10.0</v>
      </c>
      <c r="H490" s="2">
        <v>45238.0</v>
      </c>
      <c r="I490" s="3" t="str">
        <f t="shared" si="1"/>
        <v>Middle Age (36-55)</v>
      </c>
      <c r="J490" s="3">
        <f t="shared" si="2"/>
        <v>11</v>
      </c>
      <c r="K490" s="3">
        <f t="shared" si="3"/>
        <v>2023</v>
      </c>
      <c r="L490" s="3" t="str">
        <f t="shared" si="4"/>
        <v>November</v>
      </c>
      <c r="M490" s="3" t="str">
        <f>VLOOKUP(D490,Lookup_Practice!$A$2:$B$7,2,FALSE)</f>
        <v>Premium</v>
      </c>
      <c r="N490" s="3" t="str">
        <f t="array" ref="N490">INDEX(Lookup_Practice!$B$2:$B$7,MATCH(D490,Lookup_Practice!$A$2:$A$7,0))</f>
        <v>Premium</v>
      </c>
      <c r="O490" s="3" t="str">
        <f t="array" ref="O490">XLOOKUP(D490,Lookup_Practice!$A$2:$A$7,Lookup_Practice!$B$2:$B$7)</f>
        <v>Premium</v>
      </c>
    </row>
    <row r="491">
      <c r="A491" s="1">
        <v>79.0</v>
      </c>
      <c r="B491" s="1" t="s">
        <v>18</v>
      </c>
      <c r="C491" s="1" t="s">
        <v>15</v>
      </c>
      <c r="D491" s="1" t="s">
        <v>23</v>
      </c>
      <c r="E491" s="1" t="s">
        <v>24</v>
      </c>
      <c r="F491" s="1">
        <v>1357.0</v>
      </c>
      <c r="G491" s="1">
        <v>4.0</v>
      </c>
      <c r="H491" s="2">
        <v>45051.0</v>
      </c>
      <c r="I491" s="3" t="str">
        <f t="shared" si="1"/>
        <v>Senior (56+)</v>
      </c>
      <c r="J491" s="3">
        <f t="shared" si="2"/>
        <v>5</v>
      </c>
      <c r="K491" s="3">
        <f t="shared" si="3"/>
        <v>2023</v>
      </c>
      <c r="L491" s="3" t="str">
        <f t="shared" si="4"/>
        <v>May</v>
      </c>
      <c r="M491" s="3" t="str">
        <f>VLOOKUP(D491,Lookup_Practice!$A$2:$B$7,2,FALSE)</f>
        <v>Standard</v>
      </c>
      <c r="N491" s="3" t="str">
        <f t="array" ref="N491">INDEX(Lookup_Practice!$B$2:$B$7,MATCH(D491,Lookup_Practice!$A$2:$A$7,0))</f>
        <v>Standard</v>
      </c>
      <c r="O491" s="3" t="str">
        <f t="array" ref="O491">XLOOKUP(D491,Lookup_Practice!$A$2:$A$7,Lookup_Practice!$B$2:$B$7)</f>
        <v>Standard</v>
      </c>
    </row>
    <row r="492">
      <c r="A492" s="1">
        <v>22.0</v>
      </c>
      <c r="B492" s="1" t="s">
        <v>14</v>
      </c>
      <c r="C492" s="1" t="s">
        <v>29</v>
      </c>
      <c r="D492" s="1" t="s">
        <v>23</v>
      </c>
      <c r="E492" s="1" t="s">
        <v>17</v>
      </c>
      <c r="F492" s="1">
        <v>1237.0</v>
      </c>
      <c r="G492" s="1">
        <v>9.0</v>
      </c>
      <c r="H492" s="2">
        <v>45011.0</v>
      </c>
      <c r="I492" s="3" t="str">
        <f t="shared" si="1"/>
        <v>Young Adult (18-35)</v>
      </c>
      <c r="J492" s="3">
        <f t="shared" si="2"/>
        <v>3</v>
      </c>
      <c r="K492" s="3">
        <f t="shared" si="3"/>
        <v>2023</v>
      </c>
      <c r="L492" s="3" t="str">
        <f t="shared" si="4"/>
        <v>March</v>
      </c>
      <c r="M492" s="3" t="str">
        <f>VLOOKUP(D492,Lookup_Practice!$A$2:$B$7,2,FALSE)</f>
        <v>Standard</v>
      </c>
      <c r="N492" s="3" t="str">
        <f t="array" ref="N492">INDEX(Lookup_Practice!$B$2:$B$7,MATCH(D492,Lookup_Practice!$A$2:$A$7,0))</f>
        <v>Standard</v>
      </c>
      <c r="O492" s="3" t="str">
        <f t="array" ref="O492">XLOOKUP(D492,Lookup_Practice!$A$2:$A$7,Lookup_Practice!$B$2:$B$7)</f>
        <v>Standard</v>
      </c>
    </row>
    <row r="493">
      <c r="A493" s="1">
        <v>13.0</v>
      </c>
      <c r="B493" s="1" t="s">
        <v>18</v>
      </c>
      <c r="C493" s="1" t="s">
        <v>29</v>
      </c>
      <c r="D493" s="1" t="s">
        <v>23</v>
      </c>
      <c r="E493" s="1" t="s">
        <v>17</v>
      </c>
      <c r="F493" s="1">
        <v>1262.0</v>
      </c>
      <c r="G493" s="1">
        <v>13.0</v>
      </c>
      <c r="H493" s="2">
        <v>45062.0</v>
      </c>
      <c r="I493" s="3" t="str">
        <f t="shared" si="1"/>
        <v>Child (0-17)</v>
      </c>
      <c r="J493" s="3">
        <f t="shared" si="2"/>
        <v>5</v>
      </c>
      <c r="K493" s="3">
        <f t="shared" si="3"/>
        <v>2023</v>
      </c>
      <c r="L493" s="3" t="str">
        <f t="shared" si="4"/>
        <v>May</v>
      </c>
      <c r="M493" s="3" t="str">
        <f>VLOOKUP(D493,Lookup_Practice!$A$2:$B$7,2,FALSE)</f>
        <v>Standard</v>
      </c>
      <c r="N493" s="3" t="str">
        <f t="array" ref="N493">INDEX(Lookup_Practice!$B$2:$B$7,MATCH(D493,Lookup_Practice!$A$2:$A$7,0))</f>
        <v>Standard</v>
      </c>
      <c r="O493" s="3" t="str">
        <f t="array" ref="O493">XLOOKUP(D493,Lookup_Practice!$A$2:$A$7,Lookup_Practice!$B$2:$B$7)</f>
        <v>Standard</v>
      </c>
    </row>
    <row r="494">
      <c r="A494" s="1">
        <v>78.0</v>
      </c>
      <c r="B494" s="1" t="s">
        <v>14</v>
      </c>
      <c r="C494" s="1" t="s">
        <v>15</v>
      </c>
      <c r="D494" s="1" t="s">
        <v>26</v>
      </c>
      <c r="E494" s="1" t="s">
        <v>24</v>
      </c>
      <c r="F494" s="1">
        <v>510.0</v>
      </c>
      <c r="G494" s="1">
        <v>14.0</v>
      </c>
      <c r="H494" s="2">
        <v>45264.0</v>
      </c>
      <c r="I494" s="3" t="str">
        <f t="shared" si="1"/>
        <v>Senior (56+)</v>
      </c>
      <c r="J494" s="3">
        <f t="shared" si="2"/>
        <v>12</v>
      </c>
      <c r="K494" s="3">
        <f t="shared" si="3"/>
        <v>2023</v>
      </c>
      <c r="L494" s="3" t="str">
        <f t="shared" si="4"/>
        <v>December</v>
      </c>
      <c r="M494" s="3" t="str">
        <f>VLOOKUP(D494,Lookup_Practice!$A$2:$B$7,2,FALSE)</f>
        <v>Premium</v>
      </c>
      <c r="N494" s="3" t="str">
        <f t="array" ref="N494">INDEX(Lookup_Practice!$B$2:$B$7,MATCH(D494,Lookup_Practice!$A$2:$A$7,0))</f>
        <v>Premium</v>
      </c>
      <c r="O494" s="3" t="str">
        <f t="array" ref="O494">XLOOKUP(D494,Lookup_Practice!$A$2:$A$7,Lookup_Practice!$B$2:$B$7)</f>
        <v>Premium</v>
      </c>
    </row>
    <row r="495">
      <c r="A495" s="1">
        <v>62.0</v>
      </c>
      <c r="B495" s="1" t="s">
        <v>14</v>
      </c>
      <c r="C495" s="1" t="s">
        <v>21</v>
      </c>
      <c r="D495" s="1" t="s">
        <v>16</v>
      </c>
      <c r="E495" s="1" t="s">
        <v>17</v>
      </c>
      <c r="F495" s="1">
        <v>1001.0</v>
      </c>
      <c r="G495" s="1">
        <v>10.0</v>
      </c>
      <c r="H495" s="2">
        <v>45344.0</v>
      </c>
      <c r="I495" s="3" t="str">
        <f t="shared" si="1"/>
        <v>Senior (56+)</v>
      </c>
      <c r="J495" s="3">
        <f t="shared" si="2"/>
        <v>2</v>
      </c>
      <c r="K495" s="3">
        <f t="shared" si="3"/>
        <v>2024</v>
      </c>
      <c r="L495" s="3" t="str">
        <f t="shared" si="4"/>
        <v>February</v>
      </c>
      <c r="M495" s="3" t="str">
        <f>VLOOKUP(D495,Lookup_Practice!$A$2:$B$7,2,FALSE)</f>
        <v>Premium</v>
      </c>
      <c r="N495" s="3" t="str">
        <f t="array" ref="N495">INDEX(Lookup_Practice!$B$2:$B$7,MATCH(D495,Lookup_Practice!$A$2:$A$7,0))</f>
        <v>Premium</v>
      </c>
      <c r="O495" s="3" t="str">
        <f t="array" ref="O495">XLOOKUP(D495,Lookup_Practice!$A$2:$A$7,Lookup_Practice!$B$2:$B$7)</f>
        <v>Premium</v>
      </c>
    </row>
    <row r="496">
      <c r="A496" s="1">
        <v>21.0</v>
      </c>
      <c r="B496" s="1" t="s">
        <v>18</v>
      </c>
      <c r="C496" s="1" t="s">
        <v>25</v>
      </c>
      <c r="D496" s="1" t="s">
        <v>26</v>
      </c>
      <c r="E496" s="1" t="s">
        <v>28</v>
      </c>
      <c r="F496" s="1">
        <v>416.0</v>
      </c>
      <c r="G496" s="1">
        <v>6.0</v>
      </c>
      <c r="H496" s="2">
        <v>45031.0</v>
      </c>
      <c r="I496" s="3" t="str">
        <f t="shared" si="1"/>
        <v>Young Adult (18-35)</v>
      </c>
      <c r="J496" s="3">
        <f t="shared" si="2"/>
        <v>4</v>
      </c>
      <c r="K496" s="3">
        <f t="shared" si="3"/>
        <v>2023</v>
      </c>
      <c r="L496" s="3" t="str">
        <f t="shared" si="4"/>
        <v>April</v>
      </c>
      <c r="M496" s="3" t="str">
        <f>VLOOKUP(D496,Lookup_Practice!$A$2:$B$7,2,FALSE)</f>
        <v>Premium</v>
      </c>
      <c r="N496" s="3" t="str">
        <f t="array" ref="N496">INDEX(Lookup_Practice!$B$2:$B$7,MATCH(D496,Lookup_Practice!$A$2:$A$7,0))</f>
        <v>Premium</v>
      </c>
      <c r="O496" s="3" t="str">
        <f t="array" ref="O496">XLOOKUP(D496,Lookup_Practice!$A$2:$A$7,Lookup_Practice!$B$2:$B$7)</f>
        <v>Premium</v>
      </c>
    </row>
    <row r="497">
      <c r="A497" s="1">
        <v>11.0</v>
      </c>
      <c r="B497" s="1" t="s">
        <v>18</v>
      </c>
      <c r="C497" s="1" t="s">
        <v>15</v>
      </c>
      <c r="D497" s="1" t="s">
        <v>23</v>
      </c>
      <c r="E497" s="1" t="s">
        <v>17</v>
      </c>
      <c r="F497" s="1">
        <v>1367.0</v>
      </c>
      <c r="G497" s="1">
        <v>16.0</v>
      </c>
      <c r="H497" s="2">
        <v>45089.0</v>
      </c>
      <c r="I497" s="3" t="str">
        <f t="shared" si="1"/>
        <v>Child (0-17)</v>
      </c>
      <c r="J497" s="3">
        <f t="shared" si="2"/>
        <v>6</v>
      </c>
      <c r="K497" s="3">
        <f t="shared" si="3"/>
        <v>2023</v>
      </c>
      <c r="L497" s="3" t="str">
        <f t="shared" si="4"/>
        <v>June</v>
      </c>
      <c r="M497" s="3" t="str">
        <f>VLOOKUP(D497,Lookup_Practice!$A$2:$B$7,2,FALSE)</f>
        <v>Standard</v>
      </c>
      <c r="N497" s="3" t="str">
        <f t="array" ref="N497">INDEX(Lookup_Practice!$B$2:$B$7,MATCH(D497,Lookup_Practice!$A$2:$A$7,0))</f>
        <v>Standard</v>
      </c>
      <c r="O497" s="3" t="str">
        <f t="array" ref="O497">XLOOKUP(D497,Lookup_Practice!$A$2:$A$7,Lookup_Practice!$B$2:$B$7)</f>
        <v>Standard</v>
      </c>
    </row>
    <row r="498">
      <c r="A498" s="1">
        <v>50.0</v>
      </c>
      <c r="B498" s="1" t="s">
        <v>18</v>
      </c>
      <c r="C498" s="1" t="s">
        <v>21</v>
      </c>
      <c r="D498" s="1" t="s">
        <v>16</v>
      </c>
      <c r="E498" s="1" t="s">
        <v>17</v>
      </c>
      <c r="F498" s="1">
        <v>1081.0</v>
      </c>
      <c r="G498" s="1">
        <v>6.0</v>
      </c>
      <c r="H498" s="2">
        <v>44931.0</v>
      </c>
      <c r="I498" s="3" t="str">
        <f t="shared" si="1"/>
        <v>Middle Age (36-55)</v>
      </c>
      <c r="J498" s="3">
        <f t="shared" si="2"/>
        <v>1</v>
      </c>
      <c r="K498" s="3">
        <f t="shared" si="3"/>
        <v>2023</v>
      </c>
      <c r="L498" s="3" t="str">
        <f t="shared" si="4"/>
        <v>January</v>
      </c>
      <c r="M498" s="3" t="str">
        <f>VLOOKUP(D498,Lookup_Practice!$A$2:$B$7,2,FALSE)</f>
        <v>Premium</v>
      </c>
      <c r="N498" s="3" t="str">
        <f t="array" ref="N498">INDEX(Lookup_Practice!$B$2:$B$7,MATCH(D498,Lookup_Practice!$A$2:$A$7,0))</f>
        <v>Premium</v>
      </c>
      <c r="O498" s="3" t="str">
        <f t="array" ref="O498">XLOOKUP(D498,Lookup_Practice!$A$2:$A$7,Lookup_Practice!$B$2:$B$7)</f>
        <v>Premium</v>
      </c>
    </row>
    <row r="499">
      <c r="A499" s="1">
        <v>17.0</v>
      </c>
      <c r="B499" s="1" t="s">
        <v>18</v>
      </c>
      <c r="C499" s="1" t="s">
        <v>27</v>
      </c>
      <c r="D499" s="1" t="s">
        <v>16</v>
      </c>
      <c r="E499" s="1" t="s">
        <v>17</v>
      </c>
      <c r="F499" s="1">
        <v>923.0</v>
      </c>
      <c r="G499" s="1">
        <v>17.0</v>
      </c>
      <c r="H499" s="2">
        <v>45588.0</v>
      </c>
      <c r="I499" s="3" t="str">
        <f t="shared" si="1"/>
        <v>Child (0-17)</v>
      </c>
      <c r="J499" s="3">
        <f t="shared" si="2"/>
        <v>10</v>
      </c>
      <c r="K499" s="3">
        <f t="shared" si="3"/>
        <v>2024</v>
      </c>
      <c r="L499" s="3" t="str">
        <f t="shared" si="4"/>
        <v>October</v>
      </c>
      <c r="M499" s="3" t="str">
        <f>VLOOKUP(D499,Lookup_Practice!$A$2:$B$7,2,FALSE)</f>
        <v>Premium</v>
      </c>
      <c r="N499" s="3" t="str">
        <f t="array" ref="N499">INDEX(Lookup_Practice!$B$2:$B$7,MATCH(D499,Lookup_Practice!$A$2:$A$7,0))</f>
        <v>Premium</v>
      </c>
      <c r="O499" s="3" t="str">
        <f t="array" ref="O499">XLOOKUP(D499,Lookup_Practice!$A$2:$A$7,Lookup_Practice!$B$2:$B$7)</f>
        <v>Premium</v>
      </c>
    </row>
    <row r="500">
      <c r="A500" s="1">
        <v>44.0</v>
      </c>
      <c r="B500" s="1" t="s">
        <v>18</v>
      </c>
      <c r="C500" s="1" t="s">
        <v>29</v>
      </c>
      <c r="D500" s="1" t="s">
        <v>22</v>
      </c>
      <c r="E500" s="1" t="s">
        <v>28</v>
      </c>
      <c r="F500" s="1">
        <v>728.0</v>
      </c>
      <c r="G500" s="1">
        <v>10.0</v>
      </c>
      <c r="H500" s="2">
        <v>45032.0</v>
      </c>
      <c r="I500" s="3" t="str">
        <f t="shared" si="1"/>
        <v>Middle Age (36-55)</v>
      </c>
      <c r="J500" s="3">
        <f t="shared" si="2"/>
        <v>4</v>
      </c>
      <c r="K500" s="3">
        <f t="shared" si="3"/>
        <v>2023</v>
      </c>
      <c r="L500" s="3" t="str">
        <f t="shared" si="4"/>
        <v>April</v>
      </c>
      <c r="M500" s="3" t="str">
        <f>VLOOKUP(D500,Lookup_Practice!$A$2:$B$7,2,FALSE)</f>
        <v>Basic</v>
      </c>
      <c r="N500" s="3" t="str">
        <f t="array" ref="N500">INDEX(Lookup_Practice!$B$2:$B$7,MATCH(D500,Lookup_Practice!$A$2:$A$7,0))</f>
        <v>Basic</v>
      </c>
      <c r="O500" s="3" t="str">
        <f t="array" ref="O500">XLOOKUP(D500,Lookup_Practice!$A$2:$A$7,Lookup_Practice!$B$2:$B$7)</f>
        <v>Basic</v>
      </c>
    </row>
    <row r="501">
      <c r="A501" s="1">
        <v>46.0</v>
      </c>
      <c r="B501" s="1" t="s">
        <v>14</v>
      </c>
      <c r="C501" s="1" t="s">
        <v>29</v>
      </c>
      <c r="D501" s="1" t="s">
        <v>22</v>
      </c>
      <c r="E501" s="1" t="s">
        <v>17</v>
      </c>
      <c r="F501" s="1">
        <v>870.0</v>
      </c>
      <c r="G501" s="1">
        <v>18.0</v>
      </c>
      <c r="H501" s="2">
        <v>45457.0</v>
      </c>
      <c r="I501" s="3" t="str">
        <f t="shared" si="1"/>
        <v>Middle Age (36-55)</v>
      </c>
      <c r="J501" s="3">
        <f t="shared" si="2"/>
        <v>6</v>
      </c>
      <c r="K501" s="3">
        <f t="shared" si="3"/>
        <v>2024</v>
      </c>
      <c r="L501" s="3" t="str">
        <f t="shared" si="4"/>
        <v>June</v>
      </c>
      <c r="M501" s="3" t="str">
        <f>VLOOKUP(D501,Lookup_Practice!$A$2:$B$7,2,FALSE)</f>
        <v>Basic</v>
      </c>
      <c r="N501" s="3" t="str">
        <f t="array" ref="N501">INDEX(Lookup_Practice!$B$2:$B$7,MATCH(D501,Lookup_Practice!$A$2:$A$7,0))</f>
        <v>Basic</v>
      </c>
      <c r="O501" s="3" t="str">
        <f t="array" ref="O501">XLOOKUP(D501,Lookup_Practice!$A$2:$A$7,Lookup_Practice!$B$2:$B$7)</f>
        <v>Basic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>
      <c r="F2" s="1" t="s">
        <v>36</v>
      </c>
    </row>
    <row r="3">
      <c r="F3" s="3">
        <f t="shared" ref="F3:F11" si="1">ROUND(D3/E3*100,1)</f>
        <v>9.3</v>
      </c>
    </row>
    <row r="4">
      <c r="F4" s="3">
        <f t="shared" si="1"/>
        <v>0</v>
      </c>
    </row>
    <row r="5">
      <c r="F5" s="3">
        <f t="shared" si="1"/>
        <v>11.7</v>
      </c>
    </row>
    <row r="6">
      <c r="F6" s="3">
        <f t="shared" si="1"/>
        <v>8</v>
      </c>
    </row>
    <row r="7">
      <c r="F7" s="3">
        <f t="shared" si="1"/>
        <v>6.7</v>
      </c>
    </row>
    <row r="8">
      <c r="F8" s="3">
        <f t="shared" si="1"/>
        <v>14.6</v>
      </c>
    </row>
    <row r="9">
      <c r="F9" s="3">
        <f t="shared" si="1"/>
        <v>13.4</v>
      </c>
    </row>
    <row r="10">
      <c r="F10" s="3">
        <f t="shared" si="1"/>
        <v>4.5</v>
      </c>
    </row>
    <row r="11">
      <c r="F11" s="3">
        <f t="shared" si="1"/>
        <v>11.2</v>
      </c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37</v>
      </c>
      <c r="B1" s="1" t="s">
        <v>38</v>
      </c>
    </row>
    <row r="2">
      <c r="A2" s="3" t="str">
        <f t="array" ref="A2:A7">UNIQUE(appointments.csv!D2:D501)</f>
        <v>Gynecologist</v>
      </c>
      <c r="B2" s="1" t="s">
        <v>39</v>
      </c>
    </row>
    <row r="3">
      <c r="A3" s="3" t="s">
        <v>20</v>
      </c>
      <c r="B3" s="1" t="s">
        <v>40</v>
      </c>
    </row>
    <row r="4">
      <c r="A4" s="3" t="s">
        <v>22</v>
      </c>
      <c r="B4" s="1" t="s">
        <v>41</v>
      </c>
    </row>
    <row r="5">
      <c r="A5" s="3" t="s">
        <v>23</v>
      </c>
      <c r="B5" s="1" t="s">
        <v>40</v>
      </c>
    </row>
    <row r="6">
      <c r="A6" s="3" t="s">
        <v>26</v>
      </c>
      <c r="B6" s="1" t="s">
        <v>39</v>
      </c>
    </row>
    <row r="7">
      <c r="A7" s="3" t="s">
        <v>30</v>
      </c>
      <c r="B7" s="1" t="s">
        <v>40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42</v>
      </c>
      <c r="B1" s="1" t="s">
        <v>43</v>
      </c>
    </row>
    <row r="2">
      <c r="A2" s="1" t="s">
        <v>17</v>
      </c>
      <c r="B2" s="3">
        <f>COUNTIF(appointments.csv!E:E,"Completed")</f>
        <v>343</v>
      </c>
    </row>
    <row r="3">
      <c r="A3" s="1" t="s">
        <v>24</v>
      </c>
      <c r="B3" s="3">
        <f>COUNTIF(appointments.csv!E:E,"Cancelled")</f>
        <v>101</v>
      </c>
    </row>
    <row r="4">
      <c r="A4" s="1" t="s">
        <v>28</v>
      </c>
      <c r="B4" s="3">
        <f>COUNTIF(appointments.csv!E:E,"No-show")</f>
        <v>56</v>
      </c>
    </row>
    <row r="5">
      <c r="A5" s="1" t="s">
        <v>44</v>
      </c>
      <c r="B5" s="1">
        <f>Sum(B2:B4)</f>
        <v>500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45</v>
      </c>
      <c r="B1" s="1" t="s">
        <v>46</v>
      </c>
      <c r="C1" s="1" t="s">
        <v>47</v>
      </c>
      <c r="D1" s="1" t="s">
        <v>48</v>
      </c>
    </row>
    <row r="2">
      <c r="A2" s="1" t="s">
        <v>21</v>
      </c>
      <c r="B2" s="3">
        <f>COUNTIF(appointments.csv!C:C,"Dhaka")</f>
        <v>158</v>
      </c>
      <c r="C2" s="3">
        <f>COUNTIFS(appointments.csv!C:C,"Dhaka",appointments.csv!E:E,"no-show")</f>
        <v>23</v>
      </c>
      <c r="D2" s="3">
        <f t="shared" ref="D2:D10" si="1">ROUND(C2/B2*100,1)</f>
        <v>14.6</v>
      </c>
    </row>
    <row r="3">
      <c r="A3" s="1" t="s">
        <v>15</v>
      </c>
      <c r="B3" s="3">
        <f>COUNTIF(appointments.csv!C:C,"Chattogram")</f>
        <v>112</v>
      </c>
      <c r="C3" s="3">
        <f>COUNTIFS(appointments.csv!C:C,"Chattogram",appointments.csv!E:E,"no-show")</f>
        <v>15</v>
      </c>
      <c r="D3" s="3">
        <f t="shared" si="1"/>
        <v>13.4</v>
      </c>
    </row>
    <row r="4">
      <c r="A4" s="1" t="s">
        <v>25</v>
      </c>
      <c r="B4" s="3">
        <f>COUNTIF(appointments.csv!C:C,"Rajshahi")</f>
        <v>60</v>
      </c>
      <c r="C4" s="3">
        <f>COUNTIFS(appointments.csv!C:C,"Rajshahi",appointments.csv!E:E,"no-show")</f>
        <v>7</v>
      </c>
      <c r="D4" s="3">
        <f t="shared" si="1"/>
        <v>11.7</v>
      </c>
    </row>
    <row r="5">
      <c r="A5" s="1" t="s">
        <v>31</v>
      </c>
      <c r="B5" s="3">
        <f>COUNTIF(appointments.csv!C:C,"Sylhet")</f>
        <v>43</v>
      </c>
      <c r="C5" s="3">
        <f>COUNTIFS(appointments.csv!C:C,"Sylhet",appointments.csv!E:E,"no-show")</f>
        <v>4</v>
      </c>
      <c r="D5" s="3">
        <f t="shared" si="1"/>
        <v>9.3</v>
      </c>
    </row>
    <row r="6">
      <c r="A6" s="1" t="s">
        <v>27</v>
      </c>
      <c r="B6" s="3">
        <f>COUNTIF(appointments.csv!C:C,"Mymensingh")</f>
        <v>25</v>
      </c>
      <c r="C6" s="3">
        <f>COUNTIFS(appointments.csv!C:C,"Mymensingh",appointments.csv!E:E,"no-show")</f>
        <v>2</v>
      </c>
      <c r="D6" s="3">
        <f t="shared" si="1"/>
        <v>8</v>
      </c>
    </row>
    <row r="7">
      <c r="A7" s="1" t="s">
        <v>29</v>
      </c>
      <c r="B7" s="3">
        <f>COUNTIF(appointments.csv!C:C,"Khulna")</f>
        <v>60</v>
      </c>
      <c r="C7" s="3">
        <f>COUNTIFS(appointments.csv!C:C,"Khulna",appointments.csv!E:E,"no-show")</f>
        <v>4</v>
      </c>
      <c r="D7" s="3">
        <f t="shared" si="1"/>
        <v>6.7</v>
      </c>
    </row>
    <row r="8">
      <c r="A8" s="1" t="s">
        <v>19</v>
      </c>
      <c r="B8" s="3">
        <f>COUNTIF(appointments.csv!C:C,"Barishal")</f>
        <v>22</v>
      </c>
      <c r="C8" s="3">
        <f>COUNTIFS(appointments.csv!C:C,"barishal",appointments.csv!E:E,"no-show")</f>
        <v>1</v>
      </c>
      <c r="D8" s="3">
        <f t="shared" si="1"/>
        <v>4.5</v>
      </c>
    </row>
    <row r="9">
      <c r="A9" s="1" t="s">
        <v>32</v>
      </c>
      <c r="B9" s="3">
        <f>COUNTIF(appointments.csv!C:C,"Rangpur")</f>
        <v>20</v>
      </c>
      <c r="C9" s="3">
        <f>COUNTIFS(appointments.csv!C:C,"Rangpur",appointments.csv!E:E,"no-show")</f>
        <v>0</v>
      </c>
      <c r="D9" s="3">
        <f t="shared" si="1"/>
        <v>0</v>
      </c>
    </row>
    <row r="10">
      <c r="A10" s="1" t="s">
        <v>44</v>
      </c>
      <c r="B10" s="3">
        <f t="shared" ref="B10:C10" si="2">SUM(B2:B9)</f>
        <v>500</v>
      </c>
      <c r="C10" s="3">
        <f t="shared" si="2"/>
        <v>56</v>
      </c>
      <c r="D10" s="3">
        <f t="shared" si="1"/>
        <v>11.2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49</v>
      </c>
      <c r="B1" s="1" t="s">
        <v>50</v>
      </c>
      <c r="C1" s="1" t="s">
        <v>51</v>
      </c>
      <c r="D1" s="1" t="s">
        <v>52</v>
      </c>
    </row>
    <row r="2">
      <c r="A2" s="3" t="s">
        <v>26</v>
      </c>
      <c r="B2" s="3">
        <f>COUNTIF(appointments.csv!D:D,"General Physician")</f>
        <v>84</v>
      </c>
      <c r="C2" s="5">
        <f>SUMIF(appointments.csv!D:D,"General Physician",appointments.csv!G:G)</f>
        <v>971</v>
      </c>
      <c r="D2" s="3">
        <f t="shared" ref="D2:D7" si="1">ROUND(C2/B2,1)</f>
        <v>11.6</v>
      </c>
    </row>
    <row r="3">
      <c r="A3" s="5" t="s">
        <v>16</v>
      </c>
      <c r="B3" s="3">
        <f>COUNTIF(appointments.csv!D:D,"Gynecologist")</f>
        <v>75</v>
      </c>
      <c r="C3" s="5">
        <f>SUMIF(appointments.csv!D:D,"Gynecologist",appointments.csv!G:G)</f>
        <v>866</v>
      </c>
      <c r="D3" s="3">
        <f t="shared" si="1"/>
        <v>11.5</v>
      </c>
    </row>
    <row r="4">
      <c r="A4" s="3" t="s">
        <v>23</v>
      </c>
      <c r="B4" s="3">
        <f>COUNTIF(appointments.csv!D:D,"Orthopedic")</f>
        <v>75</v>
      </c>
      <c r="C4" s="5">
        <f>SUMIF(appointments.csv!D:D,"Orthopedic",appointments.csv!G:G)</f>
        <v>861</v>
      </c>
      <c r="D4" s="3">
        <f t="shared" si="1"/>
        <v>11.5</v>
      </c>
    </row>
    <row r="5">
      <c r="A5" s="3" t="s">
        <v>30</v>
      </c>
      <c r="B5" s="3">
        <f>COUNTIF(appointments.csv!D:D,"Dermatologist")</f>
        <v>89</v>
      </c>
      <c r="C5" s="5">
        <f>SUMIF(appointments.csv!D:D,"Dermatologist",appointments.csv!G:G)</f>
        <v>934</v>
      </c>
      <c r="D5" s="3">
        <f t="shared" si="1"/>
        <v>10.5</v>
      </c>
    </row>
    <row r="6">
      <c r="A6" s="3" t="s">
        <v>22</v>
      </c>
      <c r="B6" s="3">
        <f>COUNTIF(appointments.csv!D:D,"Pediatrician")</f>
        <v>92</v>
      </c>
      <c r="C6" s="5">
        <f>SUMIF(appointments.csv!D:D,"Pediatrician",appointments.csv!G:G)</f>
        <v>855</v>
      </c>
      <c r="D6" s="3">
        <f t="shared" si="1"/>
        <v>9.3</v>
      </c>
    </row>
    <row r="7">
      <c r="A7" s="3" t="s">
        <v>20</v>
      </c>
      <c r="B7" s="3">
        <f>COUNTIF(appointments.csv!D:D,"Cardiologist")</f>
        <v>85</v>
      </c>
      <c r="C7" s="5">
        <f>SUMIF(appointments.csv!D:D,"Cardiologist",appointments.csv!G:G)</f>
        <v>763</v>
      </c>
      <c r="D7" s="3">
        <f t="shared" si="1"/>
        <v>9</v>
      </c>
    </row>
    <row r="8">
      <c r="A8" s="1" t="s">
        <v>44</v>
      </c>
      <c r="B8" s="3">
        <f t="shared" ref="B8:D8" si="2">SUM(B2:B7)</f>
        <v>500</v>
      </c>
      <c r="C8" s="3">
        <f t="shared" si="2"/>
        <v>5250</v>
      </c>
      <c r="D8" s="3">
        <f t="shared" si="2"/>
        <v>63.4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</sheetData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56</v>
      </c>
      <c r="B1" s="1" t="s">
        <v>43</v>
      </c>
    </row>
    <row r="2">
      <c r="A2" s="3" t="s">
        <v>57</v>
      </c>
      <c r="B2" s="3">
        <f>COUNTIF(appointments.csv!I:I,"SENIOR (56+)")</f>
        <v>162</v>
      </c>
    </row>
    <row r="3">
      <c r="A3" s="3" t="s">
        <v>58</v>
      </c>
      <c r="B3" s="3">
        <f>COUNTIF(appointments.csv!I:I,"Middle Age (36-55)")</f>
        <v>130</v>
      </c>
    </row>
    <row r="4">
      <c r="A4" s="3" t="s">
        <v>59</v>
      </c>
      <c r="B4" s="3">
        <f>COUNTIF(appointments.csv!I:I,"Young Adult (18-35)")</f>
        <v>118</v>
      </c>
    </row>
    <row r="5">
      <c r="A5" s="3" t="s">
        <v>60</v>
      </c>
      <c r="B5" s="3">
        <f>COUNTIF(appointments.csv!I:I,"Child (0-17)")</f>
        <v>90</v>
      </c>
    </row>
    <row r="6">
      <c r="A6" s="1" t="s">
        <v>44</v>
      </c>
      <c r="B6" s="3">
        <f>SUM(B2:B5)</f>
        <v>500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61</v>
      </c>
      <c r="B1" s="1" t="s">
        <v>62</v>
      </c>
      <c r="C1" s="1" t="s">
        <v>63</v>
      </c>
      <c r="D1" s="1" t="s">
        <v>64</v>
      </c>
    </row>
    <row r="2">
      <c r="A2" s="3" t="s">
        <v>65</v>
      </c>
      <c r="B2" s="3">
        <f t="shared" ref="B2:B13" si="1">MONTH(DATEVALUE(A2&amp;" 1"))</f>
        <v>1</v>
      </c>
      <c r="C2" s="3">
        <f>COUNTIFS(appointments.csv!K:K,"2024",appointments.csv!L:L,"january")</f>
        <v>21</v>
      </c>
      <c r="D2" s="3">
        <f>COUNTIFS(appointments.csv!K:K,"2023",appointments.csv!L:L,"january")</f>
        <v>23</v>
      </c>
    </row>
    <row r="3">
      <c r="A3" s="3" t="s">
        <v>66</v>
      </c>
      <c r="B3" s="3">
        <f t="shared" si="1"/>
        <v>2</v>
      </c>
      <c r="C3" s="3">
        <f>COUNTIFS(appointments.csv!K:K,"2024",appointments.csv!L:L,"February")</f>
        <v>22</v>
      </c>
      <c r="D3" s="3">
        <f>COUNTIFS(appointments.csv!K:K,"2023",appointments.csv!L:L,"February")</f>
        <v>15</v>
      </c>
    </row>
    <row r="4">
      <c r="A4" s="3" t="s">
        <v>67</v>
      </c>
      <c r="B4" s="3">
        <f t="shared" si="1"/>
        <v>3</v>
      </c>
      <c r="C4" s="3">
        <f>COUNTIFS(appointments.csv!K:K,"2024",appointments.csv!L:L,"March")</f>
        <v>23</v>
      </c>
      <c r="D4" s="3">
        <f>COUNTIFS(appointments.csv!K:K,"2023",appointments.csv!L:L,"March")</f>
        <v>25</v>
      </c>
    </row>
    <row r="5">
      <c r="A5" s="3" t="s">
        <v>68</v>
      </c>
      <c r="B5" s="3">
        <f t="shared" si="1"/>
        <v>4</v>
      </c>
      <c r="C5" s="3">
        <f>COUNTIFS(appointments.csv!K:K,"2024",appointments.csv!L:L,"April")</f>
        <v>18</v>
      </c>
      <c r="D5" s="3">
        <f>COUNTIFS(appointments.csv!K:K,"2023",appointments.csv!L:L,"April")</f>
        <v>16</v>
      </c>
    </row>
    <row r="6">
      <c r="A6" s="3" t="s">
        <v>69</v>
      </c>
      <c r="B6" s="3">
        <f t="shared" si="1"/>
        <v>5</v>
      </c>
      <c r="C6" s="3">
        <f>COUNTIFS(appointments.csv!K:K,"2024",appointments.csv!L:L,"May")</f>
        <v>14</v>
      </c>
      <c r="D6" s="3">
        <f>COUNTIFS(appointments.csv!K:K,"2023",appointments.csv!L:L,"May")</f>
        <v>26</v>
      </c>
    </row>
    <row r="7">
      <c r="A7" s="3" t="s">
        <v>70</v>
      </c>
      <c r="B7" s="3">
        <f t="shared" si="1"/>
        <v>6</v>
      </c>
      <c r="C7" s="3">
        <f>COUNTIFS(appointments.csv!K:K,"2024",appointments.csv!L:L,"June")</f>
        <v>23</v>
      </c>
      <c r="D7" s="3">
        <f>COUNTIFS(appointments.csv!K:K,"2023",appointments.csv!L:L,"June")</f>
        <v>24</v>
      </c>
    </row>
    <row r="8">
      <c r="A8" s="3" t="s">
        <v>71</v>
      </c>
      <c r="B8" s="3">
        <f t="shared" si="1"/>
        <v>7</v>
      </c>
      <c r="C8" s="3">
        <f>COUNTIFS(appointments.csv!K:K,"2024",appointments.csv!L:L,"July")</f>
        <v>22</v>
      </c>
      <c r="D8" s="3">
        <f>COUNTIFS(appointments.csv!K:K,"2023",appointments.csv!L:L,"July")</f>
        <v>16</v>
      </c>
    </row>
    <row r="9">
      <c r="A9" s="3" t="s">
        <v>72</v>
      </c>
      <c r="B9" s="3">
        <f t="shared" si="1"/>
        <v>8</v>
      </c>
      <c r="C9" s="3">
        <f>COUNTIFS(appointments.csv!K:K,"2024",appointments.csv!L:L,"August")</f>
        <v>22</v>
      </c>
      <c r="D9" s="3">
        <f>COUNTIFS(appointments.csv!K:K,"2023",appointments.csv!L:L,"August")</f>
        <v>15</v>
      </c>
    </row>
    <row r="10">
      <c r="A10" s="3" t="s">
        <v>73</v>
      </c>
      <c r="B10" s="3">
        <f t="shared" si="1"/>
        <v>9</v>
      </c>
      <c r="C10" s="3">
        <f>COUNTIFS(appointments.csv!K:K,"2024",appointments.csv!L:L,"September")</f>
        <v>22</v>
      </c>
      <c r="D10" s="3">
        <f>COUNTIFS(appointments.csv!K:K,"2023",appointments.csv!L:L,"September")</f>
        <v>15</v>
      </c>
    </row>
    <row r="11">
      <c r="A11" s="3" t="s">
        <v>74</v>
      </c>
      <c r="B11" s="3">
        <f t="shared" si="1"/>
        <v>10</v>
      </c>
      <c r="C11" s="3">
        <f>COUNTIFS(appointments.csv!K:K,"2024",appointments.csv!L:L,"October")</f>
        <v>24</v>
      </c>
      <c r="D11" s="3">
        <f>COUNTIFS(appointments.csv!K:K,"2023",appointments.csv!L:L,"October")</f>
        <v>23</v>
      </c>
    </row>
    <row r="12">
      <c r="A12" s="3" t="s">
        <v>75</v>
      </c>
      <c r="B12" s="3">
        <f t="shared" si="1"/>
        <v>11</v>
      </c>
      <c r="C12" s="3">
        <f>COUNTIFS(appointments.csv!K:K,"2024",appointments.csv!L:L,"November")</f>
        <v>23</v>
      </c>
      <c r="D12" s="3">
        <f>COUNTIFS(appointments.csv!K:K,"2023",appointments.csv!L:L,"November")</f>
        <v>29</v>
      </c>
    </row>
    <row r="13">
      <c r="A13" s="3" t="s">
        <v>76</v>
      </c>
      <c r="B13" s="3">
        <f t="shared" si="1"/>
        <v>12</v>
      </c>
      <c r="C13" s="3">
        <f>COUNTIFS(appointments.csv!K:K,"2024",appointments.csv!L:L,"December")</f>
        <v>21</v>
      </c>
      <c r="D13" s="3">
        <f>COUNTIFS(appointments.csv!K:K,"2023",appointments.csv!L:L,"December")</f>
        <v>18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</sheetData>
  <drawing r:id="rId2"/>
</worksheet>
</file>