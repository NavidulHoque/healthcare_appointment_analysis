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39d657ef79bceff4/Desktop/colab/healthcare/excel-sheets/"/>
    </mc:Choice>
  </mc:AlternateContent>
  <xr:revisionPtr revIDLastSave="2" documentId="8_{5C09FDDB-C570-4D60-86F0-45ABBAEFDFB7}" xr6:coauthVersionLast="47" xr6:coauthVersionMax="47" xr10:uidLastSave="{AD624221-0ECB-432B-89E0-ED559B3A079E}"/>
  <bookViews>
    <workbookView xWindow="-108" yWindow="-108" windowWidth="23256" windowHeight="12456" tabRatio="683" firstSheet="2" activeTab="2" xr2:uid="{00000000-000D-0000-FFFF-FFFF00000000}"/>
  </bookViews>
  <sheets>
    <sheet name="Raw Data" sheetId="1" r:id="rId1"/>
    <sheet name="Appointment Pivot Tables" sheetId="7" r:id="rId2"/>
    <sheet name="Appointment No Show Dashboard" sheetId="8" r:id="rId3"/>
    <sheet name="Appointment Wait Days Dashboard" sheetId="9" r:id="rId4"/>
    <sheet name="Cleaned Data" sheetId="2" r:id="rId5"/>
  </sheets>
  <definedNames>
    <definedName name="NativeTimeline_Appointment_Date">#N/A</definedName>
    <definedName name="Slicer_Age_Group">#N/A</definedName>
    <definedName name="Slicer_Division">#N/A</definedName>
    <definedName name="Slicer_Doctor_Specialty">#N/A</definedName>
    <definedName name="Slicer_Gender">#N/A</definedName>
  </definedNames>
  <calcPr calcId="191028" iterateDelta="1E-4"/>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F4" i="7"/>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alcChain>
</file>

<file path=xl/sharedStrings.xml><?xml version="1.0" encoding="utf-8"?>
<sst xmlns="http://schemas.openxmlformats.org/spreadsheetml/2006/main" count="4661" uniqueCount="69">
  <si>
    <t>patient_age</t>
  </si>
  <si>
    <t>patient_gender</t>
  </si>
  <si>
    <t>division</t>
  </si>
  <si>
    <t>specialty</t>
  </si>
  <si>
    <t>appointment_status</t>
  </si>
  <si>
    <t>consultation_fee_bdt</t>
  </si>
  <si>
    <t>wait_days</t>
  </si>
  <si>
    <t>appointment_date</t>
  </si>
  <si>
    <t>Female</t>
  </si>
  <si>
    <t>Chattogram</t>
  </si>
  <si>
    <t>Gynecologist</t>
  </si>
  <si>
    <t>Completed</t>
  </si>
  <si>
    <t>Male</t>
  </si>
  <si>
    <t>Barishal</t>
  </si>
  <si>
    <t>Cardiologist</t>
  </si>
  <si>
    <t>Dhaka</t>
  </si>
  <si>
    <t>Pediatrician</t>
  </si>
  <si>
    <t>Orthopedic</t>
  </si>
  <si>
    <t>Cancelled</t>
  </si>
  <si>
    <t>Rajshahi</t>
  </si>
  <si>
    <t>General Physician</t>
  </si>
  <si>
    <t>Mymensingh</t>
  </si>
  <si>
    <t>No-show</t>
  </si>
  <si>
    <t>Khulna</t>
  </si>
  <si>
    <t>Dermatologist</t>
  </si>
  <si>
    <t>Sylhet</t>
  </si>
  <si>
    <t>Rangpur</t>
  </si>
  <si>
    <t>Day Type</t>
  </si>
  <si>
    <t>Division</t>
  </si>
  <si>
    <t>Age Group</t>
  </si>
  <si>
    <t>Sum of Wait Days</t>
  </si>
  <si>
    <t>Grand Total</t>
  </si>
  <si>
    <t>Appointment Status</t>
  </si>
  <si>
    <t>Jan</t>
  </si>
  <si>
    <t>Feb</t>
  </si>
  <si>
    <t>Mar</t>
  </si>
  <si>
    <t>Apr</t>
  </si>
  <si>
    <t>May</t>
  </si>
  <si>
    <t>Jun</t>
  </si>
  <si>
    <t>Jul</t>
  </si>
  <si>
    <t>Aug</t>
  </si>
  <si>
    <t>Sep</t>
  </si>
  <si>
    <t>Oct</t>
  </si>
  <si>
    <t>Nov</t>
  </si>
  <si>
    <t>Dec</t>
  </si>
  <si>
    <t>Senior (56+)</t>
  </si>
  <si>
    <t>Middle Age (36-55)</t>
  </si>
  <si>
    <t>Young Adult (18-35)</t>
  </si>
  <si>
    <t>Child (0-17)</t>
  </si>
  <si>
    <t>Doctor Specialty</t>
  </si>
  <si>
    <t>Age</t>
  </si>
  <si>
    <t>Gender</t>
  </si>
  <si>
    <t>Consultation Fee</t>
  </si>
  <si>
    <t>Wait Days</t>
  </si>
  <si>
    <t>Appointment Date</t>
  </si>
  <si>
    <t>Month</t>
  </si>
  <si>
    <t>Day of Week</t>
  </si>
  <si>
    <t>Total Appointments</t>
  </si>
  <si>
    <t>Count of Appointment Status</t>
  </si>
  <si>
    <t>No-Show Percentage</t>
  </si>
  <si>
    <t>Average of Wait Days</t>
  </si>
  <si>
    <t>Max of Wait Days</t>
  </si>
  <si>
    <t>Specialty</t>
  </si>
  <si>
    <t>Min of Wait Days</t>
  </si>
  <si>
    <t>No Show Flag</t>
  </si>
  <si>
    <t>Total No-Show Appointments</t>
  </si>
  <si>
    <t>Rate of No Show</t>
  </si>
  <si>
    <t xml:space="preserve">Rate of No Show </t>
  </si>
  <si>
    <t>Total Wait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</si>
</sst>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
    <numFmt numFmtId="166" formatCode="0.0"/>
  </numFmts>
  <fonts count="4" x14ac:knownFonts="1">
    <font>
      <sz val="11"/>
      <color theme="1"/>
      <name val="Calibri"/>
      <family val="2"/>
      <scheme val="minor"/>
    </font>
    <font>
      <b/>
      <sz val="11"/>
      <name val="Calibri"/>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1" fillId="0" borderId="2" xfId="0" applyFont="1" applyBorder="1" applyAlignment="1">
      <alignment horizontal="left" vertical="top"/>
    </xf>
    <xf numFmtId="0" fontId="1" fillId="0" borderId="2" xfId="0" applyNumberFormat="1" applyFont="1" applyBorder="1" applyAlignment="1">
      <alignment horizontal="left" vertical="top"/>
    </xf>
    <xf numFmtId="0" fontId="0" fillId="0" borderId="0" xfId="0" pivotButton="1"/>
    <xf numFmtId="0" fontId="0" fillId="0" borderId="0" xfId="0" applyNumberFormat="1"/>
    <xf numFmtId="0" fontId="3" fillId="2" borderId="3" xfId="0" applyFont="1" applyFill="1" applyBorder="1"/>
    <xf numFmtId="0" fontId="3" fillId="0" borderId="0" xfId="0" applyFont="1"/>
    <xf numFmtId="0" fontId="0" fillId="0" borderId="0" xfId="0" applyAlignment="1">
      <alignment horizontal="left"/>
    </xf>
    <xf numFmtId="2" fontId="0" fillId="0" borderId="0" xfId="0" applyNumberFormat="1"/>
    <xf numFmtId="1" fontId="0" fillId="0" borderId="0" xfId="0" applyNumberFormat="1"/>
    <xf numFmtId="10" fontId="0" fillId="0" borderId="0" xfId="0" applyNumberFormat="1"/>
    <xf numFmtId="10" fontId="0" fillId="0" borderId="0" xfId="1" applyNumberFormat="1" applyFont="1"/>
    <xf numFmtId="165" fontId="0" fillId="0" borderId="0" xfId="1" applyNumberFormat="1" applyFont="1"/>
    <xf numFmtId="166" fontId="0" fillId="0" borderId="0" xfId="0" applyNumberFormat="1"/>
  </cellXfs>
  <cellStyles count="2">
    <cellStyle name="Normal" xfId="0" builtinId="0"/>
    <cellStyle name="Percent" xfId="1" builtinId="5"/>
  </cellStyles>
  <dxfs count="80">
    <dxf>
      <numFmt numFmtId="1" formatCode="0"/>
    </dxf>
    <dxf>
      <numFmt numFmtId="1" formatCode="0"/>
    </dxf>
    <dxf>
      <numFmt numFmtId="1" formatCode="0"/>
    </dxf>
    <dxf>
      <numFmt numFmtId="14" formatCode="0.00%"/>
    </dxf>
    <dxf>
      <numFmt numFmtId="166" formatCode="0.0"/>
    </dxf>
    <dxf>
      <numFmt numFmtId="14" formatCode="0.00%"/>
    </dxf>
    <dxf>
      <numFmt numFmtId="14" formatCode="0.00%"/>
    </dxf>
    <dxf>
      <numFmt numFmtId="14" formatCode="0.00%"/>
    </dxf>
    <dxf>
      <numFmt numFmtId="14" formatCode="0.00%"/>
    </dxf>
    <dxf>
      <numFmt numFmtId="1" formatCode="0"/>
    </dxf>
    <dxf>
      <numFmt numFmtId="1" formatCode="0"/>
    </dxf>
    <dxf>
      <numFmt numFmtId="1" formatCode="0"/>
    </dxf>
    <dxf>
      <numFmt numFmtId="14" formatCode="0.00%"/>
    </dxf>
    <dxf>
      <numFmt numFmtId="166" formatCode="0.0"/>
    </dxf>
    <dxf>
      <numFmt numFmtId="14" formatCode="0.00%"/>
    </dxf>
    <dxf>
      <numFmt numFmtId="14" formatCode="0.00%"/>
    </dxf>
    <dxf>
      <numFmt numFmtId="14" formatCode="0.00%"/>
    </dxf>
    <dxf>
      <numFmt numFmtId="14" formatCode="0.00%"/>
    </dxf>
    <dxf>
      <numFmt numFmtId="1" formatCode="0"/>
    </dxf>
    <dxf>
      <numFmt numFmtId="1" formatCode="0"/>
    </dxf>
    <dxf>
      <numFmt numFmtId="1" formatCode="0"/>
    </dxf>
    <dxf>
      <numFmt numFmtId="14" formatCode="0.00%"/>
    </dxf>
    <dxf>
      <numFmt numFmtId="166" formatCode="0.0"/>
    </dxf>
    <dxf>
      <numFmt numFmtId="14" formatCode="0.00%"/>
    </dxf>
    <dxf>
      <numFmt numFmtId="14" formatCode="0.00%"/>
    </dxf>
    <dxf>
      <numFmt numFmtId="14" formatCode="0.00%"/>
    </dxf>
    <dxf>
      <numFmt numFmtId="14" formatCode="0.00%"/>
    </dxf>
    <dxf>
      <numFmt numFmtId="1" formatCode="0"/>
    </dxf>
    <dxf>
      <numFmt numFmtId="1" formatCode="0"/>
    </dxf>
    <dxf>
      <numFmt numFmtId="1" formatCode="0"/>
    </dxf>
    <dxf>
      <numFmt numFmtId="14" formatCode="0.00%"/>
    </dxf>
    <dxf>
      <numFmt numFmtId="166" formatCode="0.0"/>
    </dxf>
    <dxf>
      <numFmt numFmtId="14" formatCode="0.00%"/>
    </dxf>
    <dxf>
      <numFmt numFmtId="14" formatCode="0.00%"/>
    </dxf>
    <dxf>
      <numFmt numFmtId="14" formatCode="0.00%"/>
    </dxf>
    <dxf>
      <numFmt numFmtId="14" formatCode="0.00%"/>
    </dxf>
    <dxf>
      <numFmt numFmtId="1" formatCode="0"/>
    </dxf>
    <dxf>
      <numFmt numFmtId="1" formatCode="0"/>
    </dxf>
    <dxf>
      <numFmt numFmtId="1" formatCode="0"/>
    </dxf>
    <dxf>
      <numFmt numFmtId="14" formatCode="0.00%"/>
    </dxf>
    <dxf>
      <numFmt numFmtId="166" formatCode="0.0"/>
    </dxf>
    <dxf>
      <numFmt numFmtId="14" formatCode="0.00%"/>
    </dxf>
    <dxf>
      <numFmt numFmtId="14" formatCode="0.00%"/>
    </dxf>
    <dxf>
      <numFmt numFmtId="14" formatCode="0.00%"/>
    </dxf>
    <dxf>
      <numFmt numFmtId="14" formatCode="0.00%"/>
    </dxf>
    <dxf>
      <numFmt numFmtId="1" formatCode="0"/>
    </dxf>
    <dxf>
      <numFmt numFmtId="1" formatCode="0"/>
    </dxf>
    <dxf>
      <numFmt numFmtId="1" formatCode="0"/>
    </dxf>
    <dxf>
      <numFmt numFmtId="14" formatCode="0.00%"/>
    </dxf>
    <dxf>
      <numFmt numFmtId="166" formatCode="0.0"/>
    </dxf>
    <dxf>
      <numFmt numFmtId="14" formatCode="0.00%"/>
    </dxf>
    <dxf>
      <numFmt numFmtId="14" formatCode="0.00%"/>
    </dxf>
    <dxf>
      <numFmt numFmtId="14" formatCode="0.00%"/>
    </dxf>
    <dxf>
      <numFmt numFmtId="14" formatCode="0.00%"/>
    </dxf>
    <dxf>
      <numFmt numFmtId="1" formatCode="0"/>
    </dxf>
    <dxf>
      <numFmt numFmtId="1" formatCode="0"/>
    </dxf>
    <dxf>
      <numFmt numFmtId="1" formatCode="0"/>
    </dxf>
    <dxf>
      <numFmt numFmtId="14" formatCode="0.00%"/>
    </dxf>
    <dxf>
      <numFmt numFmtId="166" formatCode="0.0"/>
    </dxf>
    <dxf>
      <numFmt numFmtId="14" formatCode="0.00%"/>
    </dxf>
    <dxf>
      <numFmt numFmtId="14" formatCode="0.00%"/>
    </dxf>
    <dxf>
      <numFmt numFmtId="14" formatCode="0.00%"/>
    </dxf>
    <dxf>
      <numFmt numFmtId="14" formatCode="0.00%"/>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border diagonalUp="0" diagonalDown="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165" formatCode="0.0%"/>
    </dxf>
    <dxf>
      <font>
        <b val="0"/>
        <i val="0"/>
        <strike val="0"/>
        <condense val="0"/>
        <extend val="0"/>
        <outline val="0"/>
        <shadow val="0"/>
        <u val="none"/>
        <vertAlign val="baseline"/>
        <sz val="11"/>
        <color theme="1"/>
        <name val="Calibri"/>
        <family val="2"/>
        <scheme val="minor"/>
      </font>
      <numFmt numFmtId="165" formatCode="0.0%"/>
    </dxf>
    <dxf>
      <font>
        <b/>
        <i val="0"/>
        <strike val="0"/>
        <condense val="0"/>
        <extend val="0"/>
        <outline val="0"/>
        <shadow val="0"/>
        <u val="none"/>
        <vertAlign val="baseline"/>
        <sz val="11"/>
        <color theme="1"/>
        <name val="Calibri"/>
        <family val="2"/>
        <scheme val="minor"/>
      </font>
    </dxf>
    <dxf>
      <numFmt numFmtId="166" formatCode="0.0"/>
    </dxf>
    <dxf>
      <numFmt numFmtId="14" formatCode="0.00%"/>
    </dxf>
    <dxf>
      <numFmt numFmtId="14" formatCode="0.00%"/>
    </dxf>
    <dxf>
      <numFmt numFmtId="14" formatCode="0.00%"/>
    </dxf>
    <dxf>
      <numFmt numFmtId="14" formatCode="0.00%"/>
    </dxf>
    <dxf>
      <numFmt numFmtId="1" formatCode="0"/>
    </dxf>
    <dxf>
      <numFmt numFmtId="1" formatCode="0"/>
    </dxf>
    <dxf>
      <numFmt numFmtId="1" formatCode="0"/>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Tables!PT6_Count_Appointment_Status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Count</a:t>
            </a:r>
            <a:r>
              <a:rPr lang="en-US" b="1" baseline="0">
                <a:solidFill>
                  <a:srgbClr val="0070C0"/>
                </a:solidFill>
              </a:rPr>
              <a:t> of Appointment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'Appointment Pivot Tables'!$B$8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8B-44F2-ACB9-36E9336040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8B-44F2-ACB9-36E9336040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8B-44F2-ACB9-36E9336040BA}"/>
              </c:ext>
            </c:extLst>
          </c:dPt>
          <c:dLbls>
            <c:spPr>
              <a:solidFill>
                <a:schemeClr val="bg1">
                  <a:alpha val="7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'Appointment Pivot Tables'!$A$9:$A$12</c:f>
              <c:strCache>
                <c:ptCount val="3"/>
                <c:pt idx="0">
                  <c:v>Cancelled</c:v>
                </c:pt>
                <c:pt idx="1">
                  <c:v>Completed</c:v>
                </c:pt>
                <c:pt idx="2">
                  <c:v>No-show</c:v>
                </c:pt>
              </c:strCache>
            </c:strRef>
          </c:cat>
          <c:val>
            <c:numRef>
              <c:f>'Appointment Pivot Tables'!$B$9:$B$12</c:f>
              <c:numCache>
                <c:formatCode>General</c:formatCode>
                <c:ptCount val="3"/>
                <c:pt idx="0">
                  <c:v>15</c:v>
                </c:pt>
                <c:pt idx="1">
                  <c:v>63</c:v>
                </c:pt>
                <c:pt idx="2">
                  <c:v>14</c:v>
                </c:pt>
              </c:numCache>
            </c:numRef>
          </c:val>
          <c:extLst>
            <c:ext xmlns:c16="http://schemas.microsoft.com/office/drawing/2014/chart" uri="{C3380CC4-5D6E-409C-BE32-E72D297353CC}">
              <c16:uniqueId val="{00000006-2A8B-44F2-ACB9-36E9336040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Tables!PT22_Division_Rate_No_Show</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Rate of No Show by Division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 Pivot Tables'!$E$20</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Tables'!$D$21:$D$29</c:f>
              <c:strCache>
                <c:ptCount val="8"/>
                <c:pt idx="0">
                  <c:v>Rajshahi</c:v>
                </c:pt>
                <c:pt idx="1">
                  <c:v>Dhaka</c:v>
                </c:pt>
                <c:pt idx="2">
                  <c:v>Chattogram</c:v>
                </c:pt>
                <c:pt idx="3">
                  <c:v>Khulna</c:v>
                </c:pt>
                <c:pt idx="4">
                  <c:v>Sylhet</c:v>
                </c:pt>
                <c:pt idx="5">
                  <c:v>Rangpur</c:v>
                </c:pt>
                <c:pt idx="6">
                  <c:v>Mymensingh</c:v>
                </c:pt>
                <c:pt idx="7">
                  <c:v>Barishal</c:v>
                </c:pt>
              </c:strCache>
            </c:strRef>
          </c:cat>
          <c:val>
            <c:numRef>
              <c:f>'Appointment Pivot Tables'!$E$21:$E$29</c:f>
              <c:numCache>
                <c:formatCode>0.00%</c:formatCode>
                <c:ptCount val="8"/>
                <c:pt idx="0">
                  <c:v>0.33333333333333331</c:v>
                </c:pt>
                <c:pt idx="1">
                  <c:v>0.25</c:v>
                </c:pt>
                <c:pt idx="2">
                  <c:v>0.10714285714285714</c:v>
                </c:pt>
                <c:pt idx="3">
                  <c:v>8.3333333333333329E-2</c:v>
                </c:pt>
                <c:pt idx="4">
                  <c:v>0</c:v>
                </c:pt>
                <c:pt idx="5">
                  <c:v>0</c:v>
                </c:pt>
                <c:pt idx="6">
                  <c:v>0</c:v>
                </c:pt>
                <c:pt idx="7">
                  <c:v>0</c:v>
                </c:pt>
              </c:numCache>
            </c:numRef>
          </c:val>
          <c:extLst>
            <c:ext xmlns:c16="http://schemas.microsoft.com/office/drawing/2014/chart" uri="{C3380CC4-5D6E-409C-BE32-E72D297353CC}">
              <c16:uniqueId val="{00000000-9C68-47CD-BA4C-5A1ED7024F9A}"/>
            </c:ext>
          </c:extLst>
        </c:ser>
        <c:dLbls>
          <c:dLblPos val="outEnd"/>
          <c:showLegendKey val="0"/>
          <c:showVal val="1"/>
          <c:showCatName val="0"/>
          <c:showSerName val="0"/>
          <c:showPercent val="0"/>
          <c:showBubbleSize val="0"/>
        </c:dLbls>
        <c:gapWidth val="219"/>
        <c:overlap val="-27"/>
        <c:axId val="564539711"/>
        <c:axId val="564533471"/>
      </c:barChart>
      <c:catAx>
        <c:axId val="564539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Division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533471"/>
        <c:crosses val="autoZero"/>
        <c:auto val="1"/>
        <c:lblAlgn val="ctr"/>
        <c:lblOffset val="100"/>
        <c:noMultiLvlLbl val="0"/>
      </c:catAx>
      <c:valAx>
        <c:axId val="564533471"/>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Rate of No Show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53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Tables!PT27_Month_Rate_No_Show</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Rate of No Show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'Appointment Pivot Tables'!$H$28</c:f>
              <c:strCache>
                <c:ptCount val="1"/>
                <c:pt idx="0">
                  <c:v>Total</c:v>
                </c:pt>
              </c:strCache>
            </c:strRef>
          </c:tx>
          <c:spPr>
            <a:ln w="28575" cap="rnd">
              <a:solidFill>
                <a:schemeClr val="accent1"/>
              </a:solidFill>
              <a:round/>
            </a:ln>
            <a:effectLst/>
          </c:spPr>
          <c:marker>
            <c:symbol val="none"/>
          </c:marker>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Tables'!$G$29:$G$41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'Appointment Pivot Tables'!$H$29:$H$41</c:f>
              <c:numCache>
                <c:formatCode>0.00%</c:formatCode>
                <c:ptCount val="12"/>
                <c:pt idx="0">
                  <c:v>0</c:v>
                </c:pt>
                <c:pt idx="1">
                  <c:v>0.125</c:v>
                </c:pt>
                <c:pt idx="2">
                  <c:v>0</c:v>
                </c:pt>
                <c:pt idx="3">
                  <c:v>0.14285714285714285</c:v>
                </c:pt>
                <c:pt idx="4">
                  <c:v>0.66666666666666663</c:v>
                </c:pt>
                <c:pt idx="5">
                  <c:v>0.125</c:v>
                </c:pt>
                <c:pt idx="6">
                  <c:v>0</c:v>
                </c:pt>
                <c:pt idx="7">
                  <c:v>0.125</c:v>
                </c:pt>
                <c:pt idx="8">
                  <c:v>0.375</c:v>
                </c:pt>
                <c:pt idx="9">
                  <c:v>0.14285714285714285</c:v>
                </c:pt>
                <c:pt idx="10">
                  <c:v>0.25</c:v>
                </c:pt>
                <c:pt idx="11">
                  <c:v>0.22222222222222221</c:v>
                </c:pt>
              </c:numCache>
            </c:numRef>
          </c:val>
          <c:smooth val="0"/>
          <c:extLst>
            <c:ext xmlns:c16="http://schemas.microsoft.com/office/drawing/2014/chart" uri="{C3380CC4-5D6E-409C-BE32-E72D297353CC}">
              <c16:uniqueId val="{00000000-E054-441C-8427-849EF2EB0C4E}"/>
            </c:ext>
          </c:extLst>
        </c:ser>
        <c:dLbls>
          <c:dLblPos val="t"/>
          <c:showLegendKey val="0"/>
          <c:showVal val="1"/>
          <c:showCatName val="0"/>
          <c:showSerName val="0"/>
          <c:showPercent val="0"/>
          <c:showBubbleSize val="0"/>
        </c:dLbls>
        <c:smooth val="0"/>
        <c:axId val="1001844575"/>
        <c:axId val="1001851295"/>
      </c:lineChart>
      <c:catAx>
        <c:axId val="1001844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851295"/>
        <c:crosses val="autoZero"/>
        <c:auto val="1"/>
        <c:lblAlgn val="ctr"/>
        <c:lblOffset val="100"/>
        <c:noMultiLvlLbl val="0"/>
      </c:catAx>
      <c:valAx>
        <c:axId val="1001851295"/>
        <c:scaling>
          <c:orientation val="minMax"/>
        </c:scaling>
        <c:delete val="0"/>
        <c:axPos val="l"/>
        <c:majorGridlines>
          <c:spPr>
            <a:ln w="9525" cap="flat" cmpd="sng" algn="ctr">
              <a:solidFill>
                <a:schemeClr val="tx1">
                  <a:lumMod val="15000"/>
                  <a:lumOff val="85000"/>
                </a:schemeClr>
              </a:solidFill>
              <a:round/>
            </a:ln>
            <a:effectLst>
              <a:softEdge rad="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Rate of No Show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844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Tables!PT26_Specialty_Rate_No_Show</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Rate of No Show by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 Pivot Tables'!$H$18</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Tables'!$G$19:$G$20</c:f>
              <c:strCache>
                <c:ptCount val="1"/>
                <c:pt idx="0">
                  <c:v>Pediatrician</c:v>
                </c:pt>
              </c:strCache>
            </c:strRef>
          </c:cat>
          <c:val>
            <c:numRef>
              <c:f>'Appointment Pivot Tables'!$H$19:$H$20</c:f>
              <c:numCache>
                <c:formatCode>0.00%</c:formatCode>
                <c:ptCount val="1"/>
                <c:pt idx="0">
                  <c:v>0.15217391304347827</c:v>
                </c:pt>
              </c:numCache>
            </c:numRef>
          </c:val>
          <c:extLst>
            <c:ext xmlns:c16="http://schemas.microsoft.com/office/drawing/2014/chart" uri="{C3380CC4-5D6E-409C-BE32-E72D297353CC}">
              <c16:uniqueId val="{00000000-0AFA-4C3A-95D3-202CAD1C5EF8}"/>
            </c:ext>
          </c:extLst>
        </c:ser>
        <c:dLbls>
          <c:dLblPos val="outEnd"/>
          <c:showLegendKey val="0"/>
          <c:showVal val="1"/>
          <c:showCatName val="0"/>
          <c:showSerName val="0"/>
          <c:showPercent val="0"/>
          <c:showBubbleSize val="0"/>
        </c:dLbls>
        <c:gapWidth val="219"/>
        <c:overlap val="-27"/>
        <c:axId val="558893855"/>
        <c:axId val="558878015"/>
      </c:barChart>
      <c:catAx>
        <c:axId val="558893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Specialty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78015"/>
        <c:crosses val="autoZero"/>
        <c:auto val="1"/>
        <c:lblAlgn val="ctr"/>
        <c:lblOffset val="100"/>
        <c:noMultiLvlLbl val="0"/>
      </c:catAx>
      <c:valAx>
        <c:axId val="55887801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Rate of No Show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89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Tables!PT1_Age_Group_No_Show_Rate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Rate of No Show by Age</a:t>
            </a:r>
            <a:r>
              <a:rPr lang="en-US" b="1" baseline="0">
                <a:solidFill>
                  <a:srgbClr val="0070C0"/>
                </a:solidFill>
              </a:rPr>
              <a:t> Group</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 Pivot Tables'!$E$42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Tables'!$D$43:$D$47</c:f>
              <c:strCache>
                <c:ptCount val="4"/>
                <c:pt idx="0">
                  <c:v>Senior (56+)</c:v>
                </c:pt>
                <c:pt idx="1">
                  <c:v>Child (0-17)</c:v>
                </c:pt>
                <c:pt idx="2">
                  <c:v>Middle Age (36-55)</c:v>
                </c:pt>
                <c:pt idx="3">
                  <c:v>Young Adult (18-35)</c:v>
                </c:pt>
              </c:strCache>
            </c:strRef>
          </c:cat>
          <c:val>
            <c:numRef>
              <c:f>'Appointment Pivot Tables'!$E$43:$E$47</c:f>
              <c:numCache>
                <c:formatCode>0.00%</c:formatCode>
                <c:ptCount val="4"/>
                <c:pt idx="0">
                  <c:v>0.22580645161290322</c:v>
                </c:pt>
                <c:pt idx="1">
                  <c:v>0.21428571428571427</c:v>
                </c:pt>
                <c:pt idx="2">
                  <c:v>0.125</c:v>
                </c:pt>
                <c:pt idx="3">
                  <c:v>4.3478260869565216E-2</c:v>
                </c:pt>
              </c:numCache>
            </c:numRef>
          </c:val>
          <c:extLst>
            <c:ext xmlns:c16="http://schemas.microsoft.com/office/drawing/2014/chart" uri="{C3380CC4-5D6E-409C-BE32-E72D297353CC}">
              <c16:uniqueId val="{00000000-B744-437D-8338-6E66349095FC}"/>
            </c:ext>
          </c:extLst>
        </c:ser>
        <c:dLbls>
          <c:dLblPos val="outEnd"/>
          <c:showLegendKey val="0"/>
          <c:showVal val="1"/>
          <c:showCatName val="0"/>
          <c:showSerName val="0"/>
          <c:showPercent val="0"/>
          <c:showBubbleSize val="0"/>
        </c:dLbls>
        <c:gapWidth val="219"/>
        <c:overlap val="-27"/>
        <c:axId val="1941533440"/>
        <c:axId val="1941540640"/>
      </c:barChart>
      <c:catAx>
        <c:axId val="194153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540640"/>
        <c:crosses val="autoZero"/>
        <c:auto val="1"/>
        <c:lblAlgn val="ctr"/>
        <c:lblOffset val="100"/>
        <c:noMultiLvlLbl val="0"/>
      </c:catAx>
      <c:valAx>
        <c:axId val="1941540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Rate of No Show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53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Tables!PT4_Month_Total_Appointments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Total</a:t>
            </a:r>
            <a:r>
              <a:rPr lang="en-US" b="1" baseline="0">
                <a:solidFill>
                  <a:srgbClr val="0070C0"/>
                </a:solidFill>
              </a:rPr>
              <a:t> Appointments </a:t>
            </a:r>
            <a:r>
              <a:rPr lang="en-US" b="1">
                <a:solidFill>
                  <a:srgbClr val="0070C0"/>
                </a:solidFill>
              </a:rPr>
              <a:t>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'Appointment Pivot Tables'!$K$24</c:f>
              <c:strCache>
                <c:ptCount val="1"/>
                <c:pt idx="0">
                  <c:v>Total</c:v>
                </c:pt>
              </c:strCache>
            </c:strRef>
          </c:tx>
          <c:spPr>
            <a:ln w="28575" cap="rnd">
              <a:solidFill>
                <a:schemeClr val="accent1"/>
              </a:solidFill>
              <a:round/>
            </a:ln>
            <a:effectLst/>
          </c:spPr>
          <c:marker>
            <c:symbol val="none"/>
          </c:marker>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Tables'!$J$25:$J$37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'Appointment Pivot Tables'!$K$25:$K$37</c:f>
              <c:numCache>
                <c:formatCode>0</c:formatCode>
                <c:ptCount val="12"/>
                <c:pt idx="0">
                  <c:v>9</c:v>
                </c:pt>
                <c:pt idx="1">
                  <c:v>8</c:v>
                </c:pt>
                <c:pt idx="2">
                  <c:v>10</c:v>
                </c:pt>
                <c:pt idx="3">
                  <c:v>7</c:v>
                </c:pt>
                <c:pt idx="4">
                  <c:v>3</c:v>
                </c:pt>
                <c:pt idx="5">
                  <c:v>8</c:v>
                </c:pt>
                <c:pt idx="6">
                  <c:v>7</c:v>
                </c:pt>
                <c:pt idx="7">
                  <c:v>8</c:v>
                </c:pt>
                <c:pt idx="8">
                  <c:v>8</c:v>
                </c:pt>
                <c:pt idx="9">
                  <c:v>7</c:v>
                </c:pt>
                <c:pt idx="10">
                  <c:v>8</c:v>
                </c:pt>
                <c:pt idx="11">
                  <c:v>9</c:v>
                </c:pt>
              </c:numCache>
            </c:numRef>
          </c:val>
          <c:smooth val="0"/>
          <c:extLst>
            <c:ext xmlns:c16="http://schemas.microsoft.com/office/drawing/2014/chart" uri="{C3380CC4-5D6E-409C-BE32-E72D297353CC}">
              <c16:uniqueId val="{00000000-E219-49F9-9644-FBD5BCCA1005}"/>
            </c:ext>
          </c:extLst>
        </c:ser>
        <c:dLbls>
          <c:dLblPos val="t"/>
          <c:showLegendKey val="0"/>
          <c:showVal val="1"/>
          <c:showCatName val="0"/>
          <c:showSerName val="0"/>
          <c:showPercent val="0"/>
          <c:showBubbleSize val="0"/>
        </c:dLbls>
        <c:smooth val="0"/>
        <c:axId val="1456324656"/>
        <c:axId val="1456327056"/>
      </c:lineChart>
      <c:catAx>
        <c:axId val="1456324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327056"/>
        <c:crosses val="autoZero"/>
        <c:auto val="1"/>
        <c:lblAlgn val="ctr"/>
        <c:lblOffset val="100"/>
        <c:noMultiLvlLbl val="0"/>
      </c:catAx>
      <c:valAx>
        <c:axId val="145632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Rate of No Show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32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Tables!PT18_Division_Sum_Wait_Days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Sum of Wait Days by</a:t>
            </a:r>
            <a:r>
              <a:rPr lang="en-US" b="1" baseline="0">
                <a:solidFill>
                  <a:srgbClr val="0070C0"/>
                </a:solidFill>
              </a:rPr>
              <a:t> Division</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 Pivot Tables'!$B$15</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Tables'!$A$16:$A$24</c:f>
              <c:strCache>
                <c:ptCount val="8"/>
                <c:pt idx="0">
                  <c:v>Dhaka</c:v>
                </c:pt>
                <c:pt idx="1">
                  <c:v>Chattogram</c:v>
                </c:pt>
                <c:pt idx="2">
                  <c:v>Khulna</c:v>
                </c:pt>
                <c:pt idx="3">
                  <c:v>Rajshahi</c:v>
                </c:pt>
                <c:pt idx="4">
                  <c:v>Sylhet</c:v>
                </c:pt>
                <c:pt idx="5">
                  <c:v>Barishal</c:v>
                </c:pt>
                <c:pt idx="6">
                  <c:v>Rangpur</c:v>
                </c:pt>
                <c:pt idx="7">
                  <c:v>Mymensingh</c:v>
                </c:pt>
              </c:strCache>
            </c:strRef>
          </c:cat>
          <c:val>
            <c:numRef>
              <c:f>'Appointment Pivot Tables'!$B$16:$B$24</c:f>
              <c:numCache>
                <c:formatCode>0</c:formatCode>
                <c:ptCount val="8"/>
                <c:pt idx="0">
                  <c:v>282</c:v>
                </c:pt>
                <c:pt idx="1">
                  <c:v>237</c:v>
                </c:pt>
                <c:pt idx="2">
                  <c:v>109</c:v>
                </c:pt>
                <c:pt idx="3">
                  <c:v>100</c:v>
                </c:pt>
                <c:pt idx="4">
                  <c:v>46</c:v>
                </c:pt>
                <c:pt idx="5">
                  <c:v>44</c:v>
                </c:pt>
                <c:pt idx="6">
                  <c:v>23</c:v>
                </c:pt>
                <c:pt idx="7">
                  <c:v>14</c:v>
                </c:pt>
              </c:numCache>
            </c:numRef>
          </c:val>
          <c:extLst>
            <c:ext xmlns:c16="http://schemas.microsoft.com/office/drawing/2014/chart" uri="{C3380CC4-5D6E-409C-BE32-E72D297353CC}">
              <c16:uniqueId val="{00000000-7CB8-40BD-8DB1-535309D87524}"/>
            </c:ext>
          </c:extLst>
        </c:ser>
        <c:dLbls>
          <c:dLblPos val="outEnd"/>
          <c:showLegendKey val="0"/>
          <c:showVal val="1"/>
          <c:showCatName val="0"/>
          <c:showSerName val="0"/>
          <c:showPercent val="0"/>
          <c:showBubbleSize val="0"/>
        </c:dLbls>
        <c:gapWidth val="219"/>
        <c:overlap val="-27"/>
        <c:axId val="412026784"/>
        <c:axId val="412024384"/>
      </c:barChart>
      <c:catAx>
        <c:axId val="41202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Division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24384"/>
        <c:crosses val="autoZero"/>
        <c:auto val="1"/>
        <c:lblAlgn val="ctr"/>
        <c:lblOffset val="100"/>
        <c:noMultiLvlLbl val="0"/>
      </c:catAx>
      <c:valAx>
        <c:axId val="412024384"/>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 of Wait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2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Tables!PT17_Month_Average_Wait_Days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Average of Wait Days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'Appointment Pivot Tables'!$B$27</c:f>
              <c:strCache>
                <c:ptCount val="1"/>
                <c:pt idx="0">
                  <c:v>Total</c:v>
                </c:pt>
              </c:strCache>
            </c:strRef>
          </c:tx>
          <c:spPr>
            <a:ln w="28575" cap="rnd">
              <a:solidFill>
                <a:schemeClr val="accent1"/>
              </a:solidFill>
              <a:round/>
            </a:ln>
            <a:effectLst/>
          </c:spPr>
          <c:marker>
            <c:symbol val="none"/>
          </c:marker>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Tables'!$A$28:$A$40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'Appointment Pivot Tables'!$B$28:$B$40</c:f>
              <c:numCache>
                <c:formatCode>0.00</c:formatCode>
                <c:ptCount val="12"/>
                <c:pt idx="0">
                  <c:v>7.5555555555555554</c:v>
                </c:pt>
                <c:pt idx="1">
                  <c:v>8.625</c:v>
                </c:pt>
                <c:pt idx="2">
                  <c:v>11.8</c:v>
                </c:pt>
                <c:pt idx="3">
                  <c:v>9</c:v>
                </c:pt>
                <c:pt idx="4">
                  <c:v>15.333333333333334</c:v>
                </c:pt>
                <c:pt idx="5">
                  <c:v>10.25</c:v>
                </c:pt>
                <c:pt idx="6">
                  <c:v>10</c:v>
                </c:pt>
                <c:pt idx="7">
                  <c:v>10.625</c:v>
                </c:pt>
                <c:pt idx="8">
                  <c:v>6.625</c:v>
                </c:pt>
                <c:pt idx="9">
                  <c:v>6.8571428571428568</c:v>
                </c:pt>
                <c:pt idx="10">
                  <c:v>10</c:v>
                </c:pt>
                <c:pt idx="11">
                  <c:v>8.1111111111111107</c:v>
                </c:pt>
              </c:numCache>
            </c:numRef>
          </c:val>
          <c:smooth val="0"/>
          <c:extLst>
            <c:ext xmlns:c16="http://schemas.microsoft.com/office/drawing/2014/chart" uri="{C3380CC4-5D6E-409C-BE32-E72D297353CC}">
              <c16:uniqueId val="{00000000-1237-4049-A0C4-7A8D04247728}"/>
            </c:ext>
          </c:extLst>
        </c:ser>
        <c:dLbls>
          <c:dLblPos val="t"/>
          <c:showLegendKey val="0"/>
          <c:showVal val="1"/>
          <c:showCatName val="0"/>
          <c:showSerName val="0"/>
          <c:showPercent val="0"/>
          <c:showBubbleSize val="0"/>
        </c:dLbls>
        <c:smooth val="0"/>
        <c:axId val="838134688"/>
        <c:axId val="838135648"/>
      </c:lineChart>
      <c:catAx>
        <c:axId val="838134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135648"/>
        <c:crosses val="autoZero"/>
        <c:auto val="1"/>
        <c:lblAlgn val="ctr"/>
        <c:lblOffset val="100"/>
        <c:noMultiLvlLbl val="0"/>
      </c:catAx>
      <c:valAx>
        <c:axId val="838135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of Wait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134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Tables!PT21_Month_Sum_Wait_Days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Sum of Wait Days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'Appointment Pivot Tables'!$B$44</c:f>
              <c:strCache>
                <c:ptCount val="1"/>
                <c:pt idx="0">
                  <c:v>Total</c:v>
                </c:pt>
              </c:strCache>
            </c:strRef>
          </c:tx>
          <c:spPr>
            <a:ln w="28575" cap="rnd">
              <a:solidFill>
                <a:schemeClr val="accent1"/>
              </a:solidFill>
              <a:round/>
            </a:ln>
            <a:effectLst/>
          </c:spPr>
          <c:marker>
            <c:symbol val="none"/>
          </c:marker>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Tables'!$A$45:$A$57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'Appointment Pivot Tables'!$B$45:$B$57</c:f>
              <c:numCache>
                <c:formatCode>0</c:formatCode>
                <c:ptCount val="12"/>
                <c:pt idx="0">
                  <c:v>68</c:v>
                </c:pt>
                <c:pt idx="1">
                  <c:v>69</c:v>
                </c:pt>
                <c:pt idx="2">
                  <c:v>118</c:v>
                </c:pt>
                <c:pt idx="3">
                  <c:v>63</c:v>
                </c:pt>
                <c:pt idx="4">
                  <c:v>46</c:v>
                </c:pt>
                <c:pt idx="5">
                  <c:v>82</c:v>
                </c:pt>
                <c:pt idx="6">
                  <c:v>70</c:v>
                </c:pt>
                <c:pt idx="7">
                  <c:v>85</c:v>
                </c:pt>
                <c:pt idx="8">
                  <c:v>53</c:v>
                </c:pt>
                <c:pt idx="9">
                  <c:v>48</c:v>
                </c:pt>
                <c:pt idx="10">
                  <c:v>80</c:v>
                </c:pt>
                <c:pt idx="11">
                  <c:v>73</c:v>
                </c:pt>
              </c:numCache>
            </c:numRef>
          </c:val>
          <c:smooth val="0"/>
          <c:extLst>
            <c:ext xmlns:c16="http://schemas.microsoft.com/office/drawing/2014/chart" uri="{C3380CC4-5D6E-409C-BE32-E72D297353CC}">
              <c16:uniqueId val="{00000000-282F-45B0-A253-DBA0EFBB3E37}"/>
            </c:ext>
          </c:extLst>
        </c:ser>
        <c:dLbls>
          <c:dLblPos val="t"/>
          <c:showLegendKey val="0"/>
          <c:showVal val="1"/>
          <c:showCatName val="0"/>
          <c:showSerName val="0"/>
          <c:showPercent val="0"/>
          <c:showBubbleSize val="0"/>
        </c:dLbls>
        <c:smooth val="0"/>
        <c:axId val="694065184"/>
        <c:axId val="694063264"/>
      </c:lineChart>
      <c:catAx>
        <c:axId val="694065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63264"/>
        <c:crosses val="autoZero"/>
        <c:auto val="1"/>
        <c:lblAlgn val="ctr"/>
        <c:lblOffset val="100"/>
        <c:noMultiLvlLbl val="0"/>
      </c:catAx>
      <c:valAx>
        <c:axId val="694063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 of Wait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06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Tables!PT11_Division_Average_Wait_Days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Average of Wait Days by Division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 Pivot Tables'!$E$8</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Tables'!$D$9:$D$17</c:f>
              <c:strCache>
                <c:ptCount val="8"/>
                <c:pt idx="0">
                  <c:v>Sylhet</c:v>
                </c:pt>
                <c:pt idx="1">
                  <c:v>Rajshahi</c:v>
                </c:pt>
                <c:pt idx="2">
                  <c:v>Dhaka</c:v>
                </c:pt>
                <c:pt idx="3">
                  <c:v>Khulna</c:v>
                </c:pt>
                <c:pt idx="4">
                  <c:v>Barishal</c:v>
                </c:pt>
                <c:pt idx="5">
                  <c:v>Chattogram</c:v>
                </c:pt>
                <c:pt idx="6">
                  <c:v>Rangpur</c:v>
                </c:pt>
                <c:pt idx="7">
                  <c:v>Mymensingh</c:v>
                </c:pt>
              </c:strCache>
            </c:strRef>
          </c:cat>
          <c:val>
            <c:numRef>
              <c:f>'Appointment Pivot Tables'!$E$9:$E$17</c:f>
              <c:numCache>
                <c:formatCode>0.00</c:formatCode>
                <c:ptCount val="8"/>
                <c:pt idx="0">
                  <c:v>11.5</c:v>
                </c:pt>
                <c:pt idx="1">
                  <c:v>11.111111111111111</c:v>
                </c:pt>
                <c:pt idx="2">
                  <c:v>10.071428571428571</c:v>
                </c:pt>
                <c:pt idx="3">
                  <c:v>9.0833333333333339</c:v>
                </c:pt>
                <c:pt idx="4">
                  <c:v>8.8000000000000007</c:v>
                </c:pt>
                <c:pt idx="5">
                  <c:v>8.4642857142857135</c:v>
                </c:pt>
                <c:pt idx="6">
                  <c:v>7.666666666666667</c:v>
                </c:pt>
                <c:pt idx="7">
                  <c:v>4.666666666666667</c:v>
                </c:pt>
              </c:numCache>
            </c:numRef>
          </c:val>
          <c:extLst>
            <c:ext xmlns:c16="http://schemas.microsoft.com/office/drawing/2014/chart" uri="{C3380CC4-5D6E-409C-BE32-E72D297353CC}">
              <c16:uniqueId val="{00000000-778A-49A3-8B93-FE672E8E727B}"/>
            </c:ext>
          </c:extLst>
        </c:ser>
        <c:dLbls>
          <c:dLblPos val="outEnd"/>
          <c:showLegendKey val="0"/>
          <c:showVal val="1"/>
          <c:showCatName val="0"/>
          <c:showSerName val="0"/>
          <c:showPercent val="0"/>
          <c:showBubbleSize val="0"/>
        </c:dLbls>
        <c:gapWidth val="219"/>
        <c:overlap val="-27"/>
        <c:axId val="837274608"/>
        <c:axId val="837273168"/>
      </c:barChart>
      <c:catAx>
        <c:axId val="837274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Division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73168"/>
        <c:crosses val="autoZero"/>
        <c:auto val="1"/>
        <c:lblAlgn val="ctr"/>
        <c:lblOffset val="100"/>
        <c:noMultiLvlLbl val="0"/>
      </c:catAx>
      <c:valAx>
        <c:axId val="837273168"/>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of Wait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27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Tables!PT12_Specialty_Average_Wait_Days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Average of Wait Days by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 Pivot Tables'!$H$8</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Tables'!$G$9:$G$10</c:f>
              <c:strCache>
                <c:ptCount val="1"/>
                <c:pt idx="0">
                  <c:v>Pediatrician</c:v>
                </c:pt>
              </c:strCache>
            </c:strRef>
          </c:cat>
          <c:val>
            <c:numRef>
              <c:f>'Appointment Pivot Tables'!$H$9:$H$10</c:f>
              <c:numCache>
                <c:formatCode>0.00</c:formatCode>
                <c:ptCount val="1"/>
                <c:pt idx="0">
                  <c:v>9.2934782608695645</c:v>
                </c:pt>
              </c:numCache>
            </c:numRef>
          </c:val>
          <c:extLst>
            <c:ext xmlns:c16="http://schemas.microsoft.com/office/drawing/2014/chart" uri="{C3380CC4-5D6E-409C-BE32-E72D297353CC}">
              <c16:uniqueId val="{00000000-F688-4953-B0C0-FE158B534999}"/>
            </c:ext>
          </c:extLst>
        </c:ser>
        <c:dLbls>
          <c:dLblPos val="outEnd"/>
          <c:showLegendKey val="0"/>
          <c:showVal val="1"/>
          <c:showCatName val="0"/>
          <c:showSerName val="0"/>
          <c:showPercent val="0"/>
          <c:showBubbleSize val="0"/>
        </c:dLbls>
        <c:gapWidth val="219"/>
        <c:overlap val="-27"/>
        <c:axId val="308704368"/>
        <c:axId val="277990528"/>
      </c:barChart>
      <c:catAx>
        <c:axId val="308704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Specialty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990528"/>
        <c:crosses val="autoZero"/>
        <c:auto val="1"/>
        <c:lblAlgn val="ctr"/>
        <c:lblOffset val="100"/>
        <c:noMultiLvlLbl val="0"/>
      </c:catAx>
      <c:valAx>
        <c:axId val="277990528"/>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of Wait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70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Tables!PT19_Specialty_Sum_Wait_Days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Sum of Wait Days by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 Pivot Tables'!$E$32</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Tables'!$D$33:$D$34</c:f>
              <c:strCache>
                <c:ptCount val="1"/>
                <c:pt idx="0">
                  <c:v>Pediatrician</c:v>
                </c:pt>
              </c:strCache>
            </c:strRef>
          </c:cat>
          <c:val>
            <c:numRef>
              <c:f>'Appointment Pivot Tables'!$E$33:$E$34</c:f>
              <c:numCache>
                <c:formatCode>0</c:formatCode>
                <c:ptCount val="1"/>
                <c:pt idx="0">
                  <c:v>855</c:v>
                </c:pt>
              </c:numCache>
            </c:numRef>
          </c:val>
          <c:extLst>
            <c:ext xmlns:c16="http://schemas.microsoft.com/office/drawing/2014/chart" uri="{C3380CC4-5D6E-409C-BE32-E72D297353CC}">
              <c16:uniqueId val="{00000000-658F-4101-A72D-BF0D67ECFD47}"/>
            </c:ext>
          </c:extLst>
        </c:ser>
        <c:dLbls>
          <c:dLblPos val="outEnd"/>
          <c:showLegendKey val="0"/>
          <c:showVal val="1"/>
          <c:showCatName val="0"/>
          <c:showSerName val="0"/>
          <c:showPercent val="0"/>
          <c:showBubbleSize val="0"/>
        </c:dLbls>
        <c:gapWidth val="219"/>
        <c:overlap val="-27"/>
        <c:axId val="835787232"/>
        <c:axId val="835786272"/>
      </c:barChart>
      <c:catAx>
        <c:axId val="835787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Specialty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786272"/>
        <c:crosses val="autoZero"/>
        <c:auto val="1"/>
        <c:lblAlgn val="ctr"/>
        <c:lblOffset val="100"/>
        <c:noMultiLvlLbl val="0"/>
      </c:catAx>
      <c:valAx>
        <c:axId val="835786272"/>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 of Wait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78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Tables!PT2_Age_Group_Average_Wait_Days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Average of Wait Days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solidFill>
                <a:schemeClr val="bg2">
                  <a:alpha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solidFill>
                <a:schemeClr val="bg2">
                  <a:alpha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solidFill>
                <a:schemeClr val="bg2">
                  <a:alpha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 Pivot Tables'!$K$8</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solidFill>
                  <a:schemeClr val="bg2">
                    <a:alpha val="8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Tables'!$J$9:$J$13</c:f>
              <c:strCache>
                <c:ptCount val="4"/>
                <c:pt idx="0">
                  <c:v>Middle Age (36-55)</c:v>
                </c:pt>
                <c:pt idx="1">
                  <c:v>Young Adult (18-35)</c:v>
                </c:pt>
                <c:pt idx="2">
                  <c:v>Senior (56+)</c:v>
                </c:pt>
                <c:pt idx="3">
                  <c:v>Child (0-17)</c:v>
                </c:pt>
              </c:strCache>
            </c:strRef>
          </c:cat>
          <c:val>
            <c:numRef>
              <c:f>'Appointment Pivot Tables'!$K$9:$K$13</c:f>
              <c:numCache>
                <c:formatCode>0.00</c:formatCode>
                <c:ptCount val="4"/>
                <c:pt idx="0">
                  <c:v>10.75</c:v>
                </c:pt>
                <c:pt idx="1">
                  <c:v>9.1304347826086953</c:v>
                </c:pt>
                <c:pt idx="2">
                  <c:v>8.7741935483870961</c:v>
                </c:pt>
                <c:pt idx="3">
                  <c:v>8.2142857142857135</c:v>
                </c:pt>
              </c:numCache>
            </c:numRef>
          </c:val>
          <c:extLst>
            <c:ext xmlns:c16="http://schemas.microsoft.com/office/drawing/2014/chart" uri="{C3380CC4-5D6E-409C-BE32-E72D297353CC}">
              <c16:uniqueId val="{00000000-D6CC-41E9-90D1-72BA7C7E6D61}"/>
            </c:ext>
          </c:extLst>
        </c:ser>
        <c:dLbls>
          <c:dLblPos val="outEnd"/>
          <c:showLegendKey val="0"/>
          <c:showVal val="1"/>
          <c:showCatName val="0"/>
          <c:showSerName val="0"/>
          <c:showPercent val="0"/>
          <c:showBubbleSize val="0"/>
        </c:dLbls>
        <c:gapWidth val="219"/>
        <c:overlap val="-27"/>
        <c:axId val="1996315024"/>
        <c:axId val="1996315504"/>
      </c:barChart>
      <c:catAx>
        <c:axId val="1996315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r>
                  <a:rPr lang="en-US" b="1" baseline="0"/>
                  <a:t> Group</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15504"/>
        <c:crosses val="autoZero"/>
        <c:auto val="1"/>
        <c:lblAlgn val="ctr"/>
        <c:lblOffset val="100"/>
        <c:noMultiLvlLbl val="0"/>
      </c:catAx>
      <c:valAx>
        <c:axId val="1996315504"/>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of Wait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1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[appointments.xlsx]Appointment Pivot Tables!PT3_Age_Group_Sum_Wait_Days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Sum of Wait Days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'Appointment Pivot Tables'!$K$16</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'Appointment Pivot Tables'!$J$17:$J$21</c:f>
              <c:strCache>
                <c:ptCount val="4"/>
                <c:pt idx="0">
                  <c:v>Senior (56+)</c:v>
                </c:pt>
                <c:pt idx="1">
                  <c:v>Middle Age (36-55)</c:v>
                </c:pt>
                <c:pt idx="2">
                  <c:v>Young Adult (18-35)</c:v>
                </c:pt>
                <c:pt idx="3">
                  <c:v>Child (0-17)</c:v>
                </c:pt>
              </c:strCache>
            </c:strRef>
          </c:cat>
          <c:val>
            <c:numRef>
              <c:f>'Appointment Pivot Tables'!$K$17:$K$21</c:f>
              <c:numCache>
                <c:formatCode>0</c:formatCode>
                <c:ptCount val="4"/>
                <c:pt idx="0">
                  <c:v>272</c:v>
                </c:pt>
                <c:pt idx="1">
                  <c:v>258</c:v>
                </c:pt>
                <c:pt idx="2">
                  <c:v>210</c:v>
                </c:pt>
                <c:pt idx="3">
                  <c:v>115</c:v>
                </c:pt>
              </c:numCache>
            </c:numRef>
          </c:val>
          <c:extLst>
            <c:ext xmlns:c16="http://schemas.microsoft.com/office/drawing/2014/chart" uri="{C3380CC4-5D6E-409C-BE32-E72D297353CC}">
              <c16:uniqueId val="{00000000-1352-4A4E-A6D7-34D1E1C7DDCE}"/>
            </c:ext>
          </c:extLst>
        </c:ser>
        <c:dLbls>
          <c:dLblPos val="outEnd"/>
          <c:showLegendKey val="0"/>
          <c:showVal val="1"/>
          <c:showCatName val="0"/>
          <c:showSerName val="0"/>
          <c:showPercent val="0"/>
          <c:showBubbleSize val="0"/>
        </c:dLbls>
        <c:gapWidth val="219"/>
        <c:overlap val="-27"/>
        <c:axId val="1996318384"/>
        <c:axId val="1996323664"/>
      </c:barChart>
      <c:catAx>
        <c:axId val="1996318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23664"/>
        <c:crosses val="autoZero"/>
        <c:auto val="1"/>
        <c:lblAlgn val="ctr"/>
        <c:lblOffset val="100"/>
        <c:noMultiLvlLbl val="0"/>
      </c:catAx>
      <c:valAx>
        <c:axId val="1996323664"/>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Sum of Wait Days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631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68580</xdr:rowOff>
    </xdr:from>
    <xdr:to>
      <xdr:col>23</xdr:col>
      <xdr:colOff>114300</xdr:colOff>
      <xdr:row>66</xdr:row>
      <xdr:rowOff>99060</xdr:rowOff>
    </xdr:to>
    <xdr:sp macro="" textlink="">
      <xdr:nvSpPr>
        <xdr:cNvPr id="2" name="Rectangle: Rounded Corners 1">
          <a:extLst>
            <a:ext uri="{FF2B5EF4-FFF2-40B4-BE49-F238E27FC236}">
              <a16:creationId xmlns:a16="http://schemas.microsoft.com/office/drawing/2014/main" id="{96603C19-F8B1-4C9A-BEFA-291FF5A6B5EA}"/>
            </a:ext>
          </a:extLst>
        </xdr:cNvPr>
        <xdr:cNvSpPr/>
      </xdr:nvSpPr>
      <xdr:spPr>
        <a:xfrm>
          <a:off x="99060" y="68580"/>
          <a:ext cx="14036040" cy="12100560"/>
        </a:xfrm>
        <a:prstGeom prst="roundRect">
          <a:avLst>
            <a:gd name="adj" fmla="val 397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3</xdr:row>
      <xdr:rowOff>45720</xdr:rowOff>
    </xdr:from>
    <xdr:to>
      <xdr:col>23</xdr:col>
      <xdr:colOff>15240</xdr:colOff>
      <xdr:row>65</xdr:row>
      <xdr:rowOff>176488</xdr:rowOff>
    </xdr:to>
    <xdr:sp macro="" textlink="">
      <xdr:nvSpPr>
        <xdr:cNvPr id="3" name="Rectangle: Rounded Corners 2">
          <a:extLst>
            <a:ext uri="{FF2B5EF4-FFF2-40B4-BE49-F238E27FC236}">
              <a16:creationId xmlns:a16="http://schemas.microsoft.com/office/drawing/2014/main" id="{7003FC86-C874-4165-82E2-64764CB0FBC8}"/>
            </a:ext>
          </a:extLst>
        </xdr:cNvPr>
        <xdr:cNvSpPr/>
      </xdr:nvSpPr>
      <xdr:spPr>
        <a:xfrm>
          <a:off x="228600" y="594360"/>
          <a:ext cx="13807440" cy="11469328"/>
        </a:xfrm>
        <a:prstGeom prst="roundRect">
          <a:avLst>
            <a:gd name="adj" fmla="val 2420"/>
          </a:avLst>
        </a:prstGeom>
        <a:solidFill>
          <a:schemeClr val="accent1">
            <a:lumMod val="40000"/>
            <a:lumOff val="60000"/>
          </a:schemeClr>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472440</xdr:colOff>
      <xdr:row>12</xdr:row>
      <xdr:rowOff>152400</xdr:rowOff>
    </xdr:from>
    <xdr:to>
      <xdr:col>9</xdr:col>
      <xdr:colOff>9144</xdr:colOff>
      <xdr:row>17</xdr:row>
      <xdr:rowOff>152400</xdr:rowOff>
    </xdr:to>
    <xdr:sp macro="" textlink="">
      <xdr:nvSpPr>
        <xdr:cNvPr id="4" name="Rectangle: Rounded Corners 3">
          <a:extLst>
            <a:ext uri="{FF2B5EF4-FFF2-40B4-BE49-F238E27FC236}">
              <a16:creationId xmlns:a16="http://schemas.microsoft.com/office/drawing/2014/main" id="{F373AD91-743A-4F87-A832-95AC5F29F5B8}"/>
            </a:ext>
          </a:extLst>
        </xdr:cNvPr>
        <xdr:cNvSpPr/>
      </xdr:nvSpPr>
      <xdr:spPr>
        <a:xfrm>
          <a:off x="3520440" y="234696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339852</xdr:colOff>
      <xdr:row>12</xdr:row>
      <xdr:rowOff>152400</xdr:rowOff>
    </xdr:from>
    <xdr:to>
      <xdr:col>20</xdr:col>
      <xdr:colOff>486156</xdr:colOff>
      <xdr:row>17</xdr:row>
      <xdr:rowOff>152400</xdr:rowOff>
    </xdr:to>
    <xdr:sp macro="" textlink="">
      <xdr:nvSpPr>
        <xdr:cNvPr id="5" name="Rectangle: Rounded Corners 4">
          <a:extLst>
            <a:ext uri="{FF2B5EF4-FFF2-40B4-BE49-F238E27FC236}">
              <a16:creationId xmlns:a16="http://schemas.microsoft.com/office/drawing/2014/main" id="{41635D5A-4AD2-4310-8987-E1E2D2A02DF4}"/>
            </a:ext>
          </a:extLst>
        </xdr:cNvPr>
        <xdr:cNvSpPr/>
      </xdr:nvSpPr>
      <xdr:spPr>
        <a:xfrm>
          <a:off x="10703052" y="234696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251460</xdr:colOff>
      <xdr:row>3</xdr:row>
      <xdr:rowOff>137160</xdr:rowOff>
    </xdr:from>
    <xdr:to>
      <xdr:col>22</xdr:col>
      <xdr:colOff>563880</xdr:colOff>
      <xdr:row>11</xdr:row>
      <xdr:rowOff>152400</xdr:rowOff>
    </xdr:to>
    <xdr:sp macro="" textlink="">
      <xdr:nvSpPr>
        <xdr:cNvPr id="8" name="Rectangle: Rounded Corners 7">
          <a:extLst>
            <a:ext uri="{FF2B5EF4-FFF2-40B4-BE49-F238E27FC236}">
              <a16:creationId xmlns:a16="http://schemas.microsoft.com/office/drawing/2014/main" id="{B0E26C78-DBCD-4430-AD18-BDD5298E6163}"/>
            </a:ext>
          </a:extLst>
        </xdr:cNvPr>
        <xdr:cNvSpPr/>
      </xdr:nvSpPr>
      <xdr:spPr>
        <a:xfrm>
          <a:off x="2080260" y="685800"/>
          <a:ext cx="11894820" cy="1478280"/>
        </a:xfrm>
        <a:prstGeom prst="roundRect">
          <a:avLst>
            <a:gd name="adj" fmla="val 6873"/>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312420</xdr:colOff>
      <xdr:row>3</xdr:row>
      <xdr:rowOff>129540</xdr:rowOff>
    </xdr:from>
    <xdr:to>
      <xdr:col>3</xdr:col>
      <xdr:colOff>167640</xdr:colOff>
      <xdr:row>42</xdr:row>
      <xdr:rowOff>152400</xdr:rowOff>
    </xdr:to>
    <xdr:sp macro="" textlink="">
      <xdr:nvSpPr>
        <xdr:cNvPr id="9" name="Rectangle: Rounded Corners 8">
          <a:extLst>
            <a:ext uri="{FF2B5EF4-FFF2-40B4-BE49-F238E27FC236}">
              <a16:creationId xmlns:a16="http://schemas.microsoft.com/office/drawing/2014/main" id="{8D3A2DE0-B8BA-4356-A30A-2C818C390126}"/>
            </a:ext>
          </a:extLst>
        </xdr:cNvPr>
        <xdr:cNvSpPr/>
      </xdr:nvSpPr>
      <xdr:spPr>
        <a:xfrm rot="16200000">
          <a:off x="-2423160" y="3413760"/>
          <a:ext cx="7155180" cy="1684020"/>
        </a:xfrm>
        <a:prstGeom prst="roundRect">
          <a:avLst>
            <a:gd name="adj" fmla="val 5556"/>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83820</xdr:colOff>
      <xdr:row>0</xdr:row>
      <xdr:rowOff>137160</xdr:rowOff>
    </xdr:from>
    <xdr:to>
      <xdr:col>16</xdr:col>
      <xdr:colOff>236220</xdr:colOff>
      <xdr:row>2</xdr:row>
      <xdr:rowOff>121920</xdr:rowOff>
    </xdr:to>
    <xdr:sp macro="" textlink="">
      <xdr:nvSpPr>
        <xdr:cNvPr id="30" name="TextBox 29">
          <a:extLst>
            <a:ext uri="{FF2B5EF4-FFF2-40B4-BE49-F238E27FC236}">
              <a16:creationId xmlns:a16="http://schemas.microsoft.com/office/drawing/2014/main" id="{5071AFAA-3A1E-47C8-9C8E-E01F4AC62C30}"/>
            </a:ext>
          </a:extLst>
        </xdr:cNvPr>
        <xdr:cNvSpPr txBox="1"/>
      </xdr:nvSpPr>
      <xdr:spPr>
        <a:xfrm>
          <a:off x="4351020" y="137160"/>
          <a:ext cx="56388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baseline="0">
              <a:solidFill>
                <a:schemeClr val="bg1"/>
              </a:solidFill>
            </a:rPr>
            <a:t>Appointment No Show Analysis Dashboard</a:t>
          </a:r>
          <a:endParaRPr lang="en-US" sz="2400" b="1">
            <a:solidFill>
              <a:schemeClr val="bg1"/>
            </a:solidFill>
          </a:endParaRPr>
        </a:p>
      </xdr:txBody>
    </xdr:sp>
    <xdr:clientData/>
  </xdr:twoCellAnchor>
  <xdr:twoCellAnchor editAs="oneCell">
    <xdr:from>
      <xdr:col>0</xdr:col>
      <xdr:colOff>360680</xdr:colOff>
      <xdr:row>37</xdr:row>
      <xdr:rowOff>68581</xdr:rowOff>
    </xdr:from>
    <xdr:to>
      <xdr:col>3</xdr:col>
      <xdr:colOff>101600</xdr:colOff>
      <xdr:row>42</xdr:row>
      <xdr:rowOff>60961</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DA7260A9-6EE3-4D2B-A1A6-8FED406436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0680" y="6835141"/>
              <a:ext cx="156972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369146</xdr:colOff>
      <xdr:row>4</xdr:row>
      <xdr:rowOff>15240</xdr:rowOff>
    </xdr:from>
    <xdr:to>
      <xdr:col>3</xdr:col>
      <xdr:colOff>110066</xdr:colOff>
      <xdr:row>17</xdr:row>
      <xdr:rowOff>160020</xdr:rowOff>
    </xdr:to>
    <mc:AlternateContent xmlns:mc="http://schemas.openxmlformats.org/markup-compatibility/2006" xmlns:a14="http://schemas.microsoft.com/office/drawing/2010/main">
      <mc:Choice Requires="a14">
        <xdr:graphicFrame macro="">
          <xdr:nvGraphicFramePr>
            <xdr:cNvPr id="11" name="Division">
              <a:extLst>
                <a:ext uri="{FF2B5EF4-FFF2-40B4-BE49-F238E27FC236}">
                  <a16:creationId xmlns:a16="http://schemas.microsoft.com/office/drawing/2014/main" id="{F516B442-0F46-44ED-B32C-5123484B9D20}"/>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369146" y="746760"/>
              <a:ext cx="1569720" cy="2522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357293</xdr:colOff>
      <xdr:row>18</xdr:row>
      <xdr:rowOff>22860</xdr:rowOff>
    </xdr:from>
    <xdr:to>
      <xdr:col>3</xdr:col>
      <xdr:colOff>113453</xdr:colOff>
      <xdr:row>28</xdr:row>
      <xdr:rowOff>144780</xdr:rowOff>
    </xdr:to>
    <mc:AlternateContent xmlns:mc="http://schemas.openxmlformats.org/markup-compatibility/2006" xmlns:a14="http://schemas.microsoft.com/office/drawing/2010/main">
      <mc:Choice Requires="a14">
        <xdr:graphicFrame macro="">
          <xdr:nvGraphicFramePr>
            <xdr:cNvPr id="12" name="Doctor Specialty">
              <a:extLst>
                <a:ext uri="{FF2B5EF4-FFF2-40B4-BE49-F238E27FC236}">
                  <a16:creationId xmlns:a16="http://schemas.microsoft.com/office/drawing/2014/main" id="{2ABB2BB6-89AD-49C3-B3DB-81277B452ABE}"/>
                </a:ext>
              </a:extLst>
            </xdr:cNvPr>
            <xdr:cNvGraphicFramePr/>
          </xdr:nvGraphicFramePr>
          <xdr:xfrm>
            <a:off x="0" y="0"/>
            <a:ext cx="0" cy="0"/>
          </xdr:xfrm>
          <a:graphic>
            <a:graphicData uri="http://schemas.microsoft.com/office/drawing/2010/slicer">
              <sle:slicer xmlns:sle="http://schemas.microsoft.com/office/drawing/2010/slicer" name="Doctor Specialty"/>
            </a:graphicData>
          </a:graphic>
        </xdr:graphicFrame>
      </mc:Choice>
      <mc:Fallback xmlns="">
        <xdr:sp macro="" textlink="">
          <xdr:nvSpPr>
            <xdr:cNvPr id="0" name=""/>
            <xdr:cNvSpPr>
              <a:spLocks noTextEdit="1"/>
            </xdr:cNvSpPr>
          </xdr:nvSpPr>
          <xdr:spPr>
            <a:xfrm>
              <a:off x="357293" y="3314700"/>
              <a:ext cx="1584960" cy="1950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365760</xdr:colOff>
      <xdr:row>29</xdr:row>
      <xdr:rowOff>7620</xdr:rowOff>
    </xdr:from>
    <xdr:to>
      <xdr:col>3</xdr:col>
      <xdr:colOff>121920</xdr:colOff>
      <xdr:row>37</xdr:row>
      <xdr:rowOff>22860</xdr:rowOff>
    </xdr:to>
    <mc:AlternateContent xmlns:mc="http://schemas.openxmlformats.org/markup-compatibility/2006" xmlns:a14="http://schemas.microsoft.com/office/drawing/2010/main">
      <mc:Choice Requires="a14">
        <xdr:graphicFrame macro="">
          <xdr:nvGraphicFramePr>
            <xdr:cNvPr id="13" name="Age Group">
              <a:extLst>
                <a:ext uri="{FF2B5EF4-FFF2-40B4-BE49-F238E27FC236}">
                  <a16:creationId xmlns:a16="http://schemas.microsoft.com/office/drawing/2014/main" id="{B4AF9ABB-3E99-489E-8BAF-AEC6ECBFFAA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365760" y="5311140"/>
              <a:ext cx="158496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304800</xdr:colOff>
      <xdr:row>4</xdr:row>
      <xdr:rowOff>7620</xdr:rowOff>
    </xdr:from>
    <xdr:to>
      <xdr:col>6</xdr:col>
      <xdr:colOff>480060</xdr:colOff>
      <xdr:row>11</xdr:row>
      <xdr:rowOff>99060</xdr:rowOff>
    </xdr:to>
    <mc:AlternateContent xmlns:mc="http://schemas.openxmlformats.org/markup-compatibility/2006" xmlns:tsle="http://schemas.microsoft.com/office/drawing/2012/timeslicer">
      <mc:Choice Requires="tsle">
        <xdr:graphicFrame macro="">
          <xdr:nvGraphicFramePr>
            <xdr:cNvPr id="14" name="Appointment Date">
              <a:extLst>
                <a:ext uri="{FF2B5EF4-FFF2-40B4-BE49-F238E27FC236}">
                  <a16:creationId xmlns:a16="http://schemas.microsoft.com/office/drawing/2014/main" id="{397E9959-A745-41DC-AA6A-8CA8E2B2EF0B}"/>
                </a:ext>
              </a:extLst>
            </xdr:cNvPr>
            <xdr:cNvGraphicFramePr/>
          </xdr:nvGraphicFramePr>
          <xdr:xfrm>
            <a:off x="0" y="0"/>
            <a:ext cx="0" cy="0"/>
          </xdr:xfrm>
          <a:graphic>
            <a:graphicData uri="http://schemas.microsoft.com/office/drawing/2012/timeslicer">
              <tsle:timeslicer name="Appointment Date"/>
            </a:graphicData>
          </a:graphic>
        </xdr:graphicFrame>
      </mc:Choice>
      <mc:Fallback xmlns="">
        <xdr:sp macro="" textlink="">
          <xdr:nvSpPr>
            <xdr:cNvPr id="0" name=""/>
            <xdr:cNvSpPr>
              <a:spLocks noTextEdit="1"/>
            </xdr:cNvSpPr>
          </xdr:nvSpPr>
          <xdr:spPr>
            <a:xfrm>
              <a:off x="2133600" y="739140"/>
              <a:ext cx="20040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548640</xdr:colOff>
      <xdr:row>4</xdr:row>
      <xdr:rowOff>7620</xdr:rowOff>
    </xdr:from>
    <xdr:to>
      <xdr:col>11</xdr:col>
      <xdr:colOff>320040</xdr:colOff>
      <xdr:row>11</xdr:row>
      <xdr:rowOff>99060</xdr:rowOff>
    </xdr:to>
    <mc:AlternateContent xmlns:mc="http://schemas.openxmlformats.org/markup-compatibility/2006" xmlns:tsle="http://schemas.microsoft.com/office/drawing/2012/timeslicer">
      <mc:Choice Requires="tsle">
        <xdr:graphicFrame macro="">
          <xdr:nvGraphicFramePr>
            <xdr:cNvPr id="15" name="Appointment Date 1">
              <a:extLst>
                <a:ext uri="{FF2B5EF4-FFF2-40B4-BE49-F238E27FC236}">
                  <a16:creationId xmlns:a16="http://schemas.microsoft.com/office/drawing/2014/main" id="{1443D350-9E90-42FB-9C9A-05A51085ACB0}"/>
                </a:ext>
              </a:extLst>
            </xdr:cNvPr>
            <xdr:cNvGraphicFramePr/>
          </xdr:nvGraphicFramePr>
          <xdr:xfrm>
            <a:off x="0" y="0"/>
            <a:ext cx="0" cy="0"/>
          </xdr:xfrm>
          <a:graphic>
            <a:graphicData uri="http://schemas.microsoft.com/office/drawing/2012/timeslicer">
              <tsle:timeslicer name="Appointment Date 1"/>
            </a:graphicData>
          </a:graphic>
        </xdr:graphicFrame>
      </mc:Choice>
      <mc:Fallback xmlns="">
        <xdr:sp macro="" textlink="">
          <xdr:nvSpPr>
            <xdr:cNvPr id="0" name=""/>
            <xdr:cNvSpPr>
              <a:spLocks noTextEdit="1"/>
            </xdr:cNvSpPr>
          </xdr:nvSpPr>
          <xdr:spPr>
            <a:xfrm>
              <a:off x="4206240" y="739140"/>
              <a:ext cx="28194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388620</xdr:colOff>
      <xdr:row>4</xdr:row>
      <xdr:rowOff>7620</xdr:rowOff>
    </xdr:from>
    <xdr:to>
      <xdr:col>17</xdr:col>
      <xdr:colOff>68580</xdr:colOff>
      <xdr:row>11</xdr:row>
      <xdr:rowOff>99060</xdr:rowOff>
    </xdr:to>
    <mc:AlternateContent xmlns:mc="http://schemas.openxmlformats.org/markup-compatibility/2006" xmlns:tsle="http://schemas.microsoft.com/office/drawing/2012/timeslicer">
      <mc:Choice Requires="tsle">
        <xdr:graphicFrame macro="">
          <xdr:nvGraphicFramePr>
            <xdr:cNvPr id="16" name="Appointment Date 2">
              <a:extLst>
                <a:ext uri="{FF2B5EF4-FFF2-40B4-BE49-F238E27FC236}">
                  <a16:creationId xmlns:a16="http://schemas.microsoft.com/office/drawing/2014/main" id="{48A94E66-8293-4590-89A7-486F74750DA4}"/>
                </a:ext>
              </a:extLst>
            </xdr:cNvPr>
            <xdr:cNvGraphicFramePr/>
          </xdr:nvGraphicFramePr>
          <xdr:xfrm>
            <a:off x="0" y="0"/>
            <a:ext cx="0" cy="0"/>
          </xdr:xfrm>
          <a:graphic>
            <a:graphicData uri="http://schemas.microsoft.com/office/drawing/2012/timeslicer">
              <tsle:timeslicer name="Appointment Date 2"/>
            </a:graphicData>
          </a:graphic>
        </xdr:graphicFrame>
      </mc:Choice>
      <mc:Fallback xmlns="">
        <xdr:sp macro="" textlink="">
          <xdr:nvSpPr>
            <xdr:cNvPr id="0" name=""/>
            <xdr:cNvSpPr>
              <a:spLocks noTextEdit="1"/>
            </xdr:cNvSpPr>
          </xdr:nvSpPr>
          <xdr:spPr>
            <a:xfrm>
              <a:off x="7094220" y="7391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121920</xdr:colOff>
      <xdr:row>4</xdr:row>
      <xdr:rowOff>7620</xdr:rowOff>
    </xdr:from>
    <xdr:to>
      <xdr:col>22</xdr:col>
      <xdr:colOff>502920</xdr:colOff>
      <xdr:row>11</xdr:row>
      <xdr:rowOff>99060</xdr:rowOff>
    </xdr:to>
    <mc:AlternateContent xmlns:mc="http://schemas.openxmlformats.org/markup-compatibility/2006" xmlns:tsle="http://schemas.microsoft.com/office/drawing/2012/timeslicer">
      <mc:Choice Requires="tsle">
        <xdr:graphicFrame macro="">
          <xdr:nvGraphicFramePr>
            <xdr:cNvPr id="17" name="Appointment Date 3">
              <a:extLst>
                <a:ext uri="{FF2B5EF4-FFF2-40B4-BE49-F238E27FC236}">
                  <a16:creationId xmlns:a16="http://schemas.microsoft.com/office/drawing/2014/main" id="{A5D31AAA-57ED-4A6D-B455-C6E2F981FE37}"/>
                </a:ext>
              </a:extLst>
            </xdr:cNvPr>
            <xdr:cNvGraphicFramePr/>
          </xdr:nvGraphicFramePr>
          <xdr:xfrm>
            <a:off x="0" y="0"/>
            <a:ext cx="0" cy="0"/>
          </xdr:xfrm>
          <a:graphic>
            <a:graphicData uri="http://schemas.microsoft.com/office/drawing/2012/timeslicer">
              <tsle:timeslicer name="Appointment Date 3"/>
            </a:graphicData>
          </a:graphic>
        </xdr:graphicFrame>
      </mc:Choice>
      <mc:Fallback xmlns="">
        <xdr:sp macro="" textlink="">
          <xdr:nvSpPr>
            <xdr:cNvPr id="0" name=""/>
            <xdr:cNvSpPr>
              <a:spLocks noTextEdit="1"/>
            </xdr:cNvSpPr>
          </xdr:nvSpPr>
          <xdr:spPr>
            <a:xfrm>
              <a:off x="10485120" y="7391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406146</xdr:colOff>
      <xdr:row>12</xdr:row>
      <xdr:rowOff>152400</xdr:rowOff>
    </xdr:from>
    <xdr:to>
      <xdr:col>14</xdr:col>
      <xdr:colOff>552450</xdr:colOff>
      <xdr:row>17</xdr:row>
      <xdr:rowOff>152400</xdr:rowOff>
    </xdr:to>
    <xdr:sp macro="" textlink="">
      <xdr:nvSpPr>
        <xdr:cNvPr id="20" name="Rectangle: Rounded Corners 19">
          <a:extLst>
            <a:ext uri="{FF2B5EF4-FFF2-40B4-BE49-F238E27FC236}">
              <a16:creationId xmlns:a16="http://schemas.microsoft.com/office/drawing/2014/main" id="{147D187B-719F-A197-650E-AF87BA32C702}"/>
            </a:ext>
          </a:extLst>
        </xdr:cNvPr>
        <xdr:cNvSpPr/>
      </xdr:nvSpPr>
      <xdr:spPr>
        <a:xfrm>
          <a:off x="7111746" y="234696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563880</xdr:colOff>
      <xdr:row>13</xdr:row>
      <xdr:rowOff>91440</xdr:rowOff>
    </xdr:from>
    <xdr:to>
      <xdr:col>8</xdr:col>
      <xdr:colOff>548640</xdr:colOff>
      <xdr:row>16</xdr:row>
      <xdr:rowOff>175260</xdr:rowOff>
    </xdr:to>
    <xdr:grpSp>
      <xdr:nvGrpSpPr>
        <xdr:cNvPr id="29" name="Group 28">
          <a:extLst>
            <a:ext uri="{FF2B5EF4-FFF2-40B4-BE49-F238E27FC236}">
              <a16:creationId xmlns:a16="http://schemas.microsoft.com/office/drawing/2014/main" id="{95BDAAC9-A2A1-F079-014E-20D34327A597}"/>
            </a:ext>
          </a:extLst>
        </xdr:cNvPr>
        <xdr:cNvGrpSpPr/>
      </xdr:nvGrpSpPr>
      <xdr:grpSpPr>
        <a:xfrm>
          <a:off x="3611880" y="2468880"/>
          <a:ext cx="1813560" cy="632460"/>
          <a:chOff x="3596640" y="2468880"/>
          <a:chExt cx="1813560" cy="632460"/>
        </a:xfrm>
      </xdr:grpSpPr>
      <xdr:sp macro="" textlink="">
        <xdr:nvSpPr>
          <xdr:cNvPr id="27" name="TextBox 26">
            <a:extLst>
              <a:ext uri="{FF2B5EF4-FFF2-40B4-BE49-F238E27FC236}">
                <a16:creationId xmlns:a16="http://schemas.microsoft.com/office/drawing/2014/main" id="{3091610B-87FA-2671-4E77-91CB77816F08}"/>
              </a:ext>
            </a:extLst>
          </xdr:cNvPr>
          <xdr:cNvSpPr txBox="1"/>
        </xdr:nvSpPr>
        <xdr:spPr>
          <a:xfrm>
            <a:off x="3596640" y="246888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0070C0"/>
                </a:solidFill>
              </a:rPr>
              <a:t>Total</a:t>
            </a:r>
            <a:r>
              <a:rPr lang="en-US" sz="1600" b="1" baseline="0">
                <a:solidFill>
                  <a:srgbClr val="0070C0"/>
                </a:solidFill>
              </a:rPr>
              <a:t> Appointment</a:t>
            </a:r>
            <a:endParaRPr lang="en-US" sz="1600" b="1">
              <a:solidFill>
                <a:srgbClr val="0070C0"/>
              </a:solidFill>
            </a:endParaRPr>
          </a:p>
        </xdr:txBody>
      </xdr:sp>
      <xdr:sp macro="" textlink="'Appointment Pivot Tables'!$A$4">
        <xdr:nvSpPr>
          <xdr:cNvPr id="28" name="TextBox 27">
            <a:extLst>
              <a:ext uri="{FF2B5EF4-FFF2-40B4-BE49-F238E27FC236}">
                <a16:creationId xmlns:a16="http://schemas.microsoft.com/office/drawing/2014/main" id="{A60D4FD6-C08F-9579-6742-93FE2A18EFC9}"/>
              </a:ext>
            </a:extLst>
          </xdr:cNvPr>
          <xdr:cNvSpPr txBox="1"/>
        </xdr:nvSpPr>
        <xdr:spPr>
          <a:xfrm>
            <a:off x="3596640" y="280416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0E07DA-357A-4E05-AAE5-6C0D3FE92314}" type="TxLink">
              <a:rPr lang="en-US" sz="2000" b="1" i="0" u="none" strike="noStrike">
                <a:solidFill>
                  <a:srgbClr val="0070C0"/>
                </a:solidFill>
                <a:latin typeface="Calibri"/>
                <a:ea typeface="Calibri"/>
                <a:cs typeface="Calibri"/>
              </a:rPr>
              <a:pPr algn="ctr"/>
              <a:t>92</a:t>
            </a:fld>
            <a:endParaRPr lang="en-US" sz="2000" b="1">
              <a:solidFill>
                <a:srgbClr val="0070C0"/>
              </a:solidFill>
            </a:endParaRPr>
          </a:p>
        </xdr:txBody>
      </xdr:sp>
    </xdr:grpSp>
    <xdr:clientData/>
  </xdr:twoCellAnchor>
  <xdr:twoCellAnchor>
    <xdr:from>
      <xdr:col>11</xdr:col>
      <xdr:colOff>495300</xdr:colOff>
      <xdr:row>13</xdr:row>
      <xdr:rowOff>106680</xdr:rowOff>
    </xdr:from>
    <xdr:to>
      <xdr:col>14</xdr:col>
      <xdr:colOff>480060</xdr:colOff>
      <xdr:row>17</xdr:row>
      <xdr:rowOff>7620</xdr:rowOff>
    </xdr:to>
    <xdr:grpSp>
      <xdr:nvGrpSpPr>
        <xdr:cNvPr id="31" name="Group 30">
          <a:extLst>
            <a:ext uri="{FF2B5EF4-FFF2-40B4-BE49-F238E27FC236}">
              <a16:creationId xmlns:a16="http://schemas.microsoft.com/office/drawing/2014/main" id="{8E2ED101-9A34-08E0-F387-86F3F5E156E3}"/>
            </a:ext>
          </a:extLst>
        </xdr:cNvPr>
        <xdr:cNvGrpSpPr/>
      </xdr:nvGrpSpPr>
      <xdr:grpSpPr>
        <a:xfrm>
          <a:off x="7200900" y="2484120"/>
          <a:ext cx="1813560" cy="632460"/>
          <a:chOff x="3596640" y="2468880"/>
          <a:chExt cx="1813560" cy="632460"/>
        </a:xfrm>
      </xdr:grpSpPr>
      <xdr:sp macro="" textlink="">
        <xdr:nvSpPr>
          <xdr:cNvPr id="32" name="TextBox 31">
            <a:extLst>
              <a:ext uri="{FF2B5EF4-FFF2-40B4-BE49-F238E27FC236}">
                <a16:creationId xmlns:a16="http://schemas.microsoft.com/office/drawing/2014/main" id="{7687578E-3284-B67D-EC51-7E7C2042022F}"/>
              </a:ext>
            </a:extLst>
          </xdr:cNvPr>
          <xdr:cNvSpPr txBox="1"/>
        </xdr:nvSpPr>
        <xdr:spPr>
          <a:xfrm>
            <a:off x="3596640" y="246888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0070C0"/>
                </a:solidFill>
              </a:rPr>
              <a:t>Total No</a:t>
            </a:r>
            <a:r>
              <a:rPr lang="en-US" sz="1600" b="1" baseline="0">
                <a:solidFill>
                  <a:srgbClr val="0070C0"/>
                </a:solidFill>
              </a:rPr>
              <a:t> </a:t>
            </a:r>
            <a:r>
              <a:rPr lang="en-US" sz="1600" b="1">
                <a:solidFill>
                  <a:srgbClr val="0070C0"/>
                </a:solidFill>
              </a:rPr>
              <a:t>Shows</a:t>
            </a:r>
          </a:p>
        </xdr:txBody>
      </xdr:sp>
      <xdr:sp macro="" textlink="'Appointment Pivot Tables'!$C$4">
        <xdr:nvSpPr>
          <xdr:cNvPr id="33" name="TextBox 32">
            <a:extLst>
              <a:ext uri="{FF2B5EF4-FFF2-40B4-BE49-F238E27FC236}">
                <a16:creationId xmlns:a16="http://schemas.microsoft.com/office/drawing/2014/main" id="{29BC0349-3946-8F7B-FAA3-026FE6CB04F5}"/>
              </a:ext>
            </a:extLst>
          </xdr:cNvPr>
          <xdr:cNvSpPr txBox="1"/>
        </xdr:nvSpPr>
        <xdr:spPr>
          <a:xfrm>
            <a:off x="3596640" y="280416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E5195D-3439-44FC-8EAB-2787169C1150}" type="TxLink">
              <a:rPr lang="en-US" sz="2000" b="1" i="0" u="none" strike="noStrike">
                <a:solidFill>
                  <a:srgbClr val="0070C0"/>
                </a:solidFill>
                <a:latin typeface="Calibri"/>
                <a:ea typeface="Calibri"/>
                <a:cs typeface="Calibri"/>
              </a:rPr>
              <a:pPr algn="ctr"/>
              <a:t>14</a:t>
            </a:fld>
            <a:endParaRPr lang="en-US" sz="2000" b="1">
              <a:solidFill>
                <a:srgbClr val="0070C0"/>
              </a:solidFill>
            </a:endParaRPr>
          </a:p>
        </xdr:txBody>
      </xdr:sp>
    </xdr:grpSp>
    <xdr:clientData/>
  </xdr:twoCellAnchor>
  <xdr:twoCellAnchor>
    <xdr:from>
      <xdr:col>17</xdr:col>
      <xdr:colOff>373380</xdr:colOff>
      <xdr:row>13</xdr:row>
      <xdr:rowOff>91440</xdr:rowOff>
    </xdr:from>
    <xdr:to>
      <xdr:col>20</xdr:col>
      <xdr:colOff>525780</xdr:colOff>
      <xdr:row>16</xdr:row>
      <xdr:rowOff>167640</xdr:rowOff>
    </xdr:to>
    <xdr:grpSp>
      <xdr:nvGrpSpPr>
        <xdr:cNvPr id="34" name="Group 33">
          <a:extLst>
            <a:ext uri="{FF2B5EF4-FFF2-40B4-BE49-F238E27FC236}">
              <a16:creationId xmlns:a16="http://schemas.microsoft.com/office/drawing/2014/main" id="{A7E701C3-8CB6-D60A-5387-70C47A5B9F5B}"/>
            </a:ext>
          </a:extLst>
        </xdr:cNvPr>
        <xdr:cNvGrpSpPr/>
      </xdr:nvGrpSpPr>
      <xdr:grpSpPr>
        <a:xfrm>
          <a:off x="10736580" y="2468880"/>
          <a:ext cx="1981200" cy="624840"/>
          <a:chOff x="3543300" y="2453640"/>
          <a:chExt cx="1981200" cy="624840"/>
        </a:xfrm>
      </xdr:grpSpPr>
      <xdr:sp macro="" textlink="">
        <xdr:nvSpPr>
          <xdr:cNvPr id="35" name="TextBox 34">
            <a:extLst>
              <a:ext uri="{FF2B5EF4-FFF2-40B4-BE49-F238E27FC236}">
                <a16:creationId xmlns:a16="http://schemas.microsoft.com/office/drawing/2014/main" id="{4051114A-BD38-A184-DD10-CD30C6EAB206}"/>
              </a:ext>
            </a:extLst>
          </xdr:cNvPr>
          <xdr:cNvSpPr txBox="1"/>
        </xdr:nvSpPr>
        <xdr:spPr>
          <a:xfrm>
            <a:off x="3543300" y="2453640"/>
            <a:ext cx="19812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0070C0"/>
                </a:solidFill>
              </a:rPr>
              <a:t>No</a:t>
            </a:r>
            <a:r>
              <a:rPr lang="en-US" sz="1600" b="1" baseline="0">
                <a:solidFill>
                  <a:srgbClr val="0070C0"/>
                </a:solidFill>
              </a:rPr>
              <a:t> </a:t>
            </a:r>
            <a:r>
              <a:rPr lang="en-US" sz="1600" b="1">
                <a:solidFill>
                  <a:srgbClr val="0070C0"/>
                </a:solidFill>
              </a:rPr>
              <a:t>Show Percentage</a:t>
            </a:r>
          </a:p>
        </xdr:txBody>
      </xdr:sp>
      <xdr:sp macro="" textlink="'Appointment Pivot Tables'!$F$4">
        <xdr:nvSpPr>
          <xdr:cNvPr id="36" name="TextBox 35">
            <a:extLst>
              <a:ext uri="{FF2B5EF4-FFF2-40B4-BE49-F238E27FC236}">
                <a16:creationId xmlns:a16="http://schemas.microsoft.com/office/drawing/2014/main" id="{36DBCF92-817A-CB8F-67FD-CE5EFDFF9E41}"/>
              </a:ext>
            </a:extLst>
          </xdr:cNvPr>
          <xdr:cNvSpPr txBox="1"/>
        </xdr:nvSpPr>
        <xdr:spPr>
          <a:xfrm>
            <a:off x="3604260" y="278130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70A900-A2D3-4510-8F14-F5D9384526C1}" type="TxLink">
              <a:rPr lang="en-US" sz="2000" b="1" i="0" u="none" strike="noStrike">
                <a:solidFill>
                  <a:srgbClr val="0070C0"/>
                </a:solidFill>
                <a:latin typeface="Calibri"/>
                <a:ea typeface="Calibri"/>
                <a:cs typeface="Calibri"/>
              </a:rPr>
              <a:pPr algn="ctr"/>
              <a:t>15.2%</a:t>
            </a:fld>
            <a:endParaRPr lang="en-US" sz="2000" b="1">
              <a:solidFill>
                <a:srgbClr val="0070C0"/>
              </a:solidFill>
            </a:endParaRPr>
          </a:p>
        </xdr:txBody>
      </xdr:sp>
    </xdr:grpSp>
    <xdr:clientData/>
  </xdr:twoCellAnchor>
  <xdr:twoCellAnchor>
    <xdr:from>
      <xdr:col>3</xdr:col>
      <xdr:colOff>266700</xdr:colOff>
      <xdr:row>18</xdr:row>
      <xdr:rowOff>76200</xdr:rowOff>
    </xdr:from>
    <xdr:to>
      <xdr:col>13</xdr:col>
      <xdr:colOff>22860</xdr:colOff>
      <xdr:row>33</xdr:row>
      <xdr:rowOff>76200</xdr:rowOff>
    </xdr:to>
    <xdr:graphicFrame macro="">
      <xdr:nvGraphicFramePr>
        <xdr:cNvPr id="37" name="Chart 36">
          <a:extLst>
            <a:ext uri="{FF2B5EF4-FFF2-40B4-BE49-F238E27FC236}">
              <a16:creationId xmlns:a16="http://schemas.microsoft.com/office/drawing/2014/main" id="{79975F6C-933C-4EE2-9393-E10949FE0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160020</xdr:colOff>
      <xdr:row>18</xdr:row>
      <xdr:rowOff>76200</xdr:rowOff>
    </xdr:from>
    <xdr:to>
      <xdr:col>22</xdr:col>
      <xdr:colOff>525780</xdr:colOff>
      <xdr:row>33</xdr:row>
      <xdr:rowOff>76200</xdr:rowOff>
    </xdr:to>
    <xdr:graphicFrame macro="">
      <xdr:nvGraphicFramePr>
        <xdr:cNvPr id="38" name="Chart 37">
          <a:extLst>
            <a:ext uri="{FF2B5EF4-FFF2-40B4-BE49-F238E27FC236}">
              <a16:creationId xmlns:a16="http://schemas.microsoft.com/office/drawing/2014/main" id="{AF7E7CF2-ED7D-44B7-86AC-4BC69476D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34</xdr:row>
      <xdr:rowOff>7620</xdr:rowOff>
    </xdr:from>
    <xdr:to>
      <xdr:col>13</xdr:col>
      <xdr:colOff>22860</xdr:colOff>
      <xdr:row>49</xdr:row>
      <xdr:rowOff>7620</xdr:rowOff>
    </xdr:to>
    <xdr:graphicFrame macro="">
      <xdr:nvGraphicFramePr>
        <xdr:cNvPr id="39" name="Chart 38">
          <a:extLst>
            <a:ext uri="{FF2B5EF4-FFF2-40B4-BE49-F238E27FC236}">
              <a16:creationId xmlns:a16="http://schemas.microsoft.com/office/drawing/2014/main" id="{199A1013-FBB4-4C49-A39A-53A715065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167640</xdr:colOff>
      <xdr:row>34</xdr:row>
      <xdr:rowOff>7620</xdr:rowOff>
    </xdr:from>
    <xdr:to>
      <xdr:col>22</xdr:col>
      <xdr:colOff>533400</xdr:colOff>
      <xdr:row>49</xdr:row>
      <xdr:rowOff>7620</xdr:rowOff>
    </xdr:to>
    <xdr:graphicFrame macro="">
      <xdr:nvGraphicFramePr>
        <xdr:cNvPr id="40" name="Chart 39">
          <a:extLst>
            <a:ext uri="{FF2B5EF4-FFF2-40B4-BE49-F238E27FC236}">
              <a16:creationId xmlns:a16="http://schemas.microsoft.com/office/drawing/2014/main" id="{3F6DFDF4-ABFC-4AB6-8673-3BA7E4A1E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281940</xdr:colOff>
      <xdr:row>49</xdr:row>
      <xdr:rowOff>129540</xdr:rowOff>
    </xdr:from>
    <xdr:to>
      <xdr:col>13</xdr:col>
      <xdr:colOff>38100</xdr:colOff>
      <xdr:row>64</xdr:row>
      <xdr:rowOff>129540</xdr:rowOff>
    </xdr:to>
    <xdr:graphicFrame macro="">
      <xdr:nvGraphicFramePr>
        <xdr:cNvPr id="6" name="Chart 5">
          <a:extLst>
            <a:ext uri="{FF2B5EF4-FFF2-40B4-BE49-F238E27FC236}">
              <a16:creationId xmlns:a16="http://schemas.microsoft.com/office/drawing/2014/main" id="{CEEB7AA2-45EE-4181-BFD3-C0E7891E2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167640</xdr:colOff>
      <xdr:row>49</xdr:row>
      <xdr:rowOff>137160</xdr:rowOff>
    </xdr:from>
    <xdr:to>
      <xdr:col>22</xdr:col>
      <xdr:colOff>533400</xdr:colOff>
      <xdr:row>64</xdr:row>
      <xdr:rowOff>137160</xdr:rowOff>
    </xdr:to>
    <xdr:graphicFrame macro="">
      <xdr:nvGraphicFramePr>
        <xdr:cNvPr id="7" name="Chart 6">
          <a:extLst>
            <a:ext uri="{FF2B5EF4-FFF2-40B4-BE49-F238E27FC236}">
              <a16:creationId xmlns:a16="http://schemas.microsoft.com/office/drawing/2014/main" id="{EABA85B4-693A-438E-94F6-F6980C145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15240</xdr:colOff>
      <xdr:row>74</xdr:row>
      <xdr:rowOff>160020</xdr:rowOff>
    </xdr:to>
    <xdr:sp macro="" textlink="">
      <xdr:nvSpPr>
        <xdr:cNvPr id="2" name="Rectangle: Rounded Corners 1">
          <a:extLst>
            <a:ext uri="{FF2B5EF4-FFF2-40B4-BE49-F238E27FC236}">
              <a16:creationId xmlns:a16="http://schemas.microsoft.com/office/drawing/2014/main" id="{B270133D-0F0D-4424-B7FD-5130894EB6E9}"/>
            </a:ext>
          </a:extLst>
        </xdr:cNvPr>
        <xdr:cNvSpPr/>
      </xdr:nvSpPr>
      <xdr:spPr>
        <a:xfrm>
          <a:off x="0" y="0"/>
          <a:ext cx="14036040" cy="13693140"/>
        </a:xfrm>
        <a:prstGeom prst="roundRect">
          <a:avLst>
            <a:gd name="adj" fmla="val 397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129540</xdr:colOff>
      <xdr:row>2</xdr:row>
      <xdr:rowOff>160020</xdr:rowOff>
    </xdr:from>
    <xdr:to>
      <xdr:col>22</xdr:col>
      <xdr:colOff>525780</xdr:colOff>
      <xdr:row>74</xdr:row>
      <xdr:rowOff>38100</xdr:rowOff>
    </xdr:to>
    <xdr:sp macro="" textlink="">
      <xdr:nvSpPr>
        <xdr:cNvPr id="3" name="Rectangle: Rounded Corners 2">
          <a:extLst>
            <a:ext uri="{FF2B5EF4-FFF2-40B4-BE49-F238E27FC236}">
              <a16:creationId xmlns:a16="http://schemas.microsoft.com/office/drawing/2014/main" id="{5379151C-CD76-4DD7-8ED4-8C8653DD0B5A}"/>
            </a:ext>
          </a:extLst>
        </xdr:cNvPr>
        <xdr:cNvSpPr/>
      </xdr:nvSpPr>
      <xdr:spPr>
        <a:xfrm>
          <a:off x="129540" y="525780"/>
          <a:ext cx="13807440" cy="13045440"/>
        </a:xfrm>
        <a:prstGeom prst="roundRect">
          <a:avLst>
            <a:gd name="adj" fmla="val 2420"/>
          </a:avLst>
        </a:prstGeom>
        <a:solidFill>
          <a:schemeClr val="accent1">
            <a:lumMod val="40000"/>
            <a:lumOff val="60000"/>
          </a:schemeClr>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403860</xdr:colOff>
      <xdr:row>3</xdr:row>
      <xdr:rowOff>152400</xdr:rowOff>
    </xdr:from>
    <xdr:to>
      <xdr:col>5</xdr:col>
      <xdr:colOff>22860</xdr:colOff>
      <xdr:row>8</xdr:row>
      <xdr:rowOff>152400</xdr:rowOff>
    </xdr:to>
    <xdr:sp macro="" textlink="">
      <xdr:nvSpPr>
        <xdr:cNvPr id="4" name="Rectangle: Rounded Corners 3">
          <a:extLst>
            <a:ext uri="{FF2B5EF4-FFF2-40B4-BE49-F238E27FC236}">
              <a16:creationId xmlns:a16="http://schemas.microsoft.com/office/drawing/2014/main" id="{DC33F082-3D0B-4E17-8829-DA33F9E36838}"/>
            </a:ext>
          </a:extLst>
        </xdr:cNvPr>
        <xdr:cNvSpPr/>
      </xdr:nvSpPr>
      <xdr:spPr>
        <a:xfrm>
          <a:off x="1013460" y="701040"/>
          <a:ext cx="2057400"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491744</xdr:colOff>
      <xdr:row>3</xdr:row>
      <xdr:rowOff>152400</xdr:rowOff>
    </xdr:from>
    <xdr:to>
      <xdr:col>16</xdr:col>
      <xdr:colOff>28448</xdr:colOff>
      <xdr:row>8</xdr:row>
      <xdr:rowOff>152400</xdr:rowOff>
    </xdr:to>
    <xdr:sp macro="" textlink="">
      <xdr:nvSpPr>
        <xdr:cNvPr id="5" name="Rectangle: Rounded Corners 4">
          <a:extLst>
            <a:ext uri="{FF2B5EF4-FFF2-40B4-BE49-F238E27FC236}">
              <a16:creationId xmlns:a16="http://schemas.microsoft.com/office/drawing/2014/main" id="{B450FFF2-98F9-4967-A1DA-A1158B2A7263}"/>
            </a:ext>
          </a:extLst>
        </xdr:cNvPr>
        <xdr:cNvSpPr/>
      </xdr:nvSpPr>
      <xdr:spPr>
        <a:xfrm>
          <a:off x="7806944" y="70104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143002</xdr:colOff>
      <xdr:row>3</xdr:row>
      <xdr:rowOff>152400</xdr:rowOff>
    </xdr:from>
    <xdr:to>
      <xdr:col>10</xdr:col>
      <xdr:colOff>289306</xdr:colOff>
      <xdr:row>8</xdr:row>
      <xdr:rowOff>152400</xdr:rowOff>
    </xdr:to>
    <xdr:sp macro="" textlink="">
      <xdr:nvSpPr>
        <xdr:cNvPr id="6" name="Rectangle: Rounded Corners 5">
          <a:extLst>
            <a:ext uri="{FF2B5EF4-FFF2-40B4-BE49-F238E27FC236}">
              <a16:creationId xmlns:a16="http://schemas.microsoft.com/office/drawing/2014/main" id="{D8054B26-FB6E-4FA3-953D-E2D08A9B90F1}"/>
            </a:ext>
          </a:extLst>
        </xdr:cNvPr>
        <xdr:cNvSpPr/>
      </xdr:nvSpPr>
      <xdr:spPr>
        <a:xfrm>
          <a:off x="4410202" y="70104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281940</xdr:colOff>
      <xdr:row>0</xdr:row>
      <xdr:rowOff>38100</xdr:rowOff>
    </xdr:from>
    <xdr:to>
      <xdr:col>16</xdr:col>
      <xdr:colOff>106680</xdr:colOff>
      <xdr:row>2</xdr:row>
      <xdr:rowOff>22860</xdr:rowOff>
    </xdr:to>
    <xdr:sp macro="" textlink="">
      <xdr:nvSpPr>
        <xdr:cNvPr id="7" name="TextBox 6">
          <a:extLst>
            <a:ext uri="{FF2B5EF4-FFF2-40B4-BE49-F238E27FC236}">
              <a16:creationId xmlns:a16="http://schemas.microsoft.com/office/drawing/2014/main" id="{AF555DDC-4A51-4A8A-859B-364E33BE9727}"/>
            </a:ext>
          </a:extLst>
        </xdr:cNvPr>
        <xdr:cNvSpPr txBox="1"/>
      </xdr:nvSpPr>
      <xdr:spPr>
        <a:xfrm>
          <a:off x="3939540" y="38100"/>
          <a:ext cx="59207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baseline="0">
              <a:solidFill>
                <a:schemeClr val="bg1"/>
              </a:solidFill>
            </a:rPr>
            <a:t>Appointment Wait Days Analysis Dashboard</a:t>
          </a:r>
          <a:endParaRPr lang="en-US" sz="2400" b="1">
            <a:solidFill>
              <a:schemeClr val="bg1"/>
            </a:solidFill>
          </a:endParaRPr>
        </a:p>
      </xdr:txBody>
    </xdr:sp>
    <xdr:clientData/>
  </xdr:twoCellAnchor>
  <xdr:twoCellAnchor>
    <xdr:from>
      <xdr:col>18</xdr:col>
      <xdr:colOff>230886</xdr:colOff>
      <xdr:row>3</xdr:row>
      <xdr:rowOff>152400</xdr:rowOff>
    </xdr:from>
    <xdr:to>
      <xdr:col>21</xdr:col>
      <xdr:colOff>377190</xdr:colOff>
      <xdr:row>8</xdr:row>
      <xdr:rowOff>152400</xdr:rowOff>
    </xdr:to>
    <xdr:sp macro="" textlink="">
      <xdr:nvSpPr>
        <xdr:cNvPr id="9" name="Rectangle: Rounded Corners 8">
          <a:extLst>
            <a:ext uri="{FF2B5EF4-FFF2-40B4-BE49-F238E27FC236}">
              <a16:creationId xmlns:a16="http://schemas.microsoft.com/office/drawing/2014/main" id="{5E0309CF-0088-1B6D-AFFC-60D3B9F4AB8D}"/>
            </a:ext>
          </a:extLst>
        </xdr:cNvPr>
        <xdr:cNvSpPr/>
      </xdr:nvSpPr>
      <xdr:spPr>
        <a:xfrm>
          <a:off x="11203686" y="70104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411480</xdr:colOff>
      <xdr:row>4</xdr:row>
      <xdr:rowOff>91440</xdr:rowOff>
    </xdr:from>
    <xdr:to>
      <xdr:col>5</xdr:col>
      <xdr:colOff>60960</xdr:colOff>
      <xdr:row>7</xdr:row>
      <xdr:rowOff>175260</xdr:rowOff>
    </xdr:to>
    <xdr:grpSp>
      <xdr:nvGrpSpPr>
        <xdr:cNvPr id="10" name="Group 9">
          <a:extLst>
            <a:ext uri="{FF2B5EF4-FFF2-40B4-BE49-F238E27FC236}">
              <a16:creationId xmlns:a16="http://schemas.microsoft.com/office/drawing/2014/main" id="{B3DA80F4-CADD-4EA4-A3E7-3B00B6F830B0}"/>
            </a:ext>
          </a:extLst>
        </xdr:cNvPr>
        <xdr:cNvGrpSpPr/>
      </xdr:nvGrpSpPr>
      <xdr:grpSpPr>
        <a:xfrm>
          <a:off x="1021080" y="822960"/>
          <a:ext cx="2087880" cy="632460"/>
          <a:chOff x="3505200" y="2468880"/>
          <a:chExt cx="2087880" cy="632460"/>
        </a:xfrm>
      </xdr:grpSpPr>
      <xdr:sp macro="" textlink="">
        <xdr:nvSpPr>
          <xdr:cNvPr id="11" name="TextBox 10">
            <a:extLst>
              <a:ext uri="{FF2B5EF4-FFF2-40B4-BE49-F238E27FC236}">
                <a16:creationId xmlns:a16="http://schemas.microsoft.com/office/drawing/2014/main" id="{CBE5DC02-7BE7-BEEF-5F87-907FF2CE55B9}"/>
              </a:ext>
            </a:extLst>
          </xdr:cNvPr>
          <xdr:cNvSpPr txBox="1"/>
        </xdr:nvSpPr>
        <xdr:spPr>
          <a:xfrm>
            <a:off x="3505200" y="2468880"/>
            <a:ext cx="20878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0070C0"/>
                </a:solidFill>
              </a:rPr>
              <a:t>Average of Wait Days</a:t>
            </a:r>
          </a:p>
        </xdr:txBody>
      </xdr:sp>
      <xdr:sp macro="" textlink="'Appointment Pivot Tables'!$H$4">
        <xdr:nvSpPr>
          <xdr:cNvPr id="12" name="TextBox 11">
            <a:extLst>
              <a:ext uri="{FF2B5EF4-FFF2-40B4-BE49-F238E27FC236}">
                <a16:creationId xmlns:a16="http://schemas.microsoft.com/office/drawing/2014/main" id="{52A5828A-7F6B-A09F-6915-F6CC801D2C1E}"/>
              </a:ext>
            </a:extLst>
          </xdr:cNvPr>
          <xdr:cNvSpPr txBox="1"/>
        </xdr:nvSpPr>
        <xdr:spPr>
          <a:xfrm>
            <a:off x="3596640" y="280416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12311B-BD2E-4D4C-9486-1396D2EDA20D}" type="TxLink">
              <a:rPr lang="en-US" sz="2000" b="1" i="0" u="none" strike="noStrike">
                <a:solidFill>
                  <a:srgbClr val="0070C0"/>
                </a:solidFill>
                <a:latin typeface="Calibri"/>
                <a:ea typeface="Calibri"/>
                <a:cs typeface="Calibri"/>
              </a:rPr>
              <a:pPr algn="ctr"/>
              <a:t>9.3</a:t>
            </a:fld>
            <a:endParaRPr lang="en-US" sz="2000" b="1">
              <a:solidFill>
                <a:srgbClr val="0070C0"/>
              </a:solidFill>
            </a:endParaRPr>
          </a:p>
        </xdr:txBody>
      </xdr:sp>
    </xdr:grpSp>
    <xdr:clientData/>
  </xdr:twoCellAnchor>
  <xdr:twoCellAnchor>
    <xdr:from>
      <xdr:col>7</xdr:col>
      <xdr:colOff>259080</xdr:colOff>
      <xdr:row>4</xdr:row>
      <xdr:rowOff>91440</xdr:rowOff>
    </xdr:from>
    <xdr:to>
      <xdr:col>10</xdr:col>
      <xdr:colOff>243840</xdr:colOff>
      <xdr:row>7</xdr:row>
      <xdr:rowOff>175260</xdr:rowOff>
    </xdr:to>
    <xdr:grpSp>
      <xdr:nvGrpSpPr>
        <xdr:cNvPr id="13" name="Group 12">
          <a:extLst>
            <a:ext uri="{FF2B5EF4-FFF2-40B4-BE49-F238E27FC236}">
              <a16:creationId xmlns:a16="http://schemas.microsoft.com/office/drawing/2014/main" id="{E8448AB8-A4F1-7070-2179-C3FB33A2AF19}"/>
            </a:ext>
          </a:extLst>
        </xdr:cNvPr>
        <xdr:cNvGrpSpPr/>
      </xdr:nvGrpSpPr>
      <xdr:grpSpPr>
        <a:xfrm>
          <a:off x="4526280" y="822960"/>
          <a:ext cx="1813560" cy="632460"/>
          <a:chOff x="3596640" y="2468880"/>
          <a:chExt cx="1813560" cy="632460"/>
        </a:xfrm>
      </xdr:grpSpPr>
      <xdr:sp macro="" textlink="">
        <xdr:nvSpPr>
          <xdr:cNvPr id="14" name="TextBox 13">
            <a:extLst>
              <a:ext uri="{FF2B5EF4-FFF2-40B4-BE49-F238E27FC236}">
                <a16:creationId xmlns:a16="http://schemas.microsoft.com/office/drawing/2014/main" id="{AFFD0891-8834-5341-0D5C-FBDD98B9A424}"/>
              </a:ext>
            </a:extLst>
          </xdr:cNvPr>
          <xdr:cNvSpPr txBox="1"/>
        </xdr:nvSpPr>
        <xdr:spPr>
          <a:xfrm>
            <a:off x="3596640" y="246888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0070C0"/>
                </a:solidFill>
              </a:rPr>
              <a:t>Total</a:t>
            </a:r>
            <a:r>
              <a:rPr lang="en-US" sz="1600" b="1" baseline="0">
                <a:solidFill>
                  <a:srgbClr val="0070C0"/>
                </a:solidFill>
              </a:rPr>
              <a:t> </a:t>
            </a:r>
            <a:r>
              <a:rPr lang="en-US" sz="1600" b="1">
                <a:solidFill>
                  <a:srgbClr val="0070C0"/>
                </a:solidFill>
              </a:rPr>
              <a:t>Wait Days</a:t>
            </a:r>
          </a:p>
        </xdr:txBody>
      </xdr:sp>
      <xdr:sp macro="" textlink="'Appointment Pivot Tables'!$L$4">
        <xdr:nvSpPr>
          <xdr:cNvPr id="15" name="TextBox 14">
            <a:extLst>
              <a:ext uri="{FF2B5EF4-FFF2-40B4-BE49-F238E27FC236}">
                <a16:creationId xmlns:a16="http://schemas.microsoft.com/office/drawing/2014/main" id="{0389075D-FC11-060D-6880-565E0D3D8A4E}"/>
              </a:ext>
            </a:extLst>
          </xdr:cNvPr>
          <xdr:cNvSpPr txBox="1"/>
        </xdr:nvSpPr>
        <xdr:spPr>
          <a:xfrm>
            <a:off x="3596640" y="280416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68D6A4-574C-4E5F-8CF0-59116355E983}" type="TxLink">
              <a:rPr lang="en-US" sz="2000" b="1" i="0" u="none" strike="noStrike">
                <a:solidFill>
                  <a:srgbClr val="0070C0"/>
                </a:solidFill>
                <a:latin typeface="Calibri"/>
                <a:ea typeface="Calibri"/>
                <a:cs typeface="Calibri"/>
              </a:rPr>
              <a:pPr algn="ctr"/>
              <a:t>855</a:t>
            </a:fld>
            <a:endParaRPr lang="en-US" sz="2000" b="1">
              <a:solidFill>
                <a:srgbClr val="0070C0"/>
              </a:solidFill>
            </a:endParaRPr>
          </a:p>
        </xdr:txBody>
      </xdr:sp>
    </xdr:grpSp>
    <xdr:clientData/>
  </xdr:twoCellAnchor>
  <xdr:twoCellAnchor>
    <xdr:from>
      <xdr:col>12</xdr:col>
      <xdr:colOff>601980</xdr:colOff>
      <xdr:row>4</xdr:row>
      <xdr:rowOff>91440</xdr:rowOff>
    </xdr:from>
    <xdr:to>
      <xdr:col>15</xdr:col>
      <xdr:colOff>586740</xdr:colOff>
      <xdr:row>7</xdr:row>
      <xdr:rowOff>175260</xdr:rowOff>
    </xdr:to>
    <xdr:grpSp>
      <xdr:nvGrpSpPr>
        <xdr:cNvPr id="16" name="Group 15">
          <a:extLst>
            <a:ext uri="{FF2B5EF4-FFF2-40B4-BE49-F238E27FC236}">
              <a16:creationId xmlns:a16="http://schemas.microsoft.com/office/drawing/2014/main" id="{53541F91-2130-0A58-4CEE-802AFBA52AE2}"/>
            </a:ext>
          </a:extLst>
        </xdr:cNvPr>
        <xdr:cNvGrpSpPr/>
      </xdr:nvGrpSpPr>
      <xdr:grpSpPr>
        <a:xfrm>
          <a:off x="7917180" y="822960"/>
          <a:ext cx="1813560" cy="632460"/>
          <a:chOff x="3596640" y="2468880"/>
          <a:chExt cx="1813560" cy="632460"/>
        </a:xfrm>
      </xdr:grpSpPr>
      <xdr:sp macro="" textlink="">
        <xdr:nvSpPr>
          <xdr:cNvPr id="17" name="TextBox 16">
            <a:extLst>
              <a:ext uri="{FF2B5EF4-FFF2-40B4-BE49-F238E27FC236}">
                <a16:creationId xmlns:a16="http://schemas.microsoft.com/office/drawing/2014/main" id="{E595835E-A023-708C-15DC-D6F95D4ABBCB}"/>
              </a:ext>
            </a:extLst>
          </xdr:cNvPr>
          <xdr:cNvSpPr txBox="1"/>
        </xdr:nvSpPr>
        <xdr:spPr>
          <a:xfrm>
            <a:off x="3596640" y="246888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0070C0"/>
                </a:solidFill>
              </a:rPr>
              <a:t>Max of Wait Days</a:t>
            </a:r>
          </a:p>
        </xdr:txBody>
      </xdr:sp>
      <xdr:sp macro="" textlink="'Appointment Pivot Tables'!$J$4">
        <xdr:nvSpPr>
          <xdr:cNvPr id="18" name="TextBox 17">
            <a:extLst>
              <a:ext uri="{FF2B5EF4-FFF2-40B4-BE49-F238E27FC236}">
                <a16:creationId xmlns:a16="http://schemas.microsoft.com/office/drawing/2014/main" id="{E50C73EA-C081-0907-2ABC-F2F98084DBAC}"/>
              </a:ext>
            </a:extLst>
          </xdr:cNvPr>
          <xdr:cNvSpPr txBox="1"/>
        </xdr:nvSpPr>
        <xdr:spPr>
          <a:xfrm>
            <a:off x="3596640" y="280416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B19FC3-E5D5-4898-9314-5CB686670947}" type="TxLink">
              <a:rPr lang="en-US" sz="2000" b="1" i="0" u="none" strike="noStrike">
                <a:solidFill>
                  <a:srgbClr val="0070C0"/>
                </a:solidFill>
                <a:latin typeface="Calibri"/>
                <a:ea typeface="Calibri"/>
                <a:cs typeface="Calibri"/>
              </a:rPr>
              <a:pPr algn="ctr"/>
              <a:t>20</a:t>
            </a:fld>
            <a:endParaRPr lang="en-US" sz="2000" b="1">
              <a:solidFill>
                <a:srgbClr val="0070C0"/>
              </a:solidFill>
            </a:endParaRPr>
          </a:p>
        </xdr:txBody>
      </xdr:sp>
    </xdr:grpSp>
    <xdr:clientData/>
  </xdr:twoCellAnchor>
  <xdr:twoCellAnchor>
    <xdr:from>
      <xdr:col>18</xdr:col>
      <xdr:colOff>335280</xdr:colOff>
      <xdr:row>4</xdr:row>
      <xdr:rowOff>99060</xdr:rowOff>
    </xdr:from>
    <xdr:to>
      <xdr:col>21</xdr:col>
      <xdr:colOff>320040</xdr:colOff>
      <xdr:row>8</xdr:row>
      <xdr:rowOff>0</xdr:rowOff>
    </xdr:to>
    <xdr:grpSp>
      <xdr:nvGrpSpPr>
        <xdr:cNvPr id="19" name="Group 18">
          <a:extLst>
            <a:ext uri="{FF2B5EF4-FFF2-40B4-BE49-F238E27FC236}">
              <a16:creationId xmlns:a16="http://schemas.microsoft.com/office/drawing/2014/main" id="{41BD0F8A-52D7-B7FB-DBA8-4D0916A48893}"/>
            </a:ext>
          </a:extLst>
        </xdr:cNvPr>
        <xdr:cNvGrpSpPr/>
      </xdr:nvGrpSpPr>
      <xdr:grpSpPr>
        <a:xfrm>
          <a:off x="11308080" y="830580"/>
          <a:ext cx="1813560" cy="632460"/>
          <a:chOff x="3596640" y="2468880"/>
          <a:chExt cx="1813560" cy="632460"/>
        </a:xfrm>
      </xdr:grpSpPr>
      <xdr:sp macro="" textlink="">
        <xdr:nvSpPr>
          <xdr:cNvPr id="20" name="TextBox 19">
            <a:extLst>
              <a:ext uri="{FF2B5EF4-FFF2-40B4-BE49-F238E27FC236}">
                <a16:creationId xmlns:a16="http://schemas.microsoft.com/office/drawing/2014/main" id="{F1F4FCD6-F9F6-E15A-B65F-BC86FFA30054}"/>
              </a:ext>
            </a:extLst>
          </xdr:cNvPr>
          <xdr:cNvSpPr txBox="1"/>
        </xdr:nvSpPr>
        <xdr:spPr>
          <a:xfrm>
            <a:off x="3596640" y="246888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0070C0"/>
                </a:solidFill>
              </a:rPr>
              <a:t>Min of Wait Days</a:t>
            </a:r>
          </a:p>
        </xdr:txBody>
      </xdr:sp>
      <xdr:sp macro="" textlink="'Appointment Pivot Tables'!$N$4">
        <xdr:nvSpPr>
          <xdr:cNvPr id="21" name="TextBox 20">
            <a:extLst>
              <a:ext uri="{FF2B5EF4-FFF2-40B4-BE49-F238E27FC236}">
                <a16:creationId xmlns:a16="http://schemas.microsoft.com/office/drawing/2014/main" id="{5A32610C-EBD2-1ABB-085C-528F3A8BECC5}"/>
              </a:ext>
            </a:extLst>
          </xdr:cNvPr>
          <xdr:cNvSpPr txBox="1"/>
        </xdr:nvSpPr>
        <xdr:spPr>
          <a:xfrm>
            <a:off x="3596640" y="2804160"/>
            <a:ext cx="18135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DE3378-D39A-4632-B82C-F3E9B884D9BF}" type="TxLink">
              <a:rPr lang="en-US" sz="2000" b="1" i="0" u="none" strike="noStrike">
                <a:solidFill>
                  <a:srgbClr val="0070C0"/>
                </a:solidFill>
                <a:latin typeface="Calibri"/>
                <a:ea typeface="Calibri"/>
                <a:cs typeface="Calibri"/>
              </a:rPr>
              <a:pPr algn="ctr"/>
              <a:t>1</a:t>
            </a:fld>
            <a:endParaRPr lang="en-US" sz="2000" b="1">
              <a:solidFill>
                <a:srgbClr val="0070C0"/>
              </a:solidFill>
            </a:endParaRPr>
          </a:p>
        </xdr:txBody>
      </xdr:sp>
    </xdr:grpSp>
    <xdr:clientData/>
  </xdr:twoCellAnchor>
  <xdr:twoCellAnchor>
    <xdr:from>
      <xdr:col>0</xdr:col>
      <xdr:colOff>464820</xdr:colOff>
      <xdr:row>9</xdr:row>
      <xdr:rowOff>175260</xdr:rowOff>
    </xdr:from>
    <xdr:to>
      <xdr:col>11</xdr:col>
      <xdr:colOff>251460</xdr:colOff>
      <xdr:row>25</xdr:row>
      <xdr:rowOff>83820</xdr:rowOff>
    </xdr:to>
    <xdr:graphicFrame macro="">
      <xdr:nvGraphicFramePr>
        <xdr:cNvPr id="22" name="Chart 21">
          <a:extLst>
            <a:ext uri="{FF2B5EF4-FFF2-40B4-BE49-F238E27FC236}">
              <a16:creationId xmlns:a16="http://schemas.microsoft.com/office/drawing/2014/main" id="{F1E2ABAF-341F-4A26-A31E-5866910DB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426720</xdr:colOff>
      <xdr:row>26</xdr:row>
      <xdr:rowOff>7620</xdr:rowOff>
    </xdr:from>
    <xdr:to>
      <xdr:col>22</xdr:col>
      <xdr:colOff>213360</xdr:colOff>
      <xdr:row>41</xdr:row>
      <xdr:rowOff>99060</xdr:rowOff>
    </xdr:to>
    <xdr:graphicFrame macro="">
      <xdr:nvGraphicFramePr>
        <xdr:cNvPr id="23" name="Chart 22">
          <a:extLst>
            <a:ext uri="{FF2B5EF4-FFF2-40B4-BE49-F238E27FC236}">
              <a16:creationId xmlns:a16="http://schemas.microsoft.com/office/drawing/2014/main" id="{8AB62C6D-AD31-400B-861E-AAAB2E20C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457200</xdr:colOff>
      <xdr:row>26</xdr:row>
      <xdr:rowOff>7620</xdr:rowOff>
    </xdr:from>
    <xdr:to>
      <xdr:col>11</xdr:col>
      <xdr:colOff>243840</xdr:colOff>
      <xdr:row>41</xdr:row>
      <xdr:rowOff>99060</xdr:rowOff>
    </xdr:to>
    <xdr:graphicFrame macro="">
      <xdr:nvGraphicFramePr>
        <xdr:cNvPr id="24" name="Chart 23">
          <a:extLst>
            <a:ext uri="{FF2B5EF4-FFF2-40B4-BE49-F238E27FC236}">
              <a16:creationId xmlns:a16="http://schemas.microsoft.com/office/drawing/2014/main" id="{20382F38-EC7D-4B80-8818-C561B59CD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426720</xdr:colOff>
      <xdr:row>9</xdr:row>
      <xdr:rowOff>175260</xdr:rowOff>
    </xdr:from>
    <xdr:to>
      <xdr:col>22</xdr:col>
      <xdr:colOff>213360</xdr:colOff>
      <xdr:row>25</xdr:row>
      <xdr:rowOff>83820</xdr:rowOff>
    </xdr:to>
    <xdr:graphicFrame macro="">
      <xdr:nvGraphicFramePr>
        <xdr:cNvPr id="25" name="Chart 24">
          <a:extLst>
            <a:ext uri="{FF2B5EF4-FFF2-40B4-BE49-F238E27FC236}">
              <a16:creationId xmlns:a16="http://schemas.microsoft.com/office/drawing/2014/main" id="{F948FCC7-2698-4C34-AD40-190E5C32F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480060</xdr:colOff>
      <xdr:row>41</xdr:row>
      <xdr:rowOff>175260</xdr:rowOff>
    </xdr:from>
    <xdr:to>
      <xdr:col>11</xdr:col>
      <xdr:colOff>266700</xdr:colOff>
      <xdr:row>57</xdr:row>
      <xdr:rowOff>83820</xdr:rowOff>
    </xdr:to>
    <xdr:graphicFrame macro="">
      <xdr:nvGraphicFramePr>
        <xdr:cNvPr id="26" name="Chart 25">
          <a:extLst>
            <a:ext uri="{FF2B5EF4-FFF2-40B4-BE49-F238E27FC236}">
              <a16:creationId xmlns:a16="http://schemas.microsoft.com/office/drawing/2014/main" id="{6957FDB9-3D7A-4775-9E2F-34239F2E0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426720</xdr:colOff>
      <xdr:row>41</xdr:row>
      <xdr:rowOff>175260</xdr:rowOff>
    </xdr:from>
    <xdr:to>
      <xdr:col>22</xdr:col>
      <xdr:colOff>213360</xdr:colOff>
      <xdr:row>57</xdr:row>
      <xdr:rowOff>83820</xdr:rowOff>
    </xdr:to>
    <xdr:graphicFrame macro="">
      <xdr:nvGraphicFramePr>
        <xdr:cNvPr id="27" name="Chart 26">
          <a:extLst>
            <a:ext uri="{FF2B5EF4-FFF2-40B4-BE49-F238E27FC236}">
              <a16:creationId xmlns:a16="http://schemas.microsoft.com/office/drawing/2014/main" id="{BFE239AE-C538-471F-B42C-EBE9CA6C0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480060</xdr:colOff>
      <xdr:row>57</xdr:row>
      <xdr:rowOff>175260</xdr:rowOff>
    </xdr:from>
    <xdr:to>
      <xdr:col>11</xdr:col>
      <xdr:colOff>266700</xdr:colOff>
      <xdr:row>73</xdr:row>
      <xdr:rowOff>83820</xdr:rowOff>
    </xdr:to>
    <xdr:graphicFrame macro="">
      <xdr:nvGraphicFramePr>
        <xdr:cNvPr id="8" name="Chart 7">
          <a:extLst>
            <a:ext uri="{FF2B5EF4-FFF2-40B4-BE49-F238E27FC236}">
              <a16:creationId xmlns:a16="http://schemas.microsoft.com/office/drawing/2014/main" id="{58F1A772-D51B-40F0-B6E4-887ED53D7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441960</xdr:colOff>
      <xdr:row>57</xdr:row>
      <xdr:rowOff>175260</xdr:rowOff>
    </xdr:from>
    <xdr:to>
      <xdr:col>22</xdr:col>
      <xdr:colOff>228600</xdr:colOff>
      <xdr:row>73</xdr:row>
      <xdr:rowOff>83820</xdr:rowOff>
    </xdr:to>
    <xdr:graphicFrame macro="">
      <xdr:nvGraphicFramePr>
        <xdr:cNvPr id="28" name="Chart 27">
          <a:extLst>
            <a:ext uri="{FF2B5EF4-FFF2-40B4-BE49-F238E27FC236}">
              <a16:creationId xmlns:a16="http://schemas.microsoft.com/office/drawing/2014/main" id="{5A604E08-4ACA-470D-9A24-CE1B540E0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Navidul Hoque" refreshedDate="46293.70457037037" createdVersion="8" refreshedVersion="8" minRefreshableVersion="3" recordCount="500" xr:uid="{9EC2A9EC-312C-4BDB-ACEE-7B62ED0B6ECA}">
  <cacheSource type="worksheet">
    <worksheetSource name="Bangladesh_Appointment_Trends"/>
  </cacheSource>
  <cacheFields count="15">
    <cacheField name="Age" numFmtId="0">
      <sharedItems containsSemiMixedTypes="0" containsString="0" containsNumber="1" containsInteger="1" minValue="5" maxValue="79"/>
    </cacheField>
    <cacheField name="Gender" numFmtId="0">
      <sharedItems count="2">
        <s v="Female"/>
        <s v="Male"/>
      </sharedItems>
    </cacheField>
    <cacheField name="Division" numFmtId="0">
      <sharedItems count="8">
        <s v="Chattogram"/>
        <s v="Barishal"/>
        <s v="Dhaka"/>
        <s v="Rajshahi"/>
        <s v="Mymensingh"/>
        <s v="Khulna"/>
        <s v="Sylhet"/>
        <s v="Rangpur"/>
      </sharedItems>
    </cacheField>
    <cacheField name="Doctor Specialty" numFmtId="0">
      <sharedItems count="6">
        <s v="Gynecologist"/>
        <s v="Cardiologist"/>
        <s v="Pediatrician"/>
        <s v="Orthopedic"/>
        <s v="General Physician"/>
        <s v="Dermatologist"/>
      </sharedItems>
    </cacheField>
    <cacheField name="Appointment Status" numFmtId="0">
      <sharedItems count="3">
        <s v="Completed"/>
        <s v="Cancelled"/>
        <s v="No-show"/>
      </sharedItems>
    </cacheField>
    <cacheField name="Consultation Fee" numFmtId="0">
      <sharedItems containsSemiMixedTypes="0" containsString="0" containsNumber="1" containsInteger="1" minValue="412" maxValue="1699"/>
    </cacheField>
    <cacheField name="Wait Days" numFmtId="0">
      <sharedItems containsSemiMixedTypes="0" containsString="0" containsNumber="1" containsInteger="1" minValue="1" maxValue="20"/>
    </cacheField>
    <cacheField name="Appointment Date" numFmtId="14">
      <sharedItems containsSemiMixedTypes="0" containsNonDate="0" containsDate="1" containsString="0" minDate="2023-01-02T00:00:00" maxDate="2024-12-27T00:00:00" count="358">
        <d v="2023-11-19T00:00:00"/>
        <d v="2024-06-07T00:00:00"/>
        <d v="2023-02-27T00:00:00"/>
        <d v="2024-03-17T00:00:00"/>
        <d v="2023-04-06T00:00:00"/>
        <d v="2024-05-24T00:00:00"/>
        <d v="2023-09-06T00:00:00"/>
        <d v="2023-12-02T00:00:00"/>
        <d v="2024-04-06T00:00:00"/>
        <d v="2024-11-23T00:00:00"/>
        <d v="2024-09-05T00:00:00"/>
        <d v="2023-10-20T00:00:00"/>
        <d v="2023-03-04T00:00:00"/>
        <d v="2024-08-22T00:00:00"/>
        <d v="2023-12-26T00:00:00"/>
        <d v="2023-01-17T00:00:00"/>
        <d v="2023-11-11T00:00:00"/>
        <d v="2023-09-04T00:00:00"/>
        <d v="2023-09-26T00:00:00"/>
        <d v="2023-10-13T00:00:00"/>
        <d v="2023-02-20T00:00:00"/>
        <d v="2024-04-26T00:00:00"/>
        <d v="2024-08-17T00:00:00"/>
        <d v="2024-07-09T00:00:00"/>
        <d v="2023-01-04T00:00:00"/>
        <d v="2023-05-23T00:00:00"/>
        <d v="2024-07-14T00:00:00"/>
        <d v="2023-04-19T00:00:00"/>
        <d v="2024-01-26T00:00:00"/>
        <d v="2023-09-03T00:00:00"/>
        <d v="2023-05-14T00:00:00"/>
        <d v="2024-11-08T00:00:00"/>
        <d v="2024-02-24T00:00:00"/>
        <d v="2024-08-27T00:00:00"/>
        <d v="2024-11-01T00:00:00"/>
        <d v="2024-02-10T00:00:00"/>
        <d v="2023-03-18T00:00:00"/>
        <d v="2023-10-16T00:00:00"/>
        <d v="2023-01-08T00:00:00"/>
        <d v="2024-02-12T00:00:00"/>
        <d v="2024-07-08T00:00:00"/>
        <d v="2024-10-24T00:00:00"/>
        <d v="2024-02-16T00:00:00"/>
        <d v="2024-06-18T00:00:00"/>
        <d v="2023-11-12T00:00:00"/>
        <d v="2023-08-27T00:00:00"/>
        <d v="2023-03-09T00:00:00"/>
        <d v="2024-10-15T00:00:00"/>
        <d v="2024-06-16T00:00:00"/>
        <d v="2024-01-24T00:00:00"/>
        <d v="2024-07-12T00:00:00"/>
        <d v="2024-08-24T00:00:00"/>
        <d v="2023-08-14T00:00:00"/>
        <d v="2024-03-13T00:00:00"/>
        <d v="2024-10-25T00:00:00"/>
        <d v="2024-01-02T00:00:00"/>
        <d v="2024-09-03T00:00:00"/>
        <d v="2023-06-26T00:00:00"/>
        <d v="2023-11-24T00:00:00"/>
        <d v="2024-09-22T00:00:00"/>
        <d v="2023-07-10T00:00:00"/>
        <d v="2023-01-09T00:00:00"/>
        <d v="2024-12-26T00:00:00"/>
        <d v="2024-12-20T00:00:00"/>
        <d v="2024-01-08T00:00:00"/>
        <d v="2024-06-10T00:00:00"/>
        <d v="2024-05-19T00:00:00"/>
        <d v="2024-08-05T00:00:00"/>
        <d v="2024-11-03T00:00:00"/>
        <d v="2023-05-26T00:00:00"/>
        <d v="2024-02-27T00:00:00"/>
        <d v="2024-10-16T00:00:00"/>
        <d v="2024-11-17T00:00:00"/>
        <d v="2023-11-15T00:00:00"/>
        <d v="2024-12-03T00:00:00"/>
        <d v="2024-06-12T00:00:00"/>
        <d v="2024-10-09T00:00:00"/>
        <d v="2023-08-21T00:00:00"/>
        <d v="2024-04-12T00:00:00"/>
        <d v="2024-02-26T00:00:00"/>
        <d v="2024-12-15T00:00:00"/>
        <d v="2023-11-02T00:00:00"/>
        <d v="2024-05-23T00:00:00"/>
        <d v="2024-12-18T00:00:00"/>
        <d v="2024-02-20T00:00:00"/>
        <d v="2023-02-12T00:00:00"/>
        <d v="2023-06-23T00:00:00"/>
        <d v="2024-11-04T00:00:00"/>
        <d v="2023-10-23T00:00:00"/>
        <d v="2023-09-16T00:00:00"/>
        <d v="2023-04-23T00:00:00"/>
        <d v="2024-07-01T00:00:00"/>
        <d v="2023-11-22T00:00:00"/>
        <d v="2023-06-25T00:00:00"/>
        <d v="2023-08-02T00:00:00"/>
        <d v="2024-04-03T00:00:00"/>
        <d v="2023-01-21T00:00:00"/>
        <d v="2023-07-25T00:00:00"/>
        <d v="2023-03-20T00:00:00"/>
        <d v="2023-06-17T00:00:00"/>
        <d v="2023-09-22T00:00:00"/>
        <d v="2024-01-21T00:00:00"/>
        <d v="2023-06-01T00:00:00"/>
        <d v="2023-06-20T00:00:00"/>
        <d v="2023-05-06T00:00:00"/>
        <d v="2023-05-15T00:00:00"/>
        <d v="2023-01-26T00:00:00"/>
        <d v="2024-10-26T00:00:00"/>
        <d v="2023-12-14T00:00:00"/>
        <d v="2023-05-20T00:00:00"/>
        <d v="2023-02-15T00:00:00"/>
        <d v="2024-03-25T00:00:00"/>
        <d v="2024-04-21T00:00:00"/>
        <d v="2024-03-24T00:00:00"/>
        <d v="2023-03-25T00:00:00"/>
        <d v="2023-04-26T00:00:00"/>
        <d v="2023-05-05T00:00:00"/>
        <d v="2024-01-06T00:00:00"/>
        <d v="2023-04-17T00:00:00"/>
        <d v="2023-12-11T00:00:00"/>
        <d v="2024-12-16T00:00:00"/>
        <d v="2024-11-12T00:00:00"/>
        <d v="2024-08-15T00:00:00"/>
        <d v="2023-07-04T00:00:00"/>
        <d v="2024-09-27T00:00:00"/>
        <d v="2023-05-18T00:00:00"/>
        <d v="2024-10-21T00:00:00"/>
        <d v="2023-08-22T00:00:00"/>
        <d v="2024-09-08T00:00:00"/>
        <d v="2024-07-23T00:00:00"/>
        <d v="2024-07-03T00:00:00"/>
        <d v="2023-05-08T00:00:00"/>
        <d v="2024-04-18T00:00:00"/>
        <d v="2024-10-10T00:00:00"/>
        <d v="2024-01-25T00:00:00"/>
        <d v="2024-10-20T00:00:00"/>
        <d v="2024-10-17T00:00:00"/>
        <d v="2024-01-23T00:00:00"/>
        <d v="2023-01-11T00:00:00"/>
        <d v="2024-09-26T00:00:00"/>
        <d v="2023-06-13T00:00:00"/>
        <d v="2023-03-21T00:00:00"/>
        <d v="2024-03-23T00:00:00"/>
        <d v="2023-07-05T00:00:00"/>
        <d v="2024-06-24T00:00:00"/>
        <d v="2024-06-13T00:00:00"/>
        <d v="2024-05-06T00:00:00"/>
        <d v="2024-10-05T00:00:00"/>
        <d v="2023-07-09T00:00:00"/>
        <d v="2024-01-27T00:00:00"/>
        <d v="2023-12-16T00:00:00"/>
        <d v="2024-07-02T00:00:00"/>
        <d v="2024-03-01T00:00:00"/>
        <d v="2023-06-19T00:00:00"/>
        <d v="2024-09-11T00:00:00"/>
        <d v="2024-05-12T00:00:00"/>
        <d v="2024-04-07T00:00:00"/>
        <d v="2023-07-26T00:00:00"/>
        <d v="2024-01-13T00:00:00"/>
        <d v="2023-07-27T00:00:00"/>
        <d v="2024-08-08T00:00:00"/>
        <d v="2023-05-22T00:00:00"/>
        <d v="2023-02-26T00:00:00"/>
        <d v="2024-05-09T00:00:00"/>
        <d v="2024-02-21T00:00:00"/>
        <d v="2024-06-15T00:00:00"/>
        <d v="2023-01-02T00:00:00"/>
        <d v="2024-11-20T00:00:00"/>
        <d v="2023-03-12T00:00:00"/>
        <d v="2024-10-01T00:00:00"/>
        <d v="2024-12-22T00:00:00"/>
        <d v="2023-03-08T00:00:00"/>
        <d v="2024-04-05T00:00:00"/>
        <d v="2024-02-15T00:00:00"/>
        <d v="2023-09-01T00:00:00"/>
        <d v="2023-10-01T00:00:00"/>
        <d v="2023-12-25T00:00:00"/>
        <d v="2024-11-10T00:00:00"/>
        <d v="2024-07-22T00:00:00"/>
        <d v="2024-07-10T00:00:00"/>
        <d v="2024-06-21T00:00:00"/>
        <d v="2023-03-15T00:00:00"/>
        <d v="2024-06-17T00:00:00"/>
        <d v="2024-08-06T00:00:00"/>
        <d v="2024-08-03T00:00:00"/>
        <d v="2024-11-13T00:00:00"/>
        <d v="2024-09-16T00:00:00"/>
        <d v="2023-01-15T00:00:00"/>
        <d v="2024-10-22T00:00:00"/>
        <d v="2024-08-26T00:00:00"/>
        <d v="2023-02-06T00:00:00"/>
        <d v="2023-02-17T00:00:00"/>
        <d v="2023-03-16T00:00:00"/>
        <d v="2023-06-14T00:00:00"/>
        <d v="2023-01-03T00:00:00"/>
        <d v="2024-05-14T00:00:00"/>
        <d v="2023-07-14T00:00:00"/>
        <d v="2024-10-08T00:00:00"/>
        <d v="2023-05-27T00:00:00"/>
        <d v="2024-01-17T00:00:00"/>
        <d v="2024-03-21T00:00:00"/>
        <d v="2023-07-24T00:00:00"/>
        <d v="2024-10-03T00:00:00"/>
        <d v="2023-01-23T00:00:00"/>
        <d v="2023-11-25T00:00:00"/>
        <d v="2023-09-02T00:00:00"/>
        <d v="2023-11-26T00:00:00"/>
        <d v="2024-11-26T00:00:00"/>
        <d v="2024-12-06T00:00:00"/>
        <d v="2024-09-06T00:00:00"/>
        <d v="2024-06-27T00:00:00"/>
        <d v="2023-12-18T00:00:00"/>
        <d v="2023-09-18T00:00:00"/>
        <d v="2024-08-04T00:00:00"/>
        <d v="2023-08-17T00:00:00"/>
        <d v="2023-09-14T00:00:00"/>
        <d v="2024-09-13T00:00:00"/>
        <d v="2024-03-07T00:00:00"/>
        <d v="2024-12-12T00:00:00"/>
        <d v="2023-03-23T00:00:00"/>
        <d v="2023-09-19T00:00:00"/>
        <d v="2023-07-11T00:00:00"/>
        <d v="2024-03-12T00:00:00"/>
        <d v="2024-02-03T00:00:00"/>
        <d v="2024-09-17T00:00:00"/>
        <d v="2023-03-03T00:00:00"/>
        <d v="2024-05-20T00:00:00"/>
        <d v="2023-08-03T00:00:00"/>
        <d v="2024-03-16T00:00:00"/>
        <d v="2023-08-08T00:00:00"/>
        <d v="2023-06-24T00:00:00"/>
        <d v="2023-12-07T00:00:00"/>
        <d v="2023-09-11T00:00:00"/>
        <d v="2024-08-18T00:00:00"/>
        <d v="2023-04-01T00:00:00"/>
        <d v="2023-12-03T00:00:00"/>
        <d v="2023-04-04T00:00:00"/>
        <d v="2023-02-14T00:00:00"/>
        <d v="2024-06-05T00:00:00"/>
        <d v="2024-04-16T00:00:00"/>
        <d v="2024-11-15T00:00:00"/>
        <d v="2023-10-15T00:00:00"/>
        <d v="2024-03-04T00:00:00"/>
        <d v="2023-03-27T00:00:00"/>
        <d v="2023-08-16T00:00:00"/>
        <d v="2023-07-13T00:00:00"/>
        <d v="2024-12-02T00:00:00"/>
        <d v="2023-04-03T00:00:00"/>
        <d v="2024-11-22T00:00:00"/>
        <d v="2023-10-08T00:00:00"/>
        <d v="2024-11-24T00:00:00"/>
        <d v="2024-02-09T00:00:00"/>
        <d v="2024-01-07T00:00:00"/>
        <d v="2024-12-08T00:00:00"/>
        <d v="2023-02-07T00:00:00"/>
        <d v="2024-09-12T00:00:00"/>
        <d v="2024-08-07T00:00:00"/>
        <d v="2024-09-10T00:00:00"/>
        <d v="2023-10-25T00:00:00"/>
        <d v="2024-05-03T00:00:00"/>
        <d v="2023-10-06T00:00:00"/>
        <d v="2023-01-18T00:00:00"/>
        <d v="2024-03-05T00:00:00"/>
        <d v="2023-05-21T00:00:00"/>
        <d v="2023-12-23T00:00:00"/>
        <d v="2023-09-05T00:00:00"/>
        <d v="2023-12-06T00:00:00"/>
        <d v="2023-01-14T00:00:00"/>
        <d v="2023-07-12T00:00:00"/>
        <d v="2024-10-06T00:00:00"/>
        <d v="2023-04-10T00:00:00"/>
        <d v="2024-10-18T00:00:00"/>
        <d v="2024-05-15T00:00:00"/>
        <d v="2024-12-05T00:00:00"/>
        <d v="2023-10-10T00:00:00"/>
        <d v="2023-11-20T00:00:00"/>
        <d v="2023-06-06T00:00:00"/>
        <d v="2024-08-16T00:00:00"/>
        <d v="2023-11-27T00:00:00"/>
        <d v="2024-08-10T00:00:00"/>
        <d v="2023-02-11T00:00:00"/>
        <d v="2024-12-17T00:00:00"/>
        <d v="2024-10-04T00:00:00"/>
        <d v="2023-12-04T00:00:00"/>
        <d v="2023-11-17T00:00:00"/>
        <d v="2023-10-19T00:00:00"/>
        <d v="2023-02-05T00:00:00"/>
        <d v="2024-02-22T00:00:00"/>
        <d v="2024-12-24T00:00:00"/>
        <d v="2024-03-06T00:00:00"/>
        <d v="2023-07-22T00:00:00"/>
        <d v="2023-02-01T00:00:00"/>
        <d v="2023-01-20T00:00:00"/>
        <d v="2024-06-22T00:00:00"/>
        <d v="2023-06-11T00:00:00"/>
        <d v="2023-01-27T00:00:00"/>
        <d v="2023-12-10T00:00:00"/>
        <d v="2023-05-03T00:00:00"/>
        <d v="2023-10-09T00:00:00"/>
        <d v="2023-10-18T00:00:00"/>
        <d v="2024-07-17T00:00:00"/>
        <d v="2024-04-09T00:00:00"/>
        <d v="2023-06-10T00:00:00"/>
        <d v="2023-08-19T00:00:00"/>
        <d v="2024-04-15T00:00:00"/>
        <d v="2023-10-05T00:00:00"/>
        <d v="2024-04-20T00:00:00"/>
        <d v="2024-12-23T00:00:00"/>
        <d v="2023-01-25T00:00:00"/>
        <d v="2024-08-13T00:00:00"/>
        <d v="2023-05-16T00:00:00"/>
        <d v="2023-06-15T00:00:00"/>
        <d v="2024-05-10T00:00:00"/>
        <d v="2023-03-14T00:00:00"/>
        <d v="2024-09-09T00:00:00"/>
        <d v="2023-08-25T00:00:00"/>
        <d v="2023-11-14T00:00:00"/>
        <d v="2024-08-20T00:00:00"/>
        <d v="2024-07-16T00:00:00"/>
        <d v="2023-02-03T00:00:00"/>
        <d v="2024-02-11T00:00:00"/>
        <d v="2024-08-11T00:00:00"/>
        <d v="2024-11-21T00:00:00"/>
        <d v="2023-06-22T00:00:00"/>
        <d v="2023-11-07T00:00:00"/>
        <d v="2024-04-23T00:00:00"/>
        <d v="2023-12-17T00:00:00"/>
        <d v="2023-03-10T00:00:00"/>
        <d v="2024-11-18T00:00:00"/>
        <d v="2024-03-22T00:00:00"/>
        <d v="2024-03-11T00:00:00"/>
        <d v="2023-04-16T00:00:00"/>
        <d v="2024-03-03T00:00:00"/>
        <d v="2023-06-21T00:00:00"/>
        <d v="2024-05-16T00:00:00"/>
        <d v="2023-03-06T00:00:00"/>
        <d v="2024-06-25T00:00:00"/>
        <d v="2023-08-11T00:00:00"/>
        <d v="2024-01-15T00:00:00"/>
        <d v="2023-03-07T00:00:00"/>
        <d v="2023-05-02T00:00:00"/>
        <d v="2023-10-26T00:00:00"/>
        <d v="2024-03-27T00:00:00"/>
        <d v="2023-04-27T00:00:00"/>
        <d v="2023-11-08T00:00:00"/>
        <d v="2024-02-07T00:00:00"/>
        <d v="2024-09-14T00:00:00"/>
        <d v="2024-04-08T00:00:00"/>
        <d v="2024-07-13T00:00:00"/>
        <d v="2024-02-17T00:00:00"/>
        <d v="2024-12-04T00:00:00"/>
        <d v="2024-05-21T00:00:00"/>
        <d v="2023-03-26T00:00:00"/>
        <d v="2023-04-15T00:00:00"/>
        <d v="2023-06-12T00:00:00"/>
        <d v="2023-01-05T00:00:00"/>
        <d v="2024-10-23T00:00:00"/>
        <d v="2024-06-14T00:00:00"/>
      </sharedItems>
      <fieldGroup par="14"/>
    </cacheField>
    <cacheField name="Age Group" numFmtId="0">
      <sharedItems count="4">
        <s v="Senior (56+)"/>
        <s v="Young Adult (18-35)"/>
        <s v="Child (0-17)"/>
        <s v="Middle Age (36-55)"/>
      </sharedItems>
    </cacheField>
    <cacheField name="Day of Week" numFmtId="0">
      <sharedItems/>
    </cacheField>
    <cacheField name="Day Type" numFmtId="0">
      <sharedItems/>
    </cacheField>
    <cacheField name="No Show Flag" numFmtId="0">
      <sharedItems containsSemiMixedTypes="0" containsString="0" containsNumber="1" containsInteger="1" minValue="0" maxValue="1"/>
    </cacheField>
    <cacheField name="Months (Appointment Date)" numFmtId="0" databaseField="0">
      <fieldGroup base="7">
        <rangePr groupBy="months" startDate="2023-01-02T00:00:00" endDate="2024-12-27T00:00:00"/>
        <groupItems count="14">
          <s v="&lt;1/2/2023"/>
          <s v="Jan"/>
          <s v="Feb"/>
          <s v="Mar"/>
          <s v="Apr"/>
          <s v="May"/>
          <s v="Jun"/>
          <s v="Jul"/>
          <s v="Aug"/>
          <s v="Sep"/>
          <s v="Oct"/>
          <s v="Nov"/>
          <s v="Dec"/>
          <s v="&gt;12/27/2024"/>
        </groupItems>
      </fieldGroup>
    </cacheField>
    <cacheField name="Quarters (Appointment Date)" numFmtId="0" databaseField="0">
      <fieldGroup base="7">
        <rangePr groupBy="quarters" startDate="2023-01-02T00:00:00" endDate="2024-12-27T00:00:00"/>
        <groupItems count="6">
          <s v="&lt;1/2/2023"/>
          <s v="Qtr1"/>
          <s v="Qtr2"/>
          <s v="Qtr3"/>
          <s v="Qtr4"/>
          <s v="&gt;12/27/2024"/>
        </groupItems>
      </fieldGroup>
    </cacheField>
    <cacheField name="Years (Appointment Date)" numFmtId="0" databaseField="0">
      <fieldGroup base="7">
        <rangePr groupBy="years" startDate="2023-01-02T00:00:00" endDate="2024-12-27T00:00:00"/>
        <groupItems count="4">
          <s v="&lt;1/2/2023"/>
          <s v="2023"/>
          <s v="2024"/>
          <s v="&gt;12/27/2024"/>
        </groupItems>
      </fieldGroup>
    </cacheField>
  </cacheFields>
  <extLst>
    <ext xmlns:x14="http://schemas.microsoft.com/office/spreadsheetml/2009/9/main" uri="{725AE2AE-9491-48be-B2B4-4EB974FC3084}">
      <x14:pivotCacheDefinition pivotCacheId="2030443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56"/>
    <x v="0"/>
    <x v="0"/>
    <x v="0"/>
    <x v="0"/>
    <n v="914"/>
    <n v="4"/>
    <x v="0"/>
    <x v="0"/>
    <s v="Sunday"/>
    <s v="Weekday"/>
    <n v="0"/>
  </r>
  <r>
    <n v="19"/>
    <x v="1"/>
    <x v="1"/>
    <x v="1"/>
    <x v="0"/>
    <n v="1546"/>
    <n v="6"/>
    <x v="1"/>
    <x v="1"/>
    <s v="Friday"/>
    <s v="Weekend"/>
    <n v="0"/>
  </r>
  <r>
    <n v="76"/>
    <x v="0"/>
    <x v="2"/>
    <x v="2"/>
    <x v="0"/>
    <n v="725"/>
    <n v="1"/>
    <x v="2"/>
    <x v="0"/>
    <s v="Monday"/>
    <s v="Weekday"/>
    <n v="0"/>
  </r>
  <r>
    <n v="65"/>
    <x v="1"/>
    <x v="0"/>
    <x v="1"/>
    <x v="0"/>
    <n v="1492"/>
    <n v="20"/>
    <x v="3"/>
    <x v="0"/>
    <s v="Sunday"/>
    <s v="Weekday"/>
    <n v="0"/>
  </r>
  <r>
    <n v="25"/>
    <x v="1"/>
    <x v="2"/>
    <x v="3"/>
    <x v="1"/>
    <n v="1331"/>
    <n v="16"/>
    <x v="4"/>
    <x v="1"/>
    <s v="Thursday"/>
    <s v="Weekday"/>
    <n v="0"/>
  </r>
  <r>
    <n v="79"/>
    <x v="0"/>
    <x v="3"/>
    <x v="4"/>
    <x v="0"/>
    <n v="420"/>
    <n v="15"/>
    <x v="0"/>
    <x v="0"/>
    <s v="Sunday"/>
    <s v="Weekday"/>
    <n v="0"/>
  </r>
  <r>
    <n v="79"/>
    <x v="1"/>
    <x v="1"/>
    <x v="0"/>
    <x v="0"/>
    <n v="937"/>
    <n v="17"/>
    <x v="5"/>
    <x v="0"/>
    <s v="Friday"/>
    <s v="Weekend"/>
    <n v="0"/>
  </r>
  <r>
    <n v="28"/>
    <x v="0"/>
    <x v="1"/>
    <x v="1"/>
    <x v="1"/>
    <n v="1675"/>
    <n v="8"/>
    <x v="6"/>
    <x v="1"/>
    <s v="Wednesday"/>
    <s v="Weekday"/>
    <n v="0"/>
  </r>
  <r>
    <n v="7"/>
    <x v="0"/>
    <x v="2"/>
    <x v="4"/>
    <x v="0"/>
    <n v="556"/>
    <n v="12"/>
    <x v="7"/>
    <x v="2"/>
    <s v="Saturday"/>
    <s v="Weekend"/>
    <n v="0"/>
  </r>
  <r>
    <n v="26"/>
    <x v="0"/>
    <x v="4"/>
    <x v="2"/>
    <x v="1"/>
    <n v="878"/>
    <n v="10"/>
    <x v="8"/>
    <x v="1"/>
    <s v="Saturday"/>
    <s v="Weekend"/>
    <n v="0"/>
  </r>
  <r>
    <n v="57"/>
    <x v="0"/>
    <x v="3"/>
    <x v="4"/>
    <x v="0"/>
    <n v="531"/>
    <n v="15"/>
    <x v="9"/>
    <x v="0"/>
    <s v="Saturday"/>
    <s v="Weekend"/>
    <n v="0"/>
  </r>
  <r>
    <n v="6"/>
    <x v="0"/>
    <x v="0"/>
    <x v="0"/>
    <x v="2"/>
    <n v="927"/>
    <n v="9"/>
    <x v="10"/>
    <x v="2"/>
    <s v="Thursday"/>
    <s v="Weekday"/>
    <n v="1"/>
  </r>
  <r>
    <n v="34"/>
    <x v="0"/>
    <x v="5"/>
    <x v="1"/>
    <x v="0"/>
    <n v="1659"/>
    <n v="2"/>
    <x v="0"/>
    <x v="1"/>
    <s v="Sunday"/>
    <s v="Weekday"/>
    <n v="0"/>
  </r>
  <r>
    <n v="42"/>
    <x v="0"/>
    <x v="0"/>
    <x v="3"/>
    <x v="0"/>
    <n v="1175"/>
    <n v="5"/>
    <x v="11"/>
    <x v="3"/>
    <s v="Friday"/>
    <s v="Weekend"/>
    <n v="0"/>
  </r>
  <r>
    <n v="6"/>
    <x v="0"/>
    <x v="0"/>
    <x v="2"/>
    <x v="0"/>
    <n v="766"/>
    <n v="6"/>
    <x v="12"/>
    <x v="2"/>
    <s v="Saturday"/>
    <s v="Weekend"/>
    <n v="0"/>
  </r>
  <r>
    <n v="68"/>
    <x v="1"/>
    <x v="5"/>
    <x v="1"/>
    <x v="2"/>
    <n v="1593"/>
    <n v="7"/>
    <x v="13"/>
    <x v="0"/>
    <s v="Thursday"/>
    <s v="Weekday"/>
    <n v="1"/>
  </r>
  <r>
    <n v="64"/>
    <x v="1"/>
    <x v="2"/>
    <x v="0"/>
    <x v="1"/>
    <n v="1061"/>
    <n v="1"/>
    <x v="14"/>
    <x v="0"/>
    <s v="Tuesday"/>
    <s v="Weekday"/>
    <n v="0"/>
  </r>
  <r>
    <n v="25"/>
    <x v="0"/>
    <x v="2"/>
    <x v="2"/>
    <x v="0"/>
    <n v="956"/>
    <n v="7"/>
    <x v="15"/>
    <x v="1"/>
    <s v="Tuesday"/>
    <s v="Weekday"/>
    <n v="0"/>
  </r>
  <r>
    <n v="37"/>
    <x v="1"/>
    <x v="0"/>
    <x v="5"/>
    <x v="0"/>
    <n v="971"/>
    <n v="20"/>
    <x v="16"/>
    <x v="3"/>
    <s v="Saturday"/>
    <s v="Weekend"/>
    <n v="0"/>
  </r>
  <r>
    <n v="62"/>
    <x v="1"/>
    <x v="2"/>
    <x v="4"/>
    <x v="2"/>
    <n v="486"/>
    <n v="12"/>
    <x v="17"/>
    <x v="0"/>
    <s v="Monday"/>
    <s v="Weekday"/>
    <n v="1"/>
  </r>
  <r>
    <n v="26"/>
    <x v="1"/>
    <x v="0"/>
    <x v="0"/>
    <x v="0"/>
    <n v="1161"/>
    <n v="16"/>
    <x v="18"/>
    <x v="1"/>
    <s v="Tuesday"/>
    <s v="Weekday"/>
    <n v="0"/>
  </r>
  <r>
    <n v="53"/>
    <x v="1"/>
    <x v="3"/>
    <x v="5"/>
    <x v="1"/>
    <n v="1113"/>
    <n v="16"/>
    <x v="19"/>
    <x v="3"/>
    <s v="Friday"/>
    <s v="Weekend"/>
    <n v="0"/>
  </r>
  <r>
    <n v="63"/>
    <x v="0"/>
    <x v="5"/>
    <x v="1"/>
    <x v="1"/>
    <n v="1552"/>
    <n v="11"/>
    <x v="20"/>
    <x v="0"/>
    <s v="Monday"/>
    <s v="Weekday"/>
    <n v="0"/>
  </r>
  <r>
    <n v="46"/>
    <x v="0"/>
    <x v="5"/>
    <x v="3"/>
    <x v="0"/>
    <n v="1309"/>
    <n v="4"/>
    <x v="21"/>
    <x v="3"/>
    <s v="Friday"/>
    <s v="Weekend"/>
    <n v="0"/>
  </r>
  <r>
    <n v="64"/>
    <x v="1"/>
    <x v="6"/>
    <x v="2"/>
    <x v="0"/>
    <n v="760"/>
    <n v="13"/>
    <x v="22"/>
    <x v="0"/>
    <s v="Saturday"/>
    <s v="Weekend"/>
    <n v="0"/>
  </r>
  <r>
    <n v="19"/>
    <x v="0"/>
    <x v="5"/>
    <x v="4"/>
    <x v="0"/>
    <n v="667"/>
    <n v="7"/>
    <x v="23"/>
    <x v="1"/>
    <s v="Tuesday"/>
    <s v="Weekday"/>
    <n v="0"/>
  </r>
  <r>
    <n v="66"/>
    <x v="0"/>
    <x v="5"/>
    <x v="2"/>
    <x v="0"/>
    <n v="961"/>
    <n v="4"/>
    <x v="24"/>
    <x v="0"/>
    <s v="Wednesday"/>
    <s v="Weekday"/>
    <n v="0"/>
  </r>
  <r>
    <n v="66"/>
    <x v="1"/>
    <x v="2"/>
    <x v="1"/>
    <x v="2"/>
    <n v="1617"/>
    <n v="15"/>
    <x v="25"/>
    <x v="0"/>
    <s v="Tuesday"/>
    <s v="Weekday"/>
    <n v="1"/>
  </r>
  <r>
    <n v="51"/>
    <x v="0"/>
    <x v="0"/>
    <x v="2"/>
    <x v="0"/>
    <n v="982"/>
    <n v="19"/>
    <x v="26"/>
    <x v="3"/>
    <s v="Sunday"/>
    <s v="Weekday"/>
    <n v="0"/>
  </r>
  <r>
    <n v="66"/>
    <x v="1"/>
    <x v="0"/>
    <x v="4"/>
    <x v="2"/>
    <n v="535"/>
    <n v="9"/>
    <x v="27"/>
    <x v="0"/>
    <s v="Wednesday"/>
    <s v="Weekday"/>
    <n v="1"/>
  </r>
  <r>
    <n v="55"/>
    <x v="1"/>
    <x v="2"/>
    <x v="1"/>
    <x v="0"/>
    <n v="1492"/>
    <n v="11"/>
    <x v="28"/>
    <x v="3"/>
    <s v="Friday"/>
    <s v="Weekend"/>
    <n v="0"/>
  </r>
  <r>
    <n v="59"/>
    <x v="0"/>
    <x v="0"/>
    <x v="2"/>
    <x v="2"/>
    <n v="808"/>
    <n v="8"/>
    <x v="29"/>
    <x v="0"/>
    <s v="Sunday"/>
    <s v="Weekday"/>
    <n v="1"/>
  </r>
  <r>
    <n v="68"/>
    <x v="1"/>
    <x v="0"/>
    <x v="3"/>
    <x v="0"/>
    <n v="1340"/>
    <n v="1"/>
    <x v="30"/>
    <x v="0"/>
    <s v="Sunday"/>
    <s v="Weekday"/>
    <n v="0"/>
  </r>
  <r>
    <n v="7"/>
    <x v="0"/>
    <x v="6"/>
    <x v="0"/>
    <x v="0"/>
    <n v="1041"/>
    <n v="8"/>
    <x v="31"/>
    <x v="2"/>
    <s v="Friday"/>
    <s v="Weekend"/>
    <n v="0"/>
  </r>
  <r>
    <n v="55"/>
    <x v="0"/>
    <x v="7"/>
    <x v="1"/>
    <x v="0"/>
    <n v="1690"/>
    <n v="13"/>
    <x v="32"/>
    <x v="3"/>
    <s v="Saturday"/>
    <s v="Weekend"/>
    <n v="0"/>
  </r>
  <r>
    <n v="11"/>
    <x v="1"/>
    <x v="3"/>
    <x v="0"/>
    <x v="1"/>
    <n v="1136"/>
    <n v="4"/>
    <x v="33"/>
    <x v="2"/>
    <s v="Tuesday"/>
    <s v="Weekday"/>
    <n v="0"/>
  </r>
  <r>
    <n v="25"/>
    <x v="0"/>
    <x v="2"/>
    <x v="1"/>
    <x v="0"/>
    <n v="1576"/>
    <n v="8"/>
    <x v="34"/>
    <x v="1"/>
    <s v="Friday"/>
    <s v="Weekend"/>
    <n v="0"/>
  </r>
  <r>
    <n v="77"/>
    <x v="0"/>
    <x v="2"/>
    <x v="3"/>
    <x v="1"/>
    <n v="1240"/>
    <n v="3"/>
    <x v="35"/>
    <x v="0"/>
    <s v="Saturday"/>
    <s v="Weekend"/>
    <n v="0"/>
  </r>
  <r>
    <n v="43"/>
    <x v="1"/>
    <x v="4"/>
    <x v="0"/>
    <x v="0"/>
    <n v="1088"/>
    <n v="9"/>
    <x v="36"/>
    <x v="3"/>
    <s v="Saturday"/>
    <s v="Weekend"/>
    <n v="0"/>
  </r>
  <r>
    <n v="22"/>
    <x v="0"/>
    <x v="4"/>
    <x v="5"/>
    <x v="0"/>
    <n v="948"/>
    <n v="2"/>
    <x v="37"/>
    <x v="1"/>
    <s v="Monday"/>
    <s v="Weekday"/>
    <n v="0"/>
  </r>
  <r>
    <n v="8"/>
    <x v="0"/>
    <x v="2"/>
    <x v="4"/>
    <x v="0"/>
    <n v="589"/>
    <n v="2"/>
    <x v="38"/>
    <x v="2"/>
    <s v="Sunday"/>
    <s v="Weekday"/>
    <n v="0"/>
  </r>
  <r>
    <n v="64"/>
    <x v="0"/>
    <x v="5"/>
    <x v="5"/>
    <x v="0"/>
    <n v="1035"/>
    <n v="13"/>
    <x v="34"/>
    <x v="0"/>
    <s v="Friday"/>
    <s v="Weekend"/>
    <n v="0"/>
  </r>
  <r>
    <n v="18"/>
    <x v="0"/>
    <x v="2"/>
    <x v="2"/>
    <x v="0"/>
    <n v="742"/>
    <n v="15"/>
    <x v="39"/>
    <x v="1"/>
    <s v="Monday"/>
    <s v="Weekday"/>
    <n v="0"/>
  </r>
  <r>
    <n v="13"/>
    <x v="1"/>
    <x v="2"/>
    <x v="3"/>
    <x v="2"/>
    <n v="1189"/>
    <n v="12"/>
    <x v="40"/>
    <x v="2"/>
    <s v="Monday"/>
    <s v="Weekday"/>
    <n v="1"/>
  </r>
  <r>
    <n v="57"/>
    <x v="0"/>
    <x v="2"/>
    <x v="5"/>
    <x v="2"/>
    <n v="1194"/>
    <n v="4"/>
    <x v="41"/>
    <x v="0"/>
    <s v="Thursday"/>
    <s v="Weekday"/>
    <n v="1"/>
  </r>
  <r>
    <n v="6"/>
    <x v="0"/>
    <x v="2"/>
    <x v="1"/>
    <x v="2"/>
    <n v="1644"/>
    <n v="8"/>
    <x v="42"/>
    <x v="2"/>
    <s v="Friday"/>
    <s v="Weekend"/>
    <n v="1"/>
  </r>
  <r>
    <n v="64"/>
    <x v="0"/>
    <x v="7"/>
    <x v="2"/>
    <x v="1"/>
    <n v="891"/>
    <n v="9"/>
    <x v="43"/>
    <x v="0"/>
    <s v="Tuesday"/>
    <s v="Weekday"/>
    <n v="0"/>
  </r>
  <r>
    <n v="75"/>
    <x v="0"/>
    <x v="5"/>
    <x v="2"/>
    <x v="0"/>
    <n v="805"/>
    <n v="5"/>
    <x v="12"/>
    <x v="0"/>
    <s v="Saturday"/>
    <s v="Weekend"/>
    <n v="0"/>
  </r>
  <r>
    <n v="48"/>
    <x v="0"/>
    <x v="0"/>
    <x v="5"/>
    <x v="0"/>
    <n v="1132"/>
    <n v="20"/>
    <x v="4"/>
    <x v="3"/>
    <s v="Thursday"/>
    <s v="Weekday"/>
    <n v="0"/>
  </r>
  <r>
    <n v="12"/>
    <x v="1"/>
    <x v="5"/>
    <x v="5"/>
    <x v="0"/>
    <n v="1164"/>
    <n v="18"/>
    <x v="44"/>
    <x v="2"/>
    <s v="Sunday"/>
    <s v="Weekday"/>
    <n v="0"/>
  </r>
  <r>
    <n v="51"/>
    <x v="0"/>
    <x v="4"/>
    <x v="3"/>
    <x v="1"/>
    <n v="1136"/>
    <n v="11"/>
    <x v="45"/>
    <x v="3"/>
    <s v="Sunday"/>
    <s v="Weekday"/>
    <n v="0"/>
  </r>
  <r>
    <n v="39"/>
    <x v="0"/>
    <x v="7"/>
    <x v="4"/>
    <x v="0"/>
    <n v="440"/>
    <n v="15"/>
    <x v="46"/>
    <x v="3"/>
    <s v="Thursday"/>
    <s v="Weekday"/>
    <n v="0"/>
  </r>
  <r>
    <n v="40"/>
    <x v="0"/>
    <x v="2"/>
    <x v="5"/>
    <x v="0"/>
    <n v="916"/>
    <n v="9"/>
    <x v="47"/>
    <x v="3"/>
    <s v="Tuesday"/>
    <s v="Weekday"/>
    <n v="0"/>
  </r>
  <r>
    <n v="54"/>
    <x v="0"/>
    <x v="0"/>
    <x v="5"/>
    <x v="0"/>
    <n v="1176"/>
    <n v="17"/>
    <x v="48"/>
    <x v="3"/>
    <s v="Sunday"/>
    <s v="Weekday"/>
    <n v="0"/>
  </r>
  <r>
    <n v="8"/>
    <x v="1"/>
    <x v="2"/>
    <x v="0"/>
    <x v="0"/>
    <n v="958"/>
    <n v="12"/>
    <x v="49"/>
    <x v="2"/>
    <s v="Wednesday"/>
    <s v="Weekday"/>
    <n v="0"/>
  </r>
  <r>
    <n v="6"/>
    <x v="1"/>
    <x v="2"/>
    <x v="1"/>
    <x v="2"/>
    <n v="1582"/>
    <n v="7"/>
    <x v="50"/>
    <x v="2"/>
    <s v="Friday"/>
    <s v="Weekend"/>
    <n v="1"/>
  </r>
  <r>
    <n v="10"/>
    <x v="1"/>
    <x v="2"/>
    <x v="0"/>
    <x v="1"/>
    <n v="940"/>
    <n v="10"/>
    <x v="51"/>
    <x v="2"/>
    <s v="Saturday"/>
    <s v="Weekend"/>
    <n v="0"/>
  </r>
  <r>
    <n v="58"/>
    <x v="1"/>
    <x v="3"/>
    <x v="0"/>
    <x v="0"/>
    <n v="938"/>
    <n v="10"/>
    <x v="9"/>
    <x v="0"/>
    <s v="Saturday"/>
    <s v="Weekend"/>
    <n v="0"/>
  </r>
  <r>
    <n v="8"/>
    <x v="0"/>
    <x v="0"/>
    <x v="2"/>
    <x v="2"/>
    <n v="891"/>
    <n v="13"/>
    <x v="52"/>
    <x v="2"/>
    <s v="Monday"/>
    <s v="Weekday"/>
    <n v="1"/>
  </r>
  <r>
    <n v="58"/>
    <x v="0"/>
    <x v="2"/>
    <x v="4"/>
    <x v="0"/>
    <n v="666"/>
    <n v="19"/>
    <x v="53"/>
    <x v="0"/>
    <s v="Wednesday"/>
    <s v="Weekday"/>
    <n v="0"/>
  </r>
  <r>
    <n v="67"/>
    <x v="0"/>
    <x v="2"/>
    <x v="1"/>
    <x v="0"/>
    <n v="1546"/>
    <n v="11"/>
    <x v="54"/>
    <x v="0"/>
    <s v="Friday"/>
    <s v="Weekend"/>
    <n v="0"/>
  </r>
  <r>
    <n v="22"/>
    <x v="1"/>
    <x v="0"/>
    <x v="3"/>
    <x v="0"/>
    <n v="1226"/>
    <n v="13"/>
    <x v="55"/>
    <x v="1"/>
    <s v="Tuesday"/>
    <s v="Weekday"/>
    <n v="0"/>
  </r>
  <r>
    <n v="48"/>
    <x v="0"/>
    <x v="2"/>
    <x v="3"/>
    <x v="0"/>
    <n v="1145"/>
    <n v="8"/>
    <x v="56"/>
    <x v="3"/>
    <s v="Tuesday"/>
    <s v="Weekday"/>
    <n v="0"/>
  </r>
  <r>
    <n v="38"/>
    <x v="1"/>
    <x v="0"/>
    <x v="5"/>
    <x v="0"/>
    <n v="944"/>
    <n v="8"/>
    <x v="57"/>
    <x v="3"/>
    <s v="Monday"/>
    <s v="Weekday"/>
    <n v="0"/>
  </r>
  <r>
    <n v="78"/>
    <x v="1"/>
    <x v="2"/>
    <x v="5"/>
    <x v="2"/>
    <n v="900"/>
    <n v="4"/>
    <x v="58"/>
    <x v="0"/>
    <s v="Friday"/>
    <s v="Weekend"/>
    <n v="1"/>
  </r>
  <r>
    <n v="66"/>
    <x v="0"/>
    <x v="2"/>
    <x v="3"/>
    <x v="0"/>
    <n v="1267"/>
    <n v="15"/>
    <x v="59"/>
    <x v="0"/>
    <s v="Sunday"/>
    <s v="Weekday"/>
    <n v="0"/>
  </r>
  <r>
    <n v="18"/>
    <x v="0"/>
    <x v="0"/>
    <x v="5"/>
    <x v="2"/>
    <n v="1007"/>
    <n v="11"/>
    <x v="60"/>
    <x v="1"/>
    <s v="Monday"/>
    <s v="Weekday"/>
    <n v="1"/>
  </r>
  <r>
    <n v="52"/>
    <x v="1"/>
    <x v="3"/>
    <x v="4"/>
    <x v="0"/>
    <n v="418"/>
    <n v="11"/>
    <x v="61"/>
    <x v="3"/>
    <s v="Monday"/>
    <s v="Weekday"/>
    <n v="0"/>
  </r>
  <r>
    <n v="19"/>
    <x v="1"/>
    <x v="2"/>
    <x v="0"/>
    <x v="0"/>
    <n v="971"/>
    <n v="1"/>
    <x v="62"/>
    <x v="1"/>
    <s v="Thursday"/>
    <s v="Weekday"/>
    <n v="0"/>
  </r>
  <r>
    <n v="76"/>
    <x v="1"/>
    <x v="2"/>
    <x v="5"/>
    <x v="0"/>
    <n v="1008"/>
    <n v="17"/>
    <x v="63"/>
    <x v="0"/>
    <s v="Friday"/>
    <s v="Weekend"/>
    <n v="0"/>
  </r>
  <r>
    <n v="66"/>
    <x v="1"/>
    <x v="2"/>
    <x v="2"/>
    <x v="0"/>
    <n v="967"/>
    <n v="15"/>
    <x v="64"/>
    <x v="0"/>
    <s v="Monday"/>
    <s v="Weekday"/>
    <n v="0"/>
  </r>
  <r>
    <n v="44"/>
    <x v="0"/>
    <x v="4"/>
    <x v="5"/>
    <x v="0"/>
    <n v="1139"/>
    <n v="20"/>
    <x v="65"/>
    <x v="3"/>
    <s v="Monday"/>
    <s v="Weekday"/>
    <n v="0"/>
  </r>
  <r>
    <n v="57"/>
    <x v="1"/>
    <x v="0"/>
    <x v="1"/>
    <x v="2"/>
    <n v="1489"/>
    <n v="6"/>
    <x v="66"/>
    <x v="0"/>
    <s v="Sunday"/>
    <s v="Weekday"/>
    <n v="1"/>
  </r>
  <r>
    <n v="28"/>
    <x v="0"/>
    <x v="3"/>
    <x v="4"/>
    <x v="0"/>
    <n v="502"/>
    <n v="15"/>
    <x v="29"/>
    <x v="1"/>
    <s v="Sunday"/>
    <s v="Weekday"/>
    <n v="0"/>
  </r>
  <r>
    <n v="30"/>
    <x v="1"/>
    <x v="4"/>
    <x v="1"/>
    <x v="0"/>
    <n v="1649"/>
    <n v="9"/>
    <x v="32"/>
    <x v="1"/>
    <s v="Saturday"/>
    <s v="Weekend"/>
    <n v="0"/>
  </r>
  <r>
    <n v="64"/>
    <x v="1"/>
    <x v="2"/>
    <x v="1"/>
    <x v="0"/>
    <n v="1407"/>
    <n v="14"/>
    <x v="67"/>
    <x v="0"/>
    <s v="Monday"/>
    <s v="Weekday"/>
    <n v="0"/>
  </r>
  <r>
    <n v="45"/>
    <x v="1"/>
    <x v="1"/>
    <x v="2"/>
    <x v="0"/>
    <n v="852"/>
    <n v="18"/>
    <x v="68"/>
    <x v="3"/>
    <s v="Sunday"/>
    <s v="Weekday"/>
    <n v="0"/>
  </r>
  <r>
    <n v="33"/>
    <x v="1"/>
    <x v="3"/>
    <x v="4"/>
    <x v="0"/>
    <n v="573"/>
    <n v="17"/>
    <x v="69"/>
    <x v="1"/>
    <s v="Friday"/>
    <s v="Weekend"/>
    <n v="0"/>
  </r>
  <r>
    <n v="19"/>
    <x v="1"/>
    <x v="2"/>
    <x v="4"/>
    <x v="0"/>
    <n v="557"/>
    <n v="18"/>
    <x v="70"/>
    <x v="1"/>
    <s v="Tuesday"/>
    <s v="Weekday"/>
    <n v="0"/>
  </r>
  <r>
    <n v="49"/>
    <x v="1"/>
    <x v="0"/>
    <x v="4"/>
    <x v="0"/>
    <n v="614"/>
    <n v="5"/>
    <x v="71"/>
    <x v="3"/>
    <s v="Wednesday"/>
    <s v="Weekday"/>
    <n v="0"/>
  </r>
  <r>
    <n v="69"/>
    <x v="0"/>
    <x v="6"/>
    <x v="4"/>
    <x v="0"/>
    <n v="576"/>
    <n v="20"/>
    <x v="72"/>
    <x v="0"/>
    <s v="Sunday"/>
    <s v="Weekday"/>
    <n v="0"/>
  </r>
  <r>
    <n v="75"/>
    <x v="1"/>
    <x v="0"/>
    <x v="4"/>
    <x v="0"/>
    <n v="574"/>
    <n v="20"/>
    <x v="73"/>
    <x v="0"/>
    <s v="Wednesday"/>
    <s v="Weekday"/>
    <n v="0"/>
  </r>
  <r>
    <n v="13"/>
    <x v="0"/>
    <x v="7"/>
    <x v="2"/>
    <x v="0"/>
    <n v="845"/>
    <n v="9"/>
    <x v="74"/>
    <x v="2"/>
    <s v="Tuesday"/>
    <s v="Weekday"/>
    <n v="0"/>
  </r>
  <r>
    <n v="5"/>
    <x v="1"/>
    <x v="0"/>
    <x v="5"/>
    <x v="0"/>
    <n v="1060"/>
    <n v="11"/>
    <x v="75"/>
    <x v="2"/>
    <s v="Wednesday"/>
    <s v="Weekday"/>
    <n v="0"/>
  </r>
  <r>
    <n v="12"/>
    <x v="0"/>
    <x v="5"/>
    <x v="1"/>
    <x v="0"/>
    <n v="1526"/>
    <n v="1"/>
    <x v="76"/>
    <x v="2"/>
    <s v="Wednesday"/>
    <s v="Weekday"/>
    <n v="0"/>
  </r>
  <r>
    <n v="67"/>
    <x v="0"/>
    <x v="0"/>
    <x v="4"/>
    <x v="2"/>
    <n v="481"/>
    <n v="18"/>
    <x v="77"/>
    <x v="0"/>
    <s v="Monday"/>
    <s v="Weekday"/>
    <n v="1"/>
  </r>
  <r>
    <n v="15"/>
    <x v="0"/>
    <x v="6"/>
    <x v="5"/>
    <x v="0"/>
    <n v="1046"/>
    <n v="6"/>
    <x v="78"/>
    <x v="2"/>
    <s v="Friday"/>
    <s v="Weekend"/>
    <n v="0"/>
  </r>
  <r>
    <n v="12"/>
    <x v="0"/>
    <x v="3"/>
    <x v="5"/>
    <x v="0"/>
    <n v="1138"/>
    <n v="2"/>
    <x v="79"/>
    <x v="2"/>
    <s v="Monday"/>
    <s v="Weekday"/>
    <n v="0"/>
  </r>
  <r>
    <n v="39"/>
    <x v="1"/>
    <x v="2"/>
    <x v="1"/>
    <x v="0"/>
    <n v="1483"/>
    <n v="15"/>
    <x v="80"/>
    <x v="3"/>
    <s v="Sunday"/>
    <s v="Weekday"/>
    <n v="0"/>
  </r>
  <r>
    <n v="39"/>
    <x v="0"/>
    <x v="2"/>
    <x v="2"/>
    <x v="2"/>
    <n v="812"/>
    <n v="14"/>
    <x v="81"/>
    <x v="3"/>
    <s v="Thursday"/>
    <s v="Weekday"/>
    <n v="1"/>
  </r>
  <r>
    <n v="37"/>
    <x v="1"/>
    <x v="2"/>
    <x v="3"/>
    <x v="0"/>
    <n v="1324"/>
    <n v="5"/>
    <x v="82"/>
    <x v="3"/>
    <s v="Thursday"/>
    <s v="Weekday"/>
    <n v="0"/>
  </r>
  <r>
    <n v="9"/>
    <x v="0"/>
    <x v="2"/>
    <x v="3"/>
    <x v="0"/>
    <n v="1342"/>
    <n v="6"/>
    <x v="83"/>
    <x v="2"/>
    <s v="Wednesday"/>
    <s v="Weekday"/>
    <n v="0"/>
  </r>
  <r>
    <n v="45"/>
    <x v="1"/>
    <x v="2"/>
    <x v="5"/>
    <x v="1"/>
    <n v="1042"/>
    <n v="6"/>
    <x v="84"/>
    <x v="3"/>
    <s v="Tuesday"/>
    <s v="Weekday"/>
    <n v="0"/>
  </r>
  <r>
    <n v="32"/>
    <x v="1"/>
    <x v="5"/>
    <x v="0"/>
    <x v="0"/>
    <n v="940"/>
    <n v="18"/>
    <x v="85"/>
    <x v="1"/>
    <s v="Sunday"/>
    <s v="Weekday"/>
    <n v="0"/>
  </r>
  <r>
    <n v="11"/>
    <x v="0"/>
    <x v="0"/>
    <x v="0"/>
    <x v="0"/>
    <n v="1157"/>
    <n v="14"/>
    <x v="86"/>
    <x v="2"/>
    <s v="Friday"/>
    <s v="Weekend"/>
    <n v="0"/>
  </r>
  <r>
    <n v="77"/>
    <x v="0"/>
    <x v="5"/>
    <x v="1"/>
    <x v="0"/>
    <n v="1684"/>
    <n v="10"/>
    <x v="87"/>
    <x v="0"/>
    <s v="Monday"/>
    <s v="Weekday"/>
    <n v="0"/>
  </r>
  <r>
    <n v="76"/>
    <x v="0"/>
    <x v="4"/>
    <x v="3"/>
    <x v="0"/>
    <n v="1204"/>
    <n v="14"/>
    <x v="88"/>
    <x v="0"/>
    <s v="Monday"/>
    <s v="Weekday"/>
    <n v="0"/>
  </r>
  <r>
    <n v="16"/>
    <x v="0"/>
    <x v="3"/>
    <x v="5"/>
    <x v="2"/>
    <n v="1101"/>
    <n v="13"/>
    <x v="89"/>
    <x v="2"/>
    <s v="Saturday"/>
    <s v="Weekend"/>
    <n v="1"/>
  </r>
  <r>
    <n v="38"/>
    <x v="0"/>
    <x v="5"/>
    <x v="2"/>
    <x v="1"/>
    <n v="965"/>
    <n v="3"/>
    <x v="90"/>
    <x v="3"/>
    <s v="Sunday"/>
    <s v="Weekday"/>
    <n v="0"/>
  </r>
  <r>
    <n v="37"/>
    <x v="1"/>
    <x v="5"/>
    <x v="3"/>
    <x v="0"/>
    <n v="1309"/>
    <n v="6"/>
    <x v="48"/>
    <x v="3"/>
    <s v="Sunday"/>
    <s v="Weekday"/>
    <n v="0"/>
  </r>
  <r>
    <n v="52"/>
    <x v="1"/>
    <x v="0"/>
    <x v="5"/>
    <x v="0"/>
    <n v="950"/>
    <n v="8"/>
    <x v="91"/>
    <x v="3"/>
    <s v="Monday"/>
    <s v="Weekday"/>
    <n v="0"/>
  </r>
  <r>
    <n v="27"/>
    <x v="1"/>
    <x v="2"/>
    <x v="5"/>
    <x v="0"/>
    <n v="1017"/>
    <n v="12"/>
    <x v="92"/>
    <x v="1"/>
    <s v="Wednesday"/>
    <s v="Weekday"/>
    <n v="0"/>
  </r>
  <r>
    <n v="66"/>
    <x v="1"/>
    <x v="2"/>
    <x v="4"/>
    <x v="0"/>
    <n v="600"/>
    <n v="13"/>
    <x v="93"/>
    <x v="0"/>
    <s v="Sunday"/>
    <s v="Weekday"/>
    <n v="0"/>
  </r>
  <r>
    <n v="41"/>
    <x v="0"/>
    <x v="2"/>
    <x v="2"/>
    <x v="1"/>
    <n v="738"/>
    <n v="11"/>
    <x v="94"/>
    <x v="3"/>
    <s v="Wednesday"/>
    <s v="Weekday"/>
    <n v="0"/>
  </r>
  <r>
    <n v="48"/>
    <x v="1"/>
    <x v="2"/>
    <x v="4"/>
    <x v="0"/>
    <n v="427"/>
    <n v="12"/>
    <x v="95"/>
    <x v="3"/>
    <s v="Wednesday"/>
    <s v="Weekday"/>
    <n v="0"/>
  </r>
  <r>
    <n v="39"/>
    <x v="0"/>
    <x v="2"/>
    <x v="1"/>
    <x v="0"/>
    <n v="1658"/>
    <n v="1"/>
    <x v="62"/>
    <x v="3"/>
    <s v="Thursday"/>
    <s v="Weekday"/>
    <n v="0"/>
  </r>
  <r>
    <n v="69"/>
    <x v="1"/>
    <x v="1"/>
    <x v="4"/>
    <x v="1"/>
    <n v="483"/>
    <n v="17"/>
    <x v="96"/>
    <x v="0"/>
    <s v="Saturday"/>
    <s v="Weekend"/>
    <n v="0"/>
  </r>
  <r>
    <n v="51"/>
    <x v="0"/>
    <x v="5"/>
    <x v="4"/>
    <x v="0"/>
    <n v="554"/>
    <n v="16"/>
    <x v="97"/>
    <x v="3"/>
    <s v="Tuesday"/>
    <s v="Weekday"/>
    <n v="0"/>
  </r>
  <r>
    <n v="7"/>
    <x v="0"/>
    <x v="2"/>
    <x v="3"/>
    <x v="0"/>
    <n v="1216"/>
    <n v="11"/>
    <x v="98"/>
    <x v="2"/>
    <s v="Monday"/>
    <s v="Weekday"/>
    <n v="0"/>
  </r>
  <r>
    <n v="5"/>
    <x v="1"/>
    <x v="2"/>
    <x v="0"/>
    <x v="0"/>
    <n v="901"/>
    <n v="13"/>
    <x v="99"/>
    <x v="2"/>
    <s v="Saturday"/>
    <s v="Weekend"/>
    <n v="0"/>
  </r>
  <r>
    <n v="9"/>
    <x v="1"/>
    <x v="2"/>
    <x v="5"/>
    <x v="2"/>
    <n v="992"/>
    <n v="18"/>
    <x v="84"/>
    <x v="2"/>
    <s v="Tuesday"/>
    <s v="Weekday"/>
    <n v="1"/>
  </r>
  <r>
    <n v="18"/>
    <x v="1"/>
    <x v="0"/>
    <x v="2"/>
    <x v="0"/>
    <n v="865"/>
    <n v="11"/>
    <x v="100"/>
    <x v="1"/>
    <s v="Friday"/>
    <s v="Weekend"/>
    <n v="0"/>
  </r>
  <r>
    <n v="31"/>
    <x v="1"/>
    <x v="0"/>
    <x v="4"/>
    <x v="0"/>
    <n v="695"/>
    <n v="12"/>
    <x v="101"/>
    <x v="1"/>
    <s v="Sunday"/>
    <s v="Weekday"/>
    <n v="0"/>
  </r>
  <r>
    <n v="13"/>
    <x v="1"/>
    <x v="6"/>
    <x v="2"/>
    <x v="0"/>
    <n v="957"/>
    <n v="6"/>
    <x v="102"/>
    <x v="2"/>
    <s v="Thursday"/>
    <s v="Weekday"/>
    <n v="0"/>
  </r>
  <r>
    <n v="19"/>
    <x v="1"/>
    <x v="2"/>
    <x v="0"/>
    <x v="0"/>
    <n v="980"/>
    <n v="9"/>
    <x v="103"/>
    <x v="1"/>
    <s v="Tuesday"/>
    <s v="Weekday"/>
    <n v="0"/>
  </r>
  <r>
    <n v="46"/>
    <x v="1"/>
    <x v="6"/>
    <x v="0"/>
    <x v="1"/>
    <n v="1167"/>
    <n v="16"/>
    <x v="104"/>
    <x v="3"/>
    <s v="Saturday"/>
    <s v="Weekend"/>
    <n v="0"/>
  </r>
  <r>
    <n v="55"/>
    <x v="0"/>
    <x v="7"/>
    <x v="4"/>
    <x v="1"/>
    <n v="634"/>
    <n v="4"/>
    <x v="105"/>
    <x v="3"/>
    <s v="Monday"/>
    <s v="Weekday"/>
    <n v="0"/>
  </r>
  <r>
    <n v="67"/>
    <x v="0"/>
    <x v="2"/>
    <x v="1"/>
    <x v="0"/>
    <n v="1612"/>
    <n v="3"/>
    <x v="106"/>
    <x v="0"/>
    <s v="Thursday"/>
    <s v="Weekday"/>
    <n v="0"/>
  </r>
  <r>
    <n v="56"/>
    <x v="0"/>
    <x v="6"/>
    <x v="4"/>
    <x v="0"/>
    <n v="461"/>
    <n v="16"/>
    <x v="107"/>
    <x v="0"/>
    <s v="Saturday"/>
    <s v="Weekend"/>
    <n v="0"/>
  </r>
  <r>
    <n v="8"/>
    <x v="1"/>
    <x v="3"/>
    <x v="3"/>
    <x v="0"/>
    <n v="1148"/>
    <n v="12"/>
    <x v="108"/>
    <x v="2"/>
    <s v="Thursday"/>
    <s v="Weekday"/>
    <n v="0"/>
  </r>
  <r>
    <n v="27"/>
    <x v="0"/>
    <x v="0"/>
    <x v="5"/>
    <x v="0"/>
    <n v="1026"/>
    <n v="11"/>
    <x v="109"/>
    <x v="1"/>
    <s v="Saturday"/>
    <s v="Weekend"/>
    <n v="0"/>
  </r>
  <r>
    <n v="19"/>
    <x v="1"/>
    <x v="0"/>
    <x v="1"/>
    <x v="0"/>
    <n v="1622"/>
    <n v="5"/>
    <x v="110"/>
    <x v="1"/>
    <s v="Wednesday"/>
    <s v="Weekday"/>
    <n v="0"/>
  </r>
  <r>
    <n v="47"/>
    <x v="1"/>
    <x v="6"/>
    <x v="4"/>
    <x v="1"/>
    <n v="678"/>
    <n v="18"/>
    <x v="26"/>
    <x v="3"/>
    <s v="Sunday"/>
    <s v="Weekday"/>
    <n v="0"/>
  </r>
  <r>
    <n v="33"/>
    <x v="0"/>
    <x v="3"/>
    <x v="2"/>
    <x v="0"/>
    <n v="993"/>
    <n v="19"/>
    <x v="111"/>
    <x v="1"/>
    <s v="Monday"/>
    <s v="Weekday"/>
    <n v="0"/>
  </r>
  <r>
    <n v="40"/>
    <x v="1"/>
    <x v="6"/>
    <x v="1"/>
    <x v="0"/>
    <n v="1683"/>
    <n v="6"/>
    <x v="112"/>
    <x v="3"/>
    <s v="Sunday"/>
    <s v="Weekday"/>
    <n v="0"/>
  </r>
  <r>
    <n v="17"/>
    <x v="0"/>
    <x v="4"/>
    <x v="1"/>
    <x v="0"/>
    <n v="1676"/>
    <n v="18"/>
    <x v="113"/>
    <x v="2"/>
    <s v="Sunday"/>
    <s v="Weekday"/>
    <n v="0"/>
  </r>
  <r>
    <n v="36"/>
    <x v="0"/>
    <x v="3"/>
    <x v="4"/>
    <x v="1"/>
    <n v="506"/>
    <n v="6"/>
    <x v="114"/>
    <x v="3"/>
    <s v="Saturday"/>
    <s v="Weekend"/>
    <n v="0"/>
  </r>
  <r>
    <n v="75"/>
    <x v="1"/>
    <x v="7"/>
    <x v="1"/>
    <x v="1"/>
    <n v="1545"/>
    <n v="4"/>
    <x v="115"/>
    <x v="0"/>
    <s v="Wednesday"/>
    <s v="Weekday"/>
    <n v="0"/>
  </r>
  <r>
    <n v="63"/>
    <x v="1"/>
    <x v="3"/>
    <x v="2"/>
    <x v="2"/>
    <n v="798"/>
    <n v="12"/>
    <x v="116"/>
    <x v="0"/>
    <s v="Friday"/>
    <s v="Weekend"/>
    <n v="1"/>
  </r>
  <r>
    <n v="32"/>
    <x v="1"/>
    <x v="3"/>
    <x v="0"/>
    <x v="0"/>
    <n v="972"/>
    <n v="19"/>
    <x v="117"/>
    <x v="1"/>
    <s v="Saturday"/>
    <s v="Weekend"/>
    <n v="0"/>
  </r>
  <r>
    <n v="70"/>
    <x v="0"/>
    <x v="3"/>
    <x v="1"/>
    <x v="0"/>
    <n v="1521"/>
    <n v="2"/>
    <x v="118"/>
    <x v="0"/>
    <s v="Monday"/>
    <s v="Weekday"/>
    <n v="0"/>
  </r>
  <r>
    <n v="46"/>
    <x v="1"/>
    <x v="2"/>
    <x v="0"/>
    <x v="1"/>
    <n v="929"/>
    <n v="17"/>
    <x v="119"/>
    <x v="3"/>
    <s v="Monday"/>
    <s v="Weekday"/>
    <n v="0"/>
  </r>
  <r>
    <n v="49"/>
    <x v="1"/>
    <x v="5"/>
    <x v="2"/>
    <x v="0"/>
    <n v="887"/>
    <n v="11"/>
    <x v="120"/>
    <x v="3"/>
    <s v="Monday"/>
    <s v="Weekday"/>
    <n v="0"/>
  </r>
  <r>
    <n v="66"/>
    <x v="1"/>
    <x v="0"/>
    <x v="4"/>
    <x v="0"/>
    <n v="687"/>
    <n v="11"/>
    <x v="121"/>
    <x v="0"/>
    <s v="Tuesday"/>
    <s v="Weekday"/>
    <n v="0"/>
  </r>
  <r>
    <n v="61"/>
    <x v="0"/>
    <x v="0"/>
    <x v="5"/>
    <x v="1"/>
    <n v="1094"/>
    <n v="16"/>
    <x v="122"/>
    <x v="0"/>
    <s v="Thursday"/>
    <s v="Weekday"/>
    <n v="0"/>
  </r>
  <r>
    <n v="10"/>
    <x v="1"/>
    <x v="4"/>
    <x v="1"/>
    <x v="1"/>
    <n v="1555"/>
    <n v="2"/>
    <x v="88"/>
    <x v="2"/>
    <s v="Monday"/>
    <s v="Weekday"/>
    <n v="0"/>
  </r>
  <r>
    <n v="32"/>
    <x v="1"/>
    <x v="2"/>
    <x v="5"/>
    <x v="0"/>
    <n v="1071"/>
    <n v="2"/>
    <x v="123"/>
    <x v="1"/>
    <s v="Tuesday"/>
    <s v="Weekday"/>
    <n v="0"/>
  </r>
  <r>
    <n v="32"/>
    <x v="0"/>
    <x v="0"/>
    <x v="2"/>
    <x v="0"/>
    <n v="740"/>
    <n v="8"/>
    <x v="124"/>
    <x v="1"/>
    <s v="Friday"/>
    <s v="Weekend"/>
    <n v="0"/>
  </r>
  <r>
    <n v="48"/>
    <x v="0"/>
    <x v="5"/>
    <x v="1"/>
    <x v="0"/>
    <n v="1462"/>
    <n v="13"/>
    <x v="125"/>
    <x v="3"/>
    <s v="Thursday"/>
    <s v="Weekday"/>
    <n v="0"/>
  </r>
  <r>
    <n v="34"/>
    <x v="1"/>
    <x v="6"/>
    <x v="0"/>
    <x v="0"/>
    <n v="922"/>
    <n v="10"/>
    <x v="126"/>
    <x v="1"/>
    <s v="Monday"/>
    <s v="Weekday"/>
    <n v="0"/>
  </r>
  <r>
    <n v="66"/>
    <x v="1"/>
    <x v="0"/>
    <x v="3"/>
    <x v="0"/>
    <n v="1174"/>
    <n v="8"/>
    <x v="95"/>
    <x v="0"/>
    <s v="Wednesday"/>
    <s v="Weekday"/>
    <n v="0"/>
  </r>
  <r>
    <n v="79"/>
    <x v="1"/>
    <x v="6"/>
    <x v="5"/>
    <x v="1"/>
    <n v="947"/>
    <n v="4"/>
    <x v="127"/>
    <x v="0"/>
    <s v="Tuesday"/>
    <s v="Weekday"/>
    <n v="0"/>
  </r>
  <r>
    <n v="66"/>
    <x v="0"/>
    <x v="5"/>
    <x v="1"/>
    <x v="1"/>
    <n v="1559"/>
    <n v="15"/>
    <x v="128"/>
    <x v="0"/>
    <s v="Sunday"/>
    <s v="Weekday"/>
    <n v="0"/>
  </r>
  <r>
    <n v="5"/>
    <x v="1"/>
    <x v="2"/>
    <x v="5"/>
    <x v="1"/>
    <n v="1017"/>
    <n v="1"/>
    <x v="129"/>
    <x v="2"/>
    <s v="Tuesday"/>
    <s v="Weekday"/>
    <n v="0"/>
  </r>
  <r>
    <n v="31"/>
    <x v="0"/>
    <x v="2"/>
    <x v="1"/>
    <x v="0"/>
    <n v="1499"/>
    <n v="11"/>
    <x v="130"/>
    <x v="1"/>
    <s v="Wednesday"/>
    <s v="Weekday"/>
    <n v="0"/>
  </r>
  <r>
    <n v="66"/>
    <x v="0"/>
    <x v="3"/>
    <x v="4"/>
    <x v="1"/>
    <n v="566"/>
    <n v="7"/>
    <x v="131"/>
    <x v="0"/>
    <s v="Monday"/>
    <s v="Weekday"/>
    <n v="0"/>
  </r>
  <r>
    <n v="7"/>
    <x v="0"/>
    <x v="2"/>
    <x v="0"/>
    <x v="1"/>
    <n v="1189"/>
    <n v="17"/>
    <x v="132"/>
    <x v="2"/>
    <s v="Thursday"/>
    <s v="Weekday"/>
    <n v="0"/>
  </r>
  <r>
    <n v="74"/>
    <x v="1"/>
    <x v="2"/>
    <x v="5"/>
    <x v="0"/>
    <n v="1055"/>
    <n v="20"/>
    <x v="133"/>
    <x v="0"/>
    <s v="Thursday"/>
    <s v="Weekday"/>
    <n v="0"/>
  </r>
  <r>
    <n v="76"/>
    <x v="0"/>
    <x v="3"/>
    <x v="3"/>
    <x v="1"/>
    <n v="1106"/>
    <n v="18"/>
    <x v="134"/>
    <x v="0"/>
    <s v="Thursday"/>
    <s v="Weekday"/>
    <n v="0"/>
  </r>
  <r>
    <n v="31"/>
    <x v="0"/>
    <x v="2"/>
    <x v="3"/>
    <x v="1"/>
    <n v="1295"/>
    <n v="12"/>
    <x v="135"/>
    <x v="1"/>
    <s v="Sunday"/>
    <s v="Weekday"/>
    <n v="0"/>
  </r>
  <r>
    <n v="13"/>
    <x v="0"/>
    <x v="0"/>
    <x v="2"/>
    <x v="0"/>
    <n v="755"/>
    <n v="9"/>
    <x v="136"/>
    <x v="2"/>
    <s v="Thursday"/>
    <s v="Weekday"/>
    <n v="0"/>
  </r>
  <r>
    <n v="66"/>
    <x v="1"/>
    <x v="0"/>
    <x v="1"/>
    <x v="0"/>
    <n v="1592"/>
    <n v="5"/>
    <x v="40"/>
    <x v="0"/>
    <s v="Monday"/>
    <s v="Weekday"/>
    <n v="0"/>
  </r>
  <r>
    <n v="41"/>
    <x v="0"/>
    <x v="3"/>
    <x v="5"/>
    <x v="0"/>
    <n v="946"/>
    <n v="10"/>
    <x v="137"/>
    <x v="3"/>
    <s v="Tuesday"/>
    <s v="Weekday"/>
    <n v="0"/>
  </r>
  <r>
    <n v="55"/>
    <x v="1"/>
    <x v="0"/>
    <x v="2"/>
    <x v="0"/>
    <n v="847"/>
    <n v="4"/>
    <x v="138"/>
    <x v="3"/>
    <s v="Wednesday"/>
    <s v="Weekday"/>
    <n v="0"/>
  </r>
  <r>
    <n v="48"/>
    <x v="1"/>
    <x v="5"/>
    <x v="5"/>
    <x v="0"/>
    <n v="1174"/>
    <n v="5"/>
    <x v="116"/>
    <x v="3"/>
    <s v="Friday"/>
    <s v="Weekend"/>
    <n v="0"/>
  </r>
  <r>
    <n v="28"/>
    <x v="1"/>
    <x v="2"/>
    <x v="1"/>
    <x v="1"/>
    <n v="1556"/>
    <n v="10"/>
    <x v="139"/>
    <x v="1"/>
    <s v="Thursday"/>
    <s v="Weekday"/>
    <n v="0"/>
  </r>
  <r>
    <n v="63"/>
    <x v="0"/>
    <x v="5"/>
    <x v="3"/>
    <x v="0"/>
    <n v="1301"/>
    <n v="11"/>
    <x v="140"/>
    <x v="0"/>
    <s v="Tuesday"/>
    <s v="Weekday"/>
    <n v="0"/>
  </r>
  <r>
    <n v="36"/>
    <x v="1"/>
    <x v="0"/>
    <x v="4"/>
    <x v="0"/>
    <n v="525"/>
    <n v="10"/>
    <x v="141"/>
    <x v="3"/>
    <s v="Tuesday"/>
    <s v="Weekday"/>
    <n v="0"/>
  </r>
  <r>
    <n v="56"/>
    <x v="1"/>
    <x v="1"/>
    <x v="3"/>
    <x v="0"/>
    <n v="1393"/>
    <n v="8"/>
    <x v="142"/>
    <x v="0"/>
    <s v="Saturday"/>
    <s v="Weekend"/>
    <n v="0"/>
  </r>
  <r>
    <n v="66"/>
    <x v="1"/>
    <x v="0"/>
    <x v="2"/>
    <x v="0"/>
    <n v="763"/>
    <n v="2"/>
    <x v="143"/>
    <x v="0"/>
    <s v="Wednesday"/>
    <s v="Weekday"/>
    <n v="0"/>
  </r>
  <r>
    <n v="62"/>
    <x v="1"/>
    <x v="7"/>
    <x v="0"/>
    <x v="0"/>
    <n v="1075"/>
    <n v="8"/>
    <x v="144"/>
    <x v="0"/>
    <s v="Monday"/>
    <s v="Weekday"/>
    <n v="0"/>
  </r>
  <r>
    <n v="56"/>
    <x v="0"/>
    <x v="3"/>
    <x v="4"/>
    <x v="0"/>
    <n v="515"/>
    <n v="16"/>
    <x v="124"/>
    <x v="0"/>
    <s v="Friday"/>
    <s v="Weekend"/>
    <n v="0"/>
  </r>
  <r>
    <n v="16"/>
    <x v="0"/>
    <x v="2"/>
    <x v="2"/>
    <x v="0"/>
    <n v="903"/>
    <n v="5"/>
    <x v="145"/>
    <x v="2"/>
    <s v="Thursday"/>
    <s v="Weekday"/>
    <n v="0"/>
  </r>
  <r>
    <n v="43"/>
    <x v="1"/>
    <x v="6"/>
    <x v="1"/>
    <x v="0"/>
    <n v="1430"/>
    <n v="3"/>
    <x v="146"/>
    <x v="3"/>
    <s v="Monday"/>
    <s v="Weekday"/>
    <n v="0"/>
  </r>
  <r>
    <n v="6"/>
    <x v="1"/>
    <x v="2"/>
    <x v="4"/>
    <x v="0"/>
    <n v="512"/>
    <n v="12"/>
    <x v="147"/>
    <x v="2"/>
    <s v="Saturday"/>
    <s v="Weekend"/>
    <n v="0"/>
  </r>
  <r>
    <n v="7"/>
    <x v="0"/>
    <x v="2"/>
    <x v="2"/>
    <x v="0"/>
    <n v="766"/>
    <n v="13"/>
    <x v="148"/>
    <x v="2"/>
    <s v="Sunday"/>
    <s v="Weekday"/>
    <n v="0"/>
  </r>
  <r>
    <n v="60"/>
    <x v="1"/>
    <x v="2"/>
    <x v="1"/>
    <x v="1"/>
    <n v="1474"/>
    <n v="13"/>
    <x v="149"/>
    <x v="0"/>
    <s v="Saturday"/>
    <s v="Weekend"/>
    <n v="0"/>
  </r>
  <r>
    <n v="63"/>
    <x v="1"/>
    <x v="0"/>
    <x v="3"/>
    <x v="0"/>
    <n v="1144"/>
    <n v="10"/>
    <x v="150"/>
    <x v="0"/>
    <s v="Saturday"/>
    <s v="Weekend"/>
    <n v="0"/>
  </r>
  <r>
    <n v="6"/>
    <x v="0"/>
    <x v="0"/>
    <x v="0"/>
    <x v="1"/>
    <n v="1159"/>
    <n v="4"/>
    <x v="151"/>
    <x v="2"/>
    <s v="Tuesday"/>
    <s v="Weekday"/>
    <n v="0"/>
  </r>
  <r>
    <n v="6"/>
    <x v="0"/>
    <x v="0"/>
    <x v="1"/>
    <x v="0"/>
    <n v="1553"/>
    <n v="9"/>
    <x v="152"/>
    <x v="2"/>
    <s v="Friday"/>
    <s v="Weekend"/>
    <n v="0"/>
  </r>
  <r>
    <n v="58"/>
    <x v="1"/>
    <x v="1"/>
    <x v="5"/>
    <x v="0"/>
    <n v="1054"/>
    <n v="2"/>
    <x v="128"/>
    <x v="0"/>
    <s v="Sunday"/>
    <s v="Weekday"/>
    <n v="0"/>
  </r>
  <r>
    <n v="5"/>
    <x v="0"/>
    <x v="2"/>
    <x v="1"/>
    <x v="1"/>
    <n v="1633"/>
    <n v="19"/>
    <x v="153"/>
    <x v="2"/>
    <s v="Monday"/>
    <s v="Weekday"/>
    <n v="0"/>
  </r>
  <r>
    <n v="23"/>
    <x v="1"/>
    <x v="2"/>
    <x v="1"/>
    <x v="0"/>
    <n v="1450"/>
    <n v="1"/>
    <x v="154"/>
    <x v="1"/>
    <s v="Wednesday"/>
    <s v="Weekday"/>
    <n v="0"/>
  </r>
  <r>
    <n v="6"/>
    <x v="0"/>
    <x v="2"/>
    <x v="0"/>
    <x v="0"/>
    <n v="1161"/>
    <n v="7"/>
    <x v="155"/>
    <x v="2"/>
    <s v="Sunday"/>
    <s v="Weekday"/>
    <n v="0"/>
  </r>
  <r>
    <n v="57"/>
    <x v="1"/>
    <x v="2"/>
    <x v="5"/>
    <x v="0"/>
    <n v="1024"/>
    <n v="17"/>
    <x v="50"/>
    <x v="0"/>
    <s v="Friday"/>
    <s v="Weekend"/>
    <n v="0"/>
  </r>
  <r>
    <n v="48"/>
    <x v="1"/>
    <x v="0"/>
    <x v="2"/>
    <x v="0"/>
    <n v="944"/>
    <n v="3"/>
    <x v="156"/>
    <x v="3"/>
    <s v="Sunday"/>
    <s v="Weekday"/>
    <n v="0"/>
  </r>
  <r>
    <n v="36"/>
    <x v="1"/>
    <x v="5"/>
    <x v="2"/>
    <x v="0"/>
    <n v="729"/>
    <n v="20"/>
    <x v="157"/>
    <x v="3"/>
    <s v="Wednesday"/>
    <s v="Weekday"/>
    <n v="0"/>
  </r>
  <r>
    <n v="74"/>
    <x v="0"/>
    <x v="0"/>
    <x v="1"/>
    <x v="0"/>
    <n v="1521"/>
    <n v="20"/>
    <x v="158"/>
    <x v="0"/>
    <s v="Saturday"/>
    <s v="Weekend"/>
    <n v="0"/>
  </r>
  <r>
    <n v="36"/>
    <x v="0"/>
    <x v="2"/>
    <x v="5"/>
    <x v="0"/>
    <n v="1024"/>
    <n v="3"/>
    <x v="159"/>
    <x v="3"/>
    <s v="Thursday"/>
    <s v="Weekday"/>
    <n v="0"/>
  </r>
  <r>
    <n v="72"/>
    <x v="1"/>
    <x v="0"/>
    <x v="5"/>
    <x v="0"/>
    <n v="936"/>
    <n v="3"/>
    <x v="160"/>
    <x v="0"/>
    <s v="Thursday"/>
    <s v="Weekday"/>
    <n v="0"/>
  </r>
  <r>
    <n v="59"/>
    <x v="1"/>
    <x v="2"/>
    <x v="0"/>
    <x v="0"/>
    <n v="1069"/>
    <n v="17"/>
    <x v="161"/>
    <x v="0"/>
    <s v="Monday"/>
    <s v="Weekday"/>
    <n v="0"/>
  </r>
  <r>
    <n v="79"/>
    <x v="0"/>
    <x v="1"/>
    <x v="3"/>
    <x v="1"/>
    <n v="1223"/>
    <n v="7"/>
    <x v="162"/>
    <x v="0"/>
    <s v="Sunday"/>
    <s v="Weekday"/>
    <n v="0"/>
  </r>
  <r>
    <n v="60"/>
    <x v="1"/>
    <x v="2"/>
    <x v="2"/>
    <x v="2"/>
    <n v="734"/>
    <n v="14"/>
    <x v="163"/>
    <x v="0"/>
    <s v="Thursday"/>
    <s v="Weekday"/>
    <n v="1"/>
  </r>
  <r>
    <n v="21"/>
    <x v="1"/>
    <x v="3"/>
    <x v="0"/>
    <x v="0"/>
    <n v="986"/>
    <n v="17"/>
    <x v="1"/>
    <x v="1"/>
    <s v="Friday"/>
    <s v="Weekend"/>
    <n v="0"/>
  </r>
  <r>
    <n v="42"/>
    <x v="0"/>
    <x v="7"/>
    <x v="4"/>
    <x v="1"/>
    <n v="533"/>
    <n v="18"/>
    <x v="14"/>
    <x v="3"/>
    <s v="Tuesday"/>
    <s v="Weekday"/>
    <n v="0"/>
  </r>
  <r>
    <n v="28"/>
    <x v="1"/>
    <x v="0"/>
    <x v="2"/>
    <x v="0"/>
    <n v="895"/>
    <n v="13"/>
    <x v="164"/>
    <x v="1"/>
    <s v="Wednesday"/>
    <s v="Weekday"/>
    <n v="0"/>
  </r>
  <r>
    <n v="73"/>
    <x v="0"/>
    <x v="4"/>
    <x v="0"/>
    <x v="0"/>
    <n v="1173"/>
    <n v="20"/>
    <x v="144"/>
    <x v="0"/>
    <s v="Monday"/>
    <s v="Weekday"/>
    <n v="0"/>
  </r>
  <r>
    <n v="74"/>
    <x v="0"/>
    <x v="2"/>
    <x v="2"/>
    <x v="0"/>
    <n v="900"/>
    <n v="20"/>
    <x v="165"/>
    <x v="0"/>
    <s v="Saturday"/>
    <s v="Weekend"/>
    <n v="0"/>
  </r>
  <r>
    <n v="15"/>
    <x v="1"/>
    <x v="5"/>
    <x v="3"/>
    <x v="1"/>
    <n v="1384"/>
    <n v="18"/>
    <x v="166"/>
    <x v="2"/>
    <s v="Monday"/>
    <s v="Weekday"/>
    <n v="0"/>
  </r>
  <r>
    <n v="20"/>
    <x v="1"/>
    <x v="0"/>
    <x v="4"/>
    <x v="0"/>
    <n v="476"/>
    <n v="4"/>
    <x v="137"/>
    <x v="1"/>
    <s v="Tuesday"/>
    <s v="Weekday"/>
    <n v="0"/>
  </r>
  <r>
    <n v="77"/>
    <x v="1"/>
    <x v="5"/>
    <x v="3"/>
    <x v="0"/>
    <n v="1158"/>
    <n v="1"/>
    <x v="167"/>
    <x v="0"/>
    <s v="Wednesday"/>
    <s v="Weekday"/>
    <n v="0"/>
  </r>
  <r>
    <n v="63"/>
    <x v="0"/>
    <x v="2"/>
    <x v="4"/>
    <x v="0"/>
    <n v="525"/>
    <n v="18"/>
    <x v="54"/>
    <x v="0"/>
    <s v="Friday"/>
    <s v="Weekend"/>
    <n v="0"/>
  </r>
  <r>
    <n v="74"/>
    <x v="0"/>
    <x v="2"/>
    <x v="1"/>
    <x v="1"/>
    <n v="1508"/>
    <n v="1"/>
    <x v="168"/>
    <x v="0"/>
    <s v="Sunday"/>
    <s v="Weekday"/>
    <n v="0"/>
  </r>
  <r>
    <n v="7"/>
    <x v="0"/>
    <x v="2"/>
    <x v="0"/>
    <x v="1"/>
    <n v="1123"/>
    <n v="13"/>
    <x v="169"/>
    <x v="2"/>
    <s v="Tuesday"/>
    <s v="Weekday"/>
    <n v="0"/>
  </r>
  <r>
    <n v="24"/>
    <x v="1"/>
    <x v="5"/>
    <x v="4"/>
    <x v="1"/>
    <n v="677"/>
    <n v="20"/>
    <x v="88"/>
    <x v="1"/>
    <s v="Monday"/>
    <s v="Weekday"/>
    <n v="0"/>
  </r>
  <r>
    <n v="63"/>
    <x v="0"/>
    <x v="6"/>
    <x v="3"/>
    <x v="0"/>
    <n v="1167"/>
    <n v="20"/>
    <x v="170"/>
    <x v="0"/>
    <s v="Sunday"/>
    <s v="Weekday"/>
    <n v="0"/>
  </r>
  <r>
    <n v="40"/>
    <x v="0"/>
    <x v="5"/>
    <x v="2"/>
    <x v="0"/>
    <n v="768"/>
    <n v="10"/>
    <x v="171"/>
    <x v="3"/>
    <s v="Wednesday"/>
    <s v="Weekday"/>
    <n v="0"/>
  </r>
  <r>
    <n v="23"/>
    <x v="0"/>
    <x v="2"/>
    <x v="4"/>
    <x v="0"/>
    <n v="564"/>
    <n v="11"/>
    <x v="172"/>
    <x v="1"/>
    <s v="Friday"/>
    <s v="Weekend"/>
    <n v="0"/>
  </r>
  <r>
    <n v="71"/>
    <x v="0"/>
    <x v="1"/>
    <x v="0"/>
    <x v="0"/>
    <n v="1061"/>
    <n v="9"/>
    <x v="173"/>
    <x v="0"/>
    <s v="Thursday"/>
    <s v="Weekday"/>
    <n v="0"/>
  </r>
  <r>
    <n v="23"/>
    <x v="0"/>
    <x v="0"/>
    <x v="4"/>
    <x v="0"/>
    <n v="441"/>
    <n v="9"/>
    <x v="174"/>
    <x v="1"/>
    <s v="Friday"/>
    <s v="Weekend"/>
    <n v="0"/>
  </r>
  <r>
    <n v="24"/>
    <x v="0"/>
    <x v="0"/>
    <x v="5"/>
    <x v="0"/>
    <n v="1008"/>
    <n v="5"/>
    <x v="175"/>
    <x v="1"/>
    <s v="Sunday"/>
    <s v="Weekday"/>
    <n v="0"/>
  </r>
  <r>
    <n v="75"/>
    <x v="0"/>
    <x v="2"/>
    <x v="2"/>
    <x v="2"/>
    <n v="750"/>
    <n v="1"/>
    <x v="176"/>
    <x v="0"/>
    <s v="Monday"/>
    <s v="Weekday"/>
    <n v="1"/>
  </r>
  <r>
    <n v="56"/>
    <x v="1"/>
    <x v="5"/>
    <x v="0"/>
    <x v="1"/>
    <n v="1149"/>
    <n v="17"/>
    <x v="177"/>
    <x v="0"/>
    <s v="Sunday"/>
    <s v="Weekday"/>
    <n v="0"/>
  </r>
  <r>
    <n v="37"/>
    <x v="1"/>
    <x v="2"/>
    <x v="0"/>
    <x v="1"/>
    <n v="920"/>
    <n v="2"/>
    <x v="178"/>
    <x v="3"/>
    <s v="Monday"/>
    <s v="Weekday"/>
    <n v="0"/>
  </r>
  <r>
    <n v="44"/>
    <x v="0"/>
    <x v="3"/>
    <x v="1"/>
    <x v="2"/>
    <n v="1699"/>
    <n v="13"/>
    <x v="179"/>
    <x v="3"/>
    <s v="Wednesday"/>
    <s v="Weekday"/>
    <n v="1"/>
  </r>
  <r>
    <n v="43"/>
    <x v="1"/>
    <x v="6"/>
    <x v="3"/>
    <x v="0"/>
    <n v="1238"/>
    <n v="9"/>
    <x v="180"/>
    <x v="3"/>
    <s v="Friday"/>
    <s v="Weekend"/>
    <n v="0"/>
  </r>
  <r>
    <n v="5"/>
    <x v="0"/>
    <x v="2"/>
    <x v="1"/>
    <x v="0"/>
    <n v="1491"/>
    <n v="4"/>
    <x v="181"/>
    <x v="2"/>
    <s v="Wednesday"/>
    <s v="Weekday"/>
    <n v="0"/>
  </r>
  <r>
    <n v="15"/>
    <x v="0"/>
    <x v="0"/>
    <x v="0"/>
    <x v="2"/>
    <n v="1179"/>
    <n v="5"/>
    <x v="182"/>
    <x v="2"/>
    <s v="Monday"/>
    <s v="Weekday"/>
    <n v="1"/>
  </r>
  <r>
    <n v="61"/>
    <x v="0"/>
    <x v="2"/>
    <x v="2"/>
    <x v="0"/>
    <n v="824"/>
    <n v="11"/>
    <x v="170"/>
    <x v="0"/>
    <s v="Sunday"/>
    <s v="Weekday"/>
    <n v="0"/>
  </r>
  <r>
    <n v="54"/>
    <x v="1"/>
    <x v="2"/>
    <x v="4"/>
    <x v="1"/>
    <n v="510"/>
    <n v="19"/>
    <x v="183"/>
    <x v="3"/>
    <s v="Tuesday"/>
    <s v="Weekday"/>
    <n v="0"/>
  </r>
  <r>
    <n v="27"/>
    <x v="1"/>
    <x v="0"/>
    <x v="4"/>
    <x v="0"/>
    <n v="538"/>
    <n v="3"/>
    <x v="184"/>
    <x v="1"/>
    <s v="Saturday"/>
    <s v="Weekend"/>
    <n v="0"/>
  </r>
  <r>
    <n v="35"/>
    <x v="1"/>
    <x v="0"/>
    <x v="2"/>
    <x v="0"/>
    <n v="972"/>
    <n v="12"/>
    <x v="185"/>
    <x v="1"/>
    <s v="Wednesday"/>
    <s v="Weekday"/>
    <n v="0"/>
  </r>
  <r>
    <n v="46"/>
    <x v="0"/>
    <x v="3"/>
    <x v="0"/>
    <x v="0"/>
    <n v="998"/>
    <n v="19"/>
    <x v="186"/>
    <x v="3"/>
    <s v="Monday"/>
    <s v="Weekday"/>
    <n v="0"/>
  </r>
  <r>
    <n v="11"/>
    <x v="0"/>
    <x v="0"/>
    <x v="4"/>
    <x v="2"/>
    <n v="651"/>
    <n v="19"/>
    <x v="64"/>
    <x v="2"/>
    <s v="Monday"/>
    <s v="Weekday"/>
    <n v="1"/>
  </r>
  <r>
    <n v="20"/>
    <x v="0"/>
    <x v="3"/>
    <x v="4"/>
    <x v="1"/>
    <n v="503"/>
    <n v="13"/>
    <x v="187"/>
    <x v="1"/>
    <s v="Sunday"/>
    <s v="Weekday"/>
    <n v="0"/>
  </r>
  <r>
    <n v="64"/>
    <x v="1"/>
    <x v="5"/>
    <x v="4"/>
    <x v="0"/>
    <n v="613"/>
    <n v="7"/>
    <x v="3"/>
    <x v="0"/>
    <s v="Sunday"/>
    <s v="Weekday"/>
    <n v="0"/>
  </r>
  <r>
    <n v="6"/>
    <x v="0"/>
    <x v="3"/>
    <x v="3"/>
    <x v="1"/>
    <n v="1348"/>
    <n v="15"/>
    <x v="3"/>
    <x v="2"/>
    <s v="Sunday"/>
    <s v="Weekday"/>
    <n v="0"/>
  </r>
  <r>
    <n v="5"/>
    <x v="0"/>
    <x v="3"/>
    <x v="3"/>
    <x v="0"/>
    <n v="1251"/>
    <n v="7"/>
    <x v="188"/>
    <x v="2"/>
    <s v="Tuesday"/>
    <s v="Weekday"/>
    <n v="0"/>
  </r>
  <r>
    <n v="52"/>
    <x v="1"/>
    <x v="3"/>
    <x v="5"/>
    <x v="0"/>
    <n v="1149"/>
    <n v="8"/>
    <x v="189"/>
    <x v="3"/>
    <s v="Monday"/>
    <s v="Weekday"/>
    <n v="0"/>
  </r>
  <r>
    <n v="16"/>
    <x v="0"/>
    <x v="0"/>
    <x v="1"/>
    <x v="0"/>
    <n v="1674"/>
    <n v="5"/>
    <x v="19"/>
    <x v="2"/>
    <s v="Friday"/>
    <s v="Weekend"/>
    <n v="0"/>
  </r>
  <r>
    <n v="73"/>
    <x v="1"/>
    <x v="2"/>
    <x v="2"/>
    <x v="0"/>
    <n v="864"/>
    <n v="14"/>
    <x v="15"/>
    <x v="0"/>
    <s v="Tuesday"/>
    <s v="Weekday"/>
    <n v="0"/>
  </r>
  <r>
    <n v="41"/>
    <x v="1"/>
    <x v="1"/>
    <x v="2"/>
    <x v="0"/>
    <n v="707"/>
    <n v="4"/>
    <x v="190"/>
    <x v="3"/>
    <s v="Monday"/>
    <s v="Weekday"/>
    <n v="0"/>
  </r>
  <r>
    <n v="36"/>
    <x v="0"/>
    <x v="3"/>
    <x v="2"/>
    <x v="2"/>
    <n v="983"/>
    <n v="10"/>
    <x v="191"/>
    <x v="3"/>
    <s v="Friday"/>
    <s v="Weekend"/>
    <n v="1"/>
  </r>
  <r>
    <n v="13"/>
    <x v="1"/>
    <x v="2"/>
    <x v="5"/>
    <x v="1"/>
    <n v="904"/>
    <n v="20"/>
    <x v="192"/>
    <x v="2"/>
    <s v="Thursday"/>
    <s v="Weekday"/>
    <n v="0"/>
  </r>
  <r>
    <n v="23"/>
    <x v="0"/>
    <x v="0"/>
    <x v="3"/>
    <x v="0"/>
    <n v="1244"/>
    <n v="15"/>
    <x v="193"/>
    <x v="1"/>
    <s v="Wednesday"/>
    <s v="Weekday"/>
    <n v="0"/>
  </r>
  <r>
    <n v="52"/>
    <x v="0"/>
    <x v="2"/>
    <x v="0"/>
    <x v="0"/>
    <n v="1000"/>
    <n v="18"/>
    <x v="158"/>
    <x v="3"/>
    <s v="Saturday"/>
    <s v="Weekend"/>
    <n v="0"/>
  </r>
  <r>
    <n v="7"/>
    <x v="0"/>
    <x v="4"/>
    <x v="0"/>
    <x v="2"/>
    <n v="1063"/>
    <n v="20"/>
    <x v="190"/>
    <x v="2"/>
    <s v="Monday"/>
    <s v="Weekday"/>
    <n v="1"/>
  </r>
  <r>
    <n v="24"/>
    <x v="1"/>
    <x v="2"/>
    <x v="5"/>
    <x v="2"/>
    <n v="1046"/>
    <n v="13"/>
    <x v="194"/>
    <x v="1"/>
    <s v="Tuesday"/>
    <s v="Weekday"/>
    <n v="1"/>
  </r>
  <r>
    <n v="28"/>
    <x v="0"/>
    <x v="2"/>
    <x v="0"/>
    <x v="1"/>
    <n v="963"/>
    <n v="8"/>
    <x v="195"/>
    <x v="1"/>
    <s v="Tuesday"/>
    <s v="Weekday"/>
    <n v="0"/>
  </r>
  <r>
    <n v="58"/>
    <x v="0"/>
    <x v="0"/>
    <x v="2"/>
    <x v="0"/>
    <n v="790"/>
    <n v="9"/>
    <x v="196"/>
    <x v="0"/>
    <s v="Friday"/>
    <s v="Weekend"/>
    <n v="0"/>
  </r>
  <r>
    <n v="37"/>
    <x v="0"/>
    <x v="0"/>
    <x v="1"/>
    <x v="0"/>
    <n v="1516"/>
    <n v="16"/>
    <x v="122"/>
    <x v="3"/>
    <s v="Thursday"/>
    <s v="Weekday"/>
    <n v="0"/>
  </r>
  <r>
    <n v="28"/>
    <x v="1"/>
    <x v="1"/>
    <x v="4"/>
    <x v="0"/>
    <n v="666"/>
    <n v="19"/>
    <x v="197"/>
    <x v="1"/>
    <s v="Tuesday"/>
    <s v="Weekday"/>
    <n v="0"/>
  </r>
  <r>
    <n v="79"/>
    <x v="1"/>
    <x v="2"/>
    <x v="3"/>
    <x v="0"/>
    <n v="1272"/>
    <n v="16"/>
    <x v="187"/>
    <x v="0"/>
    <s v="Sunday"/>
    <s v="Weekday"/>
    <n v="0"/>
  </r>
  <r>
    <n v="76"/>
    <x v="0"/>
    <x v="6"/>
    <x v="3"/>
    <x v="0"/>
    <n v="1146"/>
    <n v="7"/>
    <x v="178"/>
    <x v="0"/>
    <s v="Monday"/>
    <s v="Weekday"/>
    <n v="0"/>
  </r>
  <r>
    <n v="40"/>
    <x v="1"/>
    <x v="2"/>
    <x v="5"/>
    <x v="2"/>
    <n v="1039"/>
    <n v="14"/>
    <x v="198"/>
    <x v="3"/>
    <s v="Saturday"/>
    <s v="Weekend"/>
    <n v="1"/>
  </r>
  <r>
    <n v="42"/>
    <x v="0"/>
    <x v="6"/>
    <x v="3"/>
    <x v="0"/>
    <n v="1345"/>
    <n v="14"/>
    <x v="19"/>
    <x v="3"/>
    <s v="Friday"/>
    <s v="Weekend"/>
    <n v="0"/>
  </r>
  <r>
    <n v="29"/>
    <x v="0"/>
    <x v="2"/>
    <x v="2"/>
    <x v="0"/>
    <n v="848"/>
    <n v="4"/>
    <x v="199"/>
    <x v="1"/>
    <s v="Wednesday"/>
    <s v="Weekday"/>
    <n v="0"/>
  </r>
  <r>
    <n v="22"/>
    <x v="1"/>
    <x v="2"/>
    <x v="0"/>
    <x v="0"/>
    <n v="1145"/>
    <n v="15"/>
    <x v="200"/>
    <x v="1"/>
    <s v="Thursday"/>
    <s v="Weekday"/>
    <n v="0"/>
  </r>
  <r>
    <n v="70"/>
    <x v="0"/>
    <x v="5"/>
    <x v="2"/>
    <x v="0"/>
    <n v="704"/>
    <n v="3"/>
    <x v="201"/>
    <x v="0"/>
    <s v="Monday"/>
    <s v="Weekday"/>
    <n v="0"/>
  </r>
  <r>
    <n v="58"/>
    <x v="0"/>
    <x v="7"/>
    <x v="5"/>
    <x v="0"/>
    <n v="1083"/>
    <n v="5"/>
    <x v="202"/>
    <x v="0"/>
    <s v="Thursday"/>
    <s v="Weekday"/>
    <n v="0"/>
  </r>
  <r>
    <n v="39"/>
    <x v="0"/>
    <x v="1"/>
    <x v="2"/>
    <x v="0"/>
    <n v="719"/>
    <n v="1"/>
    <x v="117"/>
    <x v="3"/>
    <s v="Saturday"/>
    <s v="Weekend"/>
    <n v="0"/>
  </r>
  <r>
    <n v="65"/>
    <x v="0"/>
    <x v="3"/>
    <x v="0"/>
    <x v="0"/>
    <n v="945"/>
    <n v="3"/>
    <x v="143"/>
    <x v="0"/>
    <s v="Wednesday"/>
    <s v="Weekday"/>
    <n v="0"/>
  </r>
  <r>
    <n v="45"/>
    <x v="0"/>
    <x v="4"/>
    <x v="1"/>
    <x v="1"/>
    <n v="1411"/>
    <n v="15"/>
    <x v="161"/>
    <x v="3"/>
    <s v="Monday"/>
    <s v="Weekday"/>
    <n v="0"/>
  </r>
  <r>
    <n v="37"/>
    <x v="1"/>
    <x v="2"/>
    <x v="5"/>
    <x v="2"/>
    <n v="969"/>
    <n v="8"/>
    <x v="28"/>
    <x v="3"/>
    <s v="Friday"/>
    <s v="Weekend"/>
    <n v="1"/>
  </r>
  <r>
    <n v="72"/>
    <x v="1"/>
    <x v="7"/>
    <x v="1"/>
    <x v="0"/>
    <n v="1416"/>
    <n v="4"/>
    <x v="15"/>
    <x v="0"/>
    <s v="Tuesday"/>
    <s v="Weekday"/>
    <n v="0"/>
  </r>
  <r>
    <n v="37"/>
    <x v="0"/>
    <x v="0"/>
    <x v="4"/>
    <x v="0"/>
    <n v="546"/>
    <n v="2"/>
    <x v="203"/>
    <x v="3"/>
    <s v="Monday"/>
    <s v="Weekday"/>
    <n v="0"/>
  </r>
  <r>
    <n v="18"/>
    <x v="1"/>
    <x v="5"/>
    <x v="1"/>
    <x v="1"/>
    <n v="1553"/>
    <n v="10"/>
    <x v="204"/>
    <x v="1"/>
    <s v="Saturday"/>
    <s v="Weekend"/>
    <n v="0"/>
  </r>
  <r>
    <n v="25"/>
    <x v="1"/>
    <x v="6"/>
    <x v="4"/>
    <x v="0"/>
    <n v="507"/>
    <n v="4"/>
    <x v="205"/>
    <x v="1"/>
    <s v="Saturday"/>
    <s v="Weekend"/>
    <n v="0"/>
  </r>
  <r>
    <n v="52"/>
    <x v="1"/>
    <x v="5"/>
    <x v="4"/>
    <x v="0"/>
    <n v="635"/>
    <n v="3"/>
    <x v="206"/>
    <x v="3"/>
    <s v="Sunday"/>
    <s v="Weekday"/>
    <n v="0"/>
  </r>
  <r>
    <n v="24"/>
    <x v="0"/>
    <x v="0"/>
    <x v="1"/>
    <x v="1"/>
    <n v="1469"/>
    <n v="2"/>
    <x v="181"/>
    <x v="1"/>
    <s v="Wednesday"/>
    <s v="Weekday"/>
    <n v="0"/>
  </r>
  <r>
    <n v="12"/>
    <x v="0"/>
    <x v="0"/>
    <x v="5"/>
    <x v="0"/>
    <n v="1082"/>
    <n v="17"/>
    <x v="116"/>
    <x v="2"/>
    <s v="Friday"/>
    <s v="Weekend"/>
    <n v="0"/>
  </r>
  <r>
    <n v="11"/>
    <x v="0"/>
    <x v="6"/>
    <x v="0"/>
    <x v="0"/>
    <n v="1149"/>
    <n v="20"/>
    <x v="207"/>
    <x v="2"/>
    <s v="Tuesday"/>
    <s v="Weekday"/>
    <n v="0"/>
  </r>
  <r>
    <n v="71"/>
    <x v="0"/>
    <x v="2"/>
    <x v="2"/>
    <x v="0"/>
    <n v="927"/>
    <n v="13"/>
    <x v="11"/>
    <x v="0"/>
    <s v="Friday"/>
    <s v="Weekend"/>
    <n v="0"/>
  </r>
  <r>
    <n v="21"/>
    <x v="0"/>
    <x v="7"/>
    <x v="2"/>
    <x v="0"/>
    <n v="801"/>
    <n v="5"/>
    <x v="208"/>
    <x v="1"/>
    <s v="Friday"/>
    <s v="Weekend"/>
    <n v="0"/>
  </r>
  <r>
    <n v="37"/>
    <x v="1"/>
    <x v="5"/>
    <x v="0"/>
    <x v="0"/>
    <n v="974"/>
    <n v="9"/>
    <x v="209"/>
    <x v="3"/>
    <s v="Friday"/>
    <s v="Weekend"/>
    <n v="0"/>
  </r>
  <r>
    <n v="52"/>
    <x v="0"/>
    <x v="2"/>
    <x v="4"/>
    <x v="1"/>
    <n v="615"/>
    <n v="6"/>
    <x v="210"/>
    <x v="3"/>
    <s v="Thursday"/>
    <s v="Weekday"/>
    <n v="0"/>
  </r>
  <r>
    <n v="63"/>
    <x v="1"/>
    <x v="5"/>
    <x v="4"/>
    <x v="0"/>
    <n v="602"/>
    <n v="5"/>
    <x v="211"/>
    <x v="0"/>
    <s v="Monday"/>
    <s v="Weekday"/>
    <n v="0"/>
  </r>
  <r>
    <n v="26"/>
    <x v="0"/>
    <x v="0"/>
    <x v="5"/>
    <x v="0"/>
    <n v="1091"/>
    <n v="10"/>
    <x v="212"/>
    <x v="1"/>
    <s v="Monday"/>
    <s v="Weekday"/>
    <n v="0"/>
  </r>
  <r>
    <n v="34"/>
    <x v="0"/>
    <x v="5"/>
    <x v="3"/>
    <x v="1"/>
    <n v="1348"/>
    <n v="8"/>
    <x v="213"/>
    <x v="1"/>
    <s v="Sunday"/>
    <s v="Weekday"/>
    <n v="0"/>
  </r>
  <r>
    <n v="42"/>
    <x v="1"/>
    <x v="5"/>
    <x v="1"/>
    <x v="0"/>
    <n v="1641"/>
    <n v="7"/>
    <x v="214"/>
    <x v="3"/>
    <s v="Thursday"/>
    <s v="Weekday"/>
    <n v="0"/>
  </r>
  <r>
    <n v="55"/>
    <x v="1"/>
    <x v="2"/>
    <x v="4"/>
    <x v="0"/>
    <n v="578"/>
    <n v="7"/>
    <x v="134"/>
    <x v="3"/>
    <s v="Thursday"/>
    <s v="Weekday"/>
    <n v="0"/>
  </r>
  <r>
    <n v="58"/>
    <x v="1"/>
    <x v="0"/>
    <x v="2"/>
    <x v="2"/>
    <n v="918"/>
    <n v="6"/>
    <x v="215"/>
    <x v="0"/>
    <s v="Thursday"/>
    <s v="Weekday"/>
    <n v="1"/>
  </r>
  <r>
    <n v="12"/>
    <x v="1"/>
    <x v="4"/>
    <x v="5"/>
    <x v="0"/>
    <n v="981"/>
    <n v="20"/>
    <x v="193"/>
    <x v="2"/>
    <s v="Wednesday"/>
    <s v="Weekday"/>
    <n v="0"/>
  </r>
  <r>
    <n v="31"/>
    <x v="1"/>
    <x v="2"/>
    <x v="1"/>
    <x v="1"/>
    <n v="1491"/>
    <n v="3"/>
    <x v="216"/>
    <x v="1"/>
    <s v="Friday"/>
    <s v="Weekend"/>
    <n v="0"/>
  </r>
  <r>
    <n v="31"/>
    <x v="0"/>
    <x v="3"/>
    <x v="5"/>
    <x v="1"/>
    <n v="1074"/>
    <n v="19"/>
    <x v="217"/>
    <x v="1"/>
    <s v="Thursday"/>
    <s v="Weekday"/>
    <n v="0"/>
  </r>
  <r>
    <n v="25"/>
    <x v="0"/>
    <x v="0"/>
    <x v="1"/>
    <x v="0"/>
    <n v="1638"/>
    <n v="15"/>
    <x v="218"/>
    <x v="1"/>
    <s v="Thursday"/>
    <s v="Weekday"/>
    <n v="0"/>
  </r>
  <r>
    <n v="34"/>
    <x v="0"/>
    <x v="0"/>
    <x v="1"/>
    <x v="0"/>
    <n v="1659"/>
    <n v="4"/>
    <x v="219"/>
    <x v="1"/>
    <s v="Thursday"/>
    <s v="Weekday"/>
    <n v="0"/>
  </r>
  <r>
    <n v="32"/>
    <x v="0"/>
    <x v="0"/>
    <x v="0"/>
    <x v="2"/>
    <n v="1062"/>
    <n v="12"/>
    <x v="165"/>
    <x v="1"/>
    <s v="Saturday"/>
    <s v="Weekend"/>
    <n v="1"/>
  </r>
  <r>
    <n v="68"/>
    <x v="0"/>
    <x v="0"/>
    <x v="4"/>
    <x v="0"/>
    <n v="447"/>
    <n v="6"/>
    <x v="220"/>
    <x v="0"/>
    <s v="Tuesday"/>
    <s v="Weekday"/>
    <n v="0"/>
  </r>
  <r>
    <n v="73"/>
    <x v="0"/>
    <x v="2"/>
    <x v="5"/>
    <x v="1"/>
    <n v="1015"/>
    <n v="19"/>
    <x v="221"/>
    <x v="0"/>
    <s v="Tuesday"/>
    <s v="Weekday"/>
    <n v="0"/>
  </r>
  <r>
    <n v="65"/>
    <x v="1"/>
    <x v="5"/>
    <x v="5"/>
    <x v="0"/>
    <n v="1124"/>
    <n v="4"/>
    <x v="181"/>
    <x v="0"/>
    <s v="Wednesday"/>
    <s v="Weekday"/>
    <n v="0"/>
  </r>
  <r>
    <n v="52"/>
    <x v="0"/>
    <x v="2"/>
    <x v="0"/>
    <x v="0"/>
    <n v="1046"/>
    <n v="15"/>
    <x v="222"/>
    <x v="3"/>
    <s v="Tuesday"/>
    <s v="Weekday"/>
    <n v="0"/>
  </r>
  <r>
    <n v="23"/>
    <x v="1"/>
    <x v="2"/>
    <x v="2"/>
    <x v="0"/>
    <n v="762"/>
    <n v="9"/>
    <x v="223"/>
    <x v="1"/>
    <s v="Saturday"/>
    <s v="Weekend"/>
    <n v="0"/>
  </r>
  <r>
    <n v="8"/>
    <x v="0"/>
    <x v="2"/>
    <x v="2"/>
    <x v="2"/>
    <n v="993"/>
    <n v="5"/>
    <x v="224"/>
    <x v="2"/>
    <s v="Tuesday"/>
    <s v="Weekday"/>
    <n v="1"/>
  </r>
  <r>
    <n v="39"/>
    <x v="0"/>
    <x v="2"/>
    <x v="4"/>
    <x v="2"/>
    <n v="412"/>
    <n v="13"/>
    <x v="225"/>
    <x v="3"/>
    <s v="Friday"/>
    <s v="Weekend"/>
    <n v="1"/>
  </r>
  <r>
    <n v="68"/>
    <x v="0"/>
    <x v="0"/>
    <x v="4"/>
    <x v="0"/>
    <n v="588"/>
    <n v="18"/>
    <x v="0"/>
    <x v="0"/>
    <s v="Sunday"/>
    <s v="Weekday"/>
    <n v="0"/>
  </r>
  <r>
    <n v="53"/>
    <x v="1"/>
    <x v="3"/>
    <x v="3"/>
    <x v="0"/>
    <n v="1386"/>
    <n v="5"/>
    <x v="226"/>
    <x v="3"/>
    <s v="Monday"/>
    <s v="Weekday"/>
    <n v="0"/>
  </r>
  <r>
    <n v="21"/>
    <x v="0"/>
    <x v="6"/>
    <x v="0"/>
    <x v="1"/>
    <n v="1107"/>
    <n v="16"/>
    <x v="17"/>
    <x v="1"/>
    <s v="Monday"/>
    <s v="Weekday"/>
    <n v="0"/>
  </r>
  <r>
    <n v="48"/>
    <x v="0"/>
    <x v="2"/>
    <x v="2"/>
    <x v="0"/>
    <n v="813"/>
    <n v="19"/>
    <x v="227"/>
    <x v="3"/>
    <s v="Thursday"/>
    <s v="Weekday"/>
    <n v="0"/>
  </r>
  <r>
    <n v="34"/>
    <x v="1"/>
    <x v="1"/>
    <x v="1"/>
    <x v="0"/>
    <n v="1421"/>
    <n v="14"/>
    <x v="79"/>
    <x v="1"/>
    <s v="Monday"/>
    <s v="Weekday"/>
    <n v="0"/>
  </r>
  <r>
    <n v="50"/>
    <x v="1"/>
    <x v="5"/>
    <x v="5"/>
    <x v="0"/>
    <n v="1113"/>
    <n v="16"/>
    <x v="228"/>
    <x v="3"/>
    <s v="Saturday"/>
    <s v="Weekend"/>
    <n v="0"/>
  </r>
  <r>
    <n v="10"/>
    <x v="0"/>
    <x v="0"/>
    <x v="4"/>
    <x v="0"/>
    <n v="570"/>
    <n v="15"/>
    <x v="39"/>
    <x v="2"/>
    <s v="Monday"/>
    <s v="Weekday"/>
    <n v="0"/>
  </r>
  <r>
    <n v="41"/>
    <x v="1"/>
    <x v="4"/>
    <x v="5"/>
    <x v="2"/>
    <n v="953"/>
    <n v="4"/>
    <x v="229"/>
    <x v="3"/>
    <s v="Tuesday"/>
    <s v="Weekday"/>
    <n v="1"/>
  </r>
  <r>
    <n v="28"/>
    <x v="0"/>
    <x v="7"/>
    <x v="5"/>
    <x v="0"/>
    <n v="1197"/>
    <n v="7"/>
    <x v="230"/>
    <x v="1"/>
    <s v="Saturday"/>
    <s v="Weekend"/>
    <n v="0"/>
  </r>
  <r>
    <n v="50"/>
    <x v="1"/>
    <x v="2"/>
    <x v="3"/>
    <x v="0"/>
    <n v="1225"/>
    <n v="16"/>
    <x v="99"/>
    <x v="3"/>
    <s v="Saturday"/>
    <s v="Weekend"/>
    <n v="0"/>
  </r>
  <r>
    <n v="57"/>
    <x v="1"/>
    <x v="0"/>
    <x v="2"/>
    <x v="0"/>
    <n v="976"/>
    <n v="8"/>
    <x v="231"/>
    <x v="0"/>
    <s v="Thursday"/>
    <s v="Weekday"/>
    <n v="0"/>
  </r>
  <r>
    <n v="64"/>
    <x v="0"/>
    <x v="4"/>
    <x v="4"/>
    <x v="1"/>
    <n v="603"/>
    <n v="17"/>
    <x v="232"/>
    <x v="0"/>
    <s v="Monday"/>
    <s v="Weekday"/>
    <n v="0"/>
  </r>
  <r>
    <n v="67"/>
    <x v="1"/>
    <x v="5"/>
    <x v="5"/>
    <x v="0"/>
    <n v="1093"/>
    <n v="16"/>
    <x v="233"/>
    <x v="0"/>
    <s v="Sunday"/>
    <s v="Weekday"/>
    <n v="0"/>
  </r>
  <r>
    <n v="36"/>
    <x v="0"/>
    <x v="2"/>
    <x v="4"/>
    <x v="0"/>
    <n v="568"/>
    <n v="10"/>
    <x v="234"/>
    <x v="3"/>
    <s v="Saturday"/>
    <s v="Weekend"/>
    <n v="0"/>
  </r>
  <r>
    <n v="37"/>
    <x v="1"/>
    <x v="6"/>
    <x v="1"/>
    <x v="0"/>
    <n v="1551"/>
    <n v="10"/>
    <x v="235"/>
    <x v="3"/>
    <s v="Sunday"/>
    <s v="Weekday"/>
    <n v="0"/>
  </r>
  <r>
    <n v="71"/>
    <x v="1"/>
    <x v="6"/>
    <x v="3"/>
    <x v="1"/>
    <n v="1134"/>
    <n v="2"/>
    <x v="236"/>
    <x v="0"/>
    <s v="Tuesday"/>
    <s v="Weekday"/>
    <n v="0"/>
  </r>
  <r>
    <n v="22"/>
    <x v="0"/>
    <x v="5"/>
    <x v="1"/>
    <x v="0"/>
    <n v="1583"/>
    <n v="9"/>
    <x v="216"/>
    <x v="1"/>
    <s v="Friday"/>
    <s v="Weekend"/>
    <n v="0"/>
  </r>
  <r>
    <n v="29"/>
    <x v="1"/>
    <x v="6"/>
    <x v="4"/>
    <x v="0"/>
    <n v="685"/>
    <n v="17"/>
    <x v="117"/>
    <x v="1"/>
    <s v="Saturday"/>
    <s v="Weekend"/>
    <n v="0"/>
  </r>
  <r>
    <n v="58"/>
    <x v="0"/>
    <x v="6"/>
    <x v="4"/>
    <x v="0"/>
    <n v="456"/>
    <n v="11"/>
    <x v="79"/>
    <x v="0"/>
    <s v="Monday"/>
    <s v="Weekday"/>
    <n v="0"/>
  </r>
  <r>
    <n v="62"/>
    <x v="0"/>
    <x v="2"/>
    <x v="2"/>
    <x v="0"/>
    <n v="921"/>
    <n v="10"/>
    <x v="237"/>
    <x v="0"/>
    <s v="Tuesday"/>
    <s v="Weekday"/>
    <n v="0"/>
  </r>
  <r>
    <n v="71"/>
    <x v="0"/>
    <x v="2"/>
    <x v="5"/>
    <x v="0"/>
    <n v="1062"/>
    <n v="17"/>
    <x v="238"/>
    <x v="0"/>
    <s v="Wednesday"/>
    <s v="Weekday"/>
    <n v="0"/>
  </r>
  <r>
    <n v="50"/>
    <x v="1"/>
    <x v="3"/>
    <x v="5"/>
    <x v="1"/>
    <n v="918"/>
    <n v="4"/>
    <x v="239"/>
    <x v="3"/>
    <s v="Tuesday"/>
    <s v="Weekday"/>
    <n v="0"/>
  </r>
  <r>
    <n v="28"/>
    <x v="1"/>
    <x v="4"/>
    <x v="1"/>
    <x v="0"/>
    <n v="1663"/>
    <n v="16"/>
    <x v="240"/>
    <x v="1"/>
    <s v="Friday"/>
    <s v="Weekend"/>
    <n v="0"/>
  </r>
  <r>
    <n v="36"/>
    <x v="0"/>
    <x v="2"/>
    <x v="3"/>
    <x v="1"/>
    <n v="1381"/>
    <n v="20"/>
    <x v="241"/>
    <x v="3"/>
    <s v="Sunday"/>
    <s v="Weekday"/>
    <n v="0"/>
  </r>
  <r>
    <n v="51"/>
    <x v="0"/>
    <x v="3"/>
    <x v="0"/>
    <x v="0"/>
    <n v="1012"/>
    <n v="15"/>
    <x v="242"/>
    <x v="3"/>
    <s v="Monday"/>
    <s v="Weekday"/>
    <n v="0"/>
  </r>
  <r>
    <n v="27"/>
    <x v="0"/>
    <x v="5"/>
    <x v="5"/>
    <x v="1"/>
    <n v="929"/>
    <n v="5"/>
    <x v="171"/>
    <x v="1"/>
    <s v="Wednesday"/>
    <s v="Weekday"/>
    <n v="0"/>
  </r>
  <r>
    <n v="70"/>
    <x v="1"/>
    <x v="0"/>
    <x v="2"/>
    <x v="0"/>
    <n v="834"/>
    <n v="6"/>
    <x v="243"/>
    <x v="0"/>
    <s v="Monday"/>
    <s v="Weekday"/>
    <n v="0"/>
  </r>
  <r>
    <n v="31"/>
    <x v="1"/>
    <x v="5"/>
    <x v="1"/>
    <x v="0"/>
    <n v="1466"/>
    <n v="17"/>
    <x v="48"/>
    <x v="1"/>
    <s v="Sunday"/>
    <s v="Weekday"/>
    <n v="0"/>
  </r>
  <r>
    <n v="6"/>
    <x v="0"/>
    <x v="1"/>
    <x v="1"/>
    <x v="2"/>
    <n v="1464"/>
    <n v="1"/>
    <x v="244"/>
    <x v="2"/>
    <s v="Wednesday"/>
    <s v="Weekday"/>
    <n v="1"/>
  </r>
  <r>
    <n v="21"/>
    <x v="0"/>
    <x v="3"/>
    <x v="0"/>
    <x v="1"/>
    <n v="1191"/>
    <n v="19"/>
    <x v="87"/>
    <x v="1"/>
    <s v="Monday"/>
    <s v="Weekday"/>
    <n v="0"/>
  </r>
  <r>
    <n v="37"/>
    <x v="0"/>
    <x v="0"/>
    <x v="2"/>
    <x v="0"/>
    <n v="724"/>
    <n v="4"/>
    <x v="245"/>
    <x v="3"/>
    <s v="Thursday"/>
    <s v="Weekday"/>
    <n v="0"/>
  </r>
  <r>
    <n v="13"/>
    <x v="0"/>
    <x v="0"/>
    <x v="3"/>
    <x v="0"/>
    <n v="1136"/>
    <n v="17"/>
    <x v="21"/>
    <x v="2"/>
    <s v="Friday"/>
    <s v="Weekend"/>
    <n v="0"/>
  </r>
  <r>
    <n v="47"/>
    <x v="0"/>
    <x v="3"/>
    <x v="2"/>
    <x v="1"/>
    <n v="700"/>
    <n v="9"/>
    <x v="185"/>
    <x v="3"/>
    <s v="Wednesday"/>
    <s v="Weekday"/>
    <n v="0"/>
  </r>
  <r>
    <n v="52"/>
    <x v="1"/>
    <x v="0"/>
    <x v="3"/>
    <x v="0"/>
    <n v="1136"/>
    <n v="2"/>
    <x v="246"/>
    <x v="3"/>
    <s v="Monday"/>
    <s v="Weekday"/>
    <n v="0"/>
  </r>
  <r>
    <n v="43"/>
    <x v="1"/>
    <x v="0"/>
    <x v="2"/>
    <x v="1"/>
    <n v="840"/>
    <n v="8"/>
    <x v="247"/>
    <x v="3"/>
    <s v="Monday"/>
    <s v="Weekday"/>
    <n v="0"/>
  </r>
  <r>
    <n v="46"/>
    <x v="1"/>
    <x v="0"/>
    <x v="2"/>
    <x v="1"/>
    <n v="931"/>
    <n v="15"/>
    <x v="248"/>
    <x v="3"/>
    <s v="Friday"/>
    <s v="Weekend"/>
    <n v="0"/>
  </r>
  <r>
    <n v="30"/>
    <x v="1"/>
    <x v="2"/>
    <x v="4"/>
    <x v="0"/>
    <n v="535"/>
    <n v="7"/>
    <x v="249"/>
    <x v="1"/>
    <s v="Sunday"/>
    <s v="Weekday"/>
    <n v="0"/>
  </r>
  <r>
    <n v="54"/>
    <x v="0"/>
    <x v="2"/>
    <x v="1"/>
    <x v="0"/>
    <n v="1587"/>
    <n v="6"/>
    <x v="250"/>
    <x v="3"/>
    <s v="Sunday"/>
    <s v="Weekday"/>
    <n v="0"/>
  </r>
  <r>
    <n v="29"/>
    <x v="1"/>
    <x v="0"/>
    <x v="2"/>
    <x v="0"/>
    <n v="827"/>
    <n v="1"/>
    <x v="73"/>
    <x v="1"/>
    <s v="Wednesday"/>
    <s v="Weekday"/>
    <n v="0"/>
  </r>
  <r>
    <n v="28"/>
    <x v="0"/>
    <x v="0"/>
    <x v="0"/>
    <x v="0"/>
    <n v="1100"/>
    <n v="15"/>
    <x v="16"/>
    <x v="1"/>
    <s v="Saturday"/>
    <s v="Weekend"/>
    <n v="0"/>
  </r>
  <r>
    <n v="17"/>
    <x v="1"/>
    <x v="2"/>
    <x v="2"/>
    <x v="0"/>
    <n v="826"/>
    <n v="7"/>
    <x v="251"/>
    <x v="2"/>
    <s v="Friday"/>
    <s v="Weekend"/>
    <n v="0"/>
  </r>
  <r>
    <n v="64"/>
    <x v="1"/>
    <x v="5"/>
    <x v="5"/>
    <x v="2"/>
    <n v="1156"/>
    <n v="17"/>
    <x v="252"/>
    <x v="0"/>
    <s v="Sunday"/>
    <s v="Weekday"/>
    <n v="1"/>
  </r>
  <r>
    <n v="11"/>
    <x v="1"/>
    <x v="5"/>
    <x v="1"/>
    <x v="0"/>
    <n v="1563"/>
    <n v="2"/>
    <x v="216"/>
    <x v="2"/>
    <s v="Friday"/>
    <s v="Weekend"/>
    <n v="0"/>
  </r>
  <r>
    <n v="61"/>
    <x v="1"/>
    <x v="2"/>
    <x v="5"/>
    <x v="1"/>
    <n v="934"/>
    <n v="9"/>
    <x v="246"/>
    <x v="0"/>
    <s v="Monday"/>
    <s v="Weekday"/>
    <n v="0"/>
  </r>
  <r>
    <n v="40"/>
    <x v="0"/>
    <x v="1"/>
    <x v="1"/>
    <x v="0"/>
    <n v="1593"/>
    <n v="9"/>
    <x v="253"/>
    <x v="3"/>
    <s v="Sunday"/>
    <s v="Weekday"/>
    <n v="0"/>
  </r>
  <r>
    <n v="49"/>
    <x v="1"/>
    <x v="0"/>
    <x v="5"/>
    <x v="0"/>
    <n v="1090"/>
    <n v="13"/>
    <x v="254"/>
    <x v="3"/>
    <s v="Tuesday"/>
    <s v="Weekday"/>
    <n v="0"/>
  </r>
  <r>
    <n v="24"/>
    <x v="0"/>
    <x v="5"/>
    <x v="2"/>
    <x v="0"/>
    <n v="803"/>
    <n v="6"/>
    <x v="51"/>
    <x v="1"/>
    <s v="Saturday"/>
    <s v="Weekend"/>
    <n v="0"/>
  </r>
  <r>
    <n v="69"/>
    <x v="1"/>
    <x v="3"/>
    <x v="2"/>
    <x v="0"/>
    <n v="722"/>
    <n v="6"/>
    <x v="255"/>
    <x v="0"/>
    <s v="Thursday"/>
    <s v="Weekday"/>
    <n v="0"/>
  </r>
  <r>
    <n v="12"/>
    <x v="1"/>
    <x v="7"/>
    <x v="4"/>
    <x v="0"/>
    <n v="664"/>
    <n v="20"/>
    <x v="27"/>
    <x v="2"/>
    <s v="Wednesday"/>
    <s v="Weekday"/>
    <n v="0"/>
  </r>
  <r>
    <n v="20"/>
    <x v="1"/>
    <x v="5"/>
    <x v="0"/>
    <x v="0"/>
    <n v="1189"/>
    <n v="20"/>
    <x v="256"/>
    <x v="1"/>
    <s v="Wednesday"/>
    <s v="Weekday"/>
    <n v="0"/>
  </r>
  <r>
    <n v="18"/>
    <x v="0"/>
    <x v="5"/>
    <x v="5"/>
    <x v="1"/>
    <n v="1159"/>
    <n v="3"/>
    <x v="257"/>
    <x v="1"/>
    <s v="Tuesday"/>
    <s v="Weekday"/>
    <n v="0"/>
  </r>
  <r>
    <n v="19"/>
    <x v="0"/>
    <x v="6"/>
    <x v="3"/>
    <x v="0"/>
    <n v="1174"/>
    <n v="17"/>
    <x v="258"/>
    <x v="1"/>
    <s v="Wednesday"/>
    <s v="Weekday"/>
    <n v="0"/>
  </r>
  <r>
    <n v="70"/>
    <x v="1"/>
    <x v="2"/>
    <x v="4"/>
    <x v="0"/>
    <n v="471"/>
    <n v="17"/>
    <x v="71"/>
    <x v="0"/>
    <s v="Wednesday"/>
    <s v="Weekday"/>
    <n v="0"/>
  </r>
  <r>
    <n v="36"/>
    <x v="1"/>
    <x v="2"/>
    <x v="5"/>
    <x v="0"/>
    <n v="1158"/>
    <n v="12"/>
    <x v="259"/>
    <x v="3"/>
    <s v="Friday"/>
    <s v="Weekend"/>
    <n v="0"/>
  </r>
  <r>
    <n v="67"/>
    <x v="0"/>
    <x v="5"/>
    <x v="5"/>
    <x v="0"/>
    <n v="1087"/>
    <n v="16"/>
    <x v="179"/>
    <x v="0"/>
    <s v="Wednesday"/>
    <s v="Weekday"/>
    <n v="0"/>
  </r>
  <r>
    <n v="55"/>
    <x v="1"/>
    <x v="0"/>
    <x v="4"/>
    <x v="0"/>
    <n v="572"/>
    <n v="15"/>
    <x v="260"/>
    <x v="3"/>
    <s v="Friday"/>
    <s v="Weekend"/>
    <n v="0"/>
  </r>
  <r>
    <n v="29"/>
    <x v="1"/>
    <x v="5"/>
    <x v="2"/>
    <x v="0"/>
    <n v="989"/>
    <n v="13"/>
    <x v="132"/>
    <x v="1"/>
    <s v="Thursday"/>
    <s v="Weekday"/>
    <n v="0"/>
  </r>
  <r>
    <n v="62"/>
    <x v="0"/>
    <x v="2"/>
    <x v="5"/>
    <x v="0"/>
    <n v="944"/>
    <n v="1"/>
    <x v="261"/>
    <x v="0"/>
    <s v="Wednesday"/>
    <s v="Weekday"/>
    <n v="0"/>
  </r>
  <r>
    <n v="67"/>
    <x v="0"/>
    <x v="0"/>
    <x v="2"/>
    <x v="0"/>
    <n v="760"/>
    <n v="17"/>
    <x v="262"/>
    <x v="0"/>
    <s v="Tuesday"/>
    <s v="Weekday"/>
    <n v="0"/>
  </r>
  <r>
    <n v="66"/>
    <x v="1"/>
    <x v="0"/>
    <x v="4"/>
    <x v="0"/>
    <n v="482"/>
    <n v="3"/>
    <x v="263"/>
    <x v="0"/>
    <s v="Sunday"/>
    <s v="Weekday"/>
    <n v="0"/>
  </r>
  <r>
    <n v="26"/>
    <x v="0"/>
    <x v="0"/>
    <x v="2"/>
    <x v="1"/>
    <n v="822"/>
    <n v="15"/>
    <x v="217"/>
    <x v="1"/>
    <s v="Thursday"/>
    <s v="Weekday"/>
    <n v="0"/>
  </r>
  <r>
    <n v="62"/>
    <x v="0"/>
    <x v="3"/>
    <x v="1"/>
    <x v="0"/>
    <n v="1415"/>
    <n v="4"/>
    <x v="7"/>
    <x v="0"/>
    <s v="Saturday"/>
    <s v="Weekend"/>
    <n v="0"/>
  </r>
  <r>
    <n v="62"/>
    <x v="1"/>
    <x v="0"/>
    <x v="3"/>
    <x v="0"/>
    <n v="1165"/>
    <n v="4"/>
    <x v="16"/>
    <x v="0"/>
    <s v="Saturday"/>
    <s v="Weekend"/>
    <n v="0"/>
  </r>
  <r>
    <n v="53"/>
    <x v="0"/>
    <x v="0"/>
    <x v="5"/>
    <x v="0"/>
    <n v="1044"/>
    <n v="18"/>
    <x v="245"/>
    <x v="3"/>
    <s v="Thursday"/>
    <s v="Weekday"/>
    <n v="0"/>
  </r>
  <r>
    <n v="56"/>
    <x v="0"/>
    <x v="0"/>
    <x v="0"/>
    <x v="0"/>
    <n v="1061"/>
    <n v="17"/>
    <x v="264"/>
    <x v="0"/>
    <s v="Saturday"/>
    <s v="Weekend"/>
    <n v="0"/>
  </r>
  <r>
    <n v="46"/>
    <x v="1"/>
    <x v="0"/>
    <x v="3"/>
    <x v="2"/>
    <n v="1333"/>
    <n v="19"/>
    <x v="265"/>
    <x v="3"/>
    <s v="Tuesday"/>
    <s v="Weekday"/>
    <n v="1"/>
  </r>
  <r>
    <n v="74"/>
    <x v="1"/>
    <x v="6"/>
    <x v="2"/>
    <x v="0"/>
    <n v="843"/>
    <n v="11"/>
    <x v="266"/>
    <x v="0"/>
    <s v="Wednesday"/>
    <s v="Weekday"/>
    <n v="0"/>
  </r>
  <r>
    <n v="19"/>
    <x v="1"/>
    <x v="2"/>
    <x v="5"/>
    <x v="0"/>
    <n v="1087"/>
    <n v="20"/>
    <x v="144"/>
    <x v="1"/>
    <s v="Monday"/>
    <s v="Weekday"/>
    <n v="0"/>
  </r>
  <r>
    <n v="58"/>
    <x v="0"/>
    <x v="3"/>
    <x v="2"/>
    <x v="0"/>
    <n v="712"/>
    <n v="3"/>
    <x v="107"/>
    <x v="0"/>
    <s v="Saturday"/>
    <s v="Weekend"/>
    <n v="0"/>
  </r>
  <r>
    <n v="64"/>
    <x v="1"/>
    <x v="3"/>
    <x v="1"/>
    <x v="0"/>
    <n v="1583"/>
    <n v="8"/>
    <x v="267"/>
    <x v="0"/>
    <s v="Saturday"/>
    <s v="Weekend"/>
    <n v="0"/>
  </r>
  <r>
    <n v="12"/>
    <x v="0"/>
    <x v="5"/>
    <x v="4"/>
    <x v="0"/>
    <n v="510"/>
    <n v="14"/>
    <x v="268"/>
    <x v="2"/>
    <s v="Wednesday"/>
    <s v="Weekday"/>
    <n v="0"/>
  </r>
  <r>
    <n v="57"/>
    <x v="0"/>
    <x v="3"/>
    <x v="5"/>
    <x v="0"/>
    <n v="1189"/>
    <n v="1"/>
    <x v="12"/>
    <x v="0"/>
    <s v="Saturday"/>
    <s v="Weekend"/>
    <n v="0"/>
  </r>
  <r>
    <n v="64"/>
    <x v="1"/>
    <x v="6"/>
    <x v="1"/>
    <x v="2"/>
    <n v="1694"/>
    <n v="14"/>
    <x v="25"/>
    <x v="0"/>
    <s v="Tuesday"/>
    <s v="Weekday"/>
    <n v="1"/>
  </r>
  <r>
    <n v="9"/>
    <x v="0"/>
    <x v="7"/>
    <x v="1"/>
    <x v="0"/>
    <n v="1614"/>
    <n v="2"/>
    <x v="269"/>
    <x v="2"/>
    <s v="Sunday"/>
    <s v="Weekday"/>
    <n v="0"/>
  </r>
  <r>
    <n v="72"/>
    <x v="1"/>
    <x v="2"/>
    <x v="5"/>
    <x v="0"/>
    <n v="1019"/>
    <n v="4"/>
    <x v="270"/>
    <x v="0"/>
    <s v="Monday"/>
    <s v="Weekday"/>
    <n v="0"/>
  </r>
  <r>
    <n v="10"/>
    <x v="0"/>
    <x v="2"/>
    <x v="2"/>
    <x v="0"/>
    <n v="754"/>
    <n v="19"/>
    <x v="271"/>
    <x v="2"/>
    <s v="Friday"/>
    <s v="Weekend"/>
    <n v="0"/>
  </r>
  <r>
    <n v="51"/>
    <x v="0"/>
    <x v="0"/>
    <x v="0"/>
    <x v="0"/>
    <n v="926"/>
    <n v="6"/>
    <x v="272"/>
    <x v="3"/>
    <s v="Wednesday"/>
    <s v="Weekday"/>
    <n v="0"/>
  </r>
  <r>
    <n v="59"/>
    <x v="1"/>
    <x v="2"/>
    <x v="1"/>
    <x v="0"/>
    <n v="1517"/>
    <n v="1"/>
    <x v="131"/>
    <x v="0"/>
    <s v="Monday"/>
    <s v="Weekday"/>
    <n v="0"/>
  </r>
  <r>
    <n v="44"/>
    <x v="1"/>
    <x v="3"/>
    <x v="3"/>
    <x v="1"/>
    <n v="1320"/>
    <n v="17"/>
    <x v="57"/>
    <x v="3"/>
    <s v="Monday"/>
    <s v="Weekday"/>
    <n v="0"/>
  </r>
  <r>
    <n v="56"/>
    <x v="1"/>
    <x v="4"/>
    <x v="1"/>
    <x v="1"/>
    <n v="1630"/>
    <n v="8"/>
    <x v="76"/>
    <x v="0"/>
    <s v="Wednesday"/>
    <s v="Weekday"/>
    <n v="0"/>
  </r>
  <r>
    <n v="20"/>
    <x v="1"/>
    <x v="2"/>
    <x v="0"/>
    <x v="0"/>
    <n v="952"/>
    <n v="19"/>
    <x v="273"/>
    <x v="1"/>
    <s v="Thursday"/>
    <s v="Weekday"/>
    <n v="0"/>
  </r>
  <r>
    <n v="17"/>
    <x v="1"/>
    <x v="2"/>
    <x v="2"/>
    <x v="1"/>
    <n v="994"/>
    <n v="1"/>
    <x v="274"/>
    <x v="2"/>
    <s v="Tuesday"/>
    <s v="Weekday"/>
    <n v="0"/>
  </r>
  <r>
    <n v="34"/>
    <x v="1"/>
    <x v="2"/>
    <x v="2"/>
    <x v="2"/>
    <n v="932"/>
    <n v="5"/>
    <x v="275"/>
    <x v="1"/>
    <s v="Monday"/>
    <s v="Weekday"/>
    <n v="1"/>
  </r>
  <r>
    <n v="23"/>
    <x v="0"/>
    <x v="5"/>
    <x v="3"/>
    <x v="1"/>
    <n v="1257"/>
    <n v="16"/>
    <x v="276"/>
    <x v="1"/>
    <s v="Tuesday"/>
    <s v="Weekday"/>
    <n v="0"/>
  </r>
  <r>
    <n v="21"/>
    <x v="1"/>
    <x v="3"/>
    <x v="1"/>
    <x v="0"/>
    <n v="1668"/>
    <n v="6"/>
    <x v="277"/>
    <x v="1"/>
    <s v="Friday"/>
    <s v="Weekend"/>
    <n v="0"/>
  </r>
  <r>
    <n v="67"/>
    <x v="1"/>
    <x v="2"/>
    <x v="2"/>
    <x v="1"/>
    <n v="720"/>
    <n v="8"/>
    <x v="51"/>
    <x v="0"/>
    <s v="Saturday"/>
    <s v="Weekend"/>
    <n v="0"/>
  </r>
  <r>
    <n v="23"/>
    <x v="0"/>
    <x v="4"/>
    <x v="0"/>
    <x v="0"/>
    <n v="952"/>
    <n v="13"/>
    <x v="278"/>
    <x v="1"/>
    <s v="Monday"/>
    <s v="Weekday"/>
    <n v="0"/>
  </r>
  <r>
    <n v="62"/>
    <x v="1"/>
    <x v="6"/>
    <x v="5"/>
    <x v="2"/>
    <n v="1174"/>
    <n v="16"/>
    <x v="56"/>
    <x v="0"/>
    <s v="Tuesday"/>
    <s v="Weekday"/>
    <n v="1"/>
  </r>
  <r>
    <n v="59"/>
    <x v="0"/>
    <x v="2"/>
    <x v="4"/>
    <x v="0"/>
    <n v="680"/>
    <n v="3"/>
    <x v="279"/>
    <x v="0"/>
    <s v="Saturday"/>
    <s v="Weekend"/>
    <n v="0"/>
  </r>
  <r>
    <n v="66"/>
    <x v="0"/>
    <x v="3"/>
    <x v="4"/>
    <x v="0"/>
    <n v="613"/>
    <n v="19"/>
    <x v="16"/>
    <x v="0"/>
    <s v="Saturday"/>
    <s v="Weekend"/>
    <n v="0"/>
  </r>
  <r>
    <n v="27"/>
    <x v="0"/>
    <x v="6"/>
    <x v="4"/>
    <x v="1"/>
    <n v="430"/>
    <n v="12"/>
    <x v="280"/>
    <x v="1"/>
    <s v="Saturday"/>
    <s v="Weekend"/>
    <n v="0"/>
  </r>
  <r>
    <n v="13"/>
    <x v="1"/>
    <x v="0"/>
    <x v="1"/>
    <x v="0"/>
    <n v="1582"/>
    <n v="16"/>
    <x v="281"/>
    <x v="2"/>
    <s v="Tuesday"/>
    <s v="Weekday"/>
    <n v="0"/>
  </r>
  <r>
    <n v="16"/>
    <x v="1"/>
    <x v="2"/>
    <x v="3"/>
    <x v="2"/>
    <n v="1122"/>
    <n v="11"/>
    <x v="282"/>
    <x v="2"/>
    <s v="Friday"/>
    <s v="Weekend"/>
    <n v="1"/>
  </r>
  <r>
    <n v="5"/>
    <x v="1"/>
    <x v="2"/>
    <x v="2"/>
    <x v="2"/>
    <n v="731"/>
    <n v="10"/>
    <x v="283"/>
    <x v="2"/>
    <s v="Monday"/>
    <s v="Weekday"/>
    <n v="1"/>
  </r>
  <r>
    <n v="62"/>
    <x v="0"/>
    <x v="2"/>
    <x v="5"/>
    <x v="0"/>
    <n v="973"/>
    <n v="20"/>
    <x v="284"/>
    <x v="0"/>
    <s v="Friday"/>
    <s v="Weekend"/>
    <n v="0"/>
  </r>
  <r>
    <n v="5"/>
    <x v="1"/>
    <x v="6"/>
    <x v="0"/>
    <x v="0"/>
    <n v="909"/>
    <n v="4"/>
    <x v="61"/>
    <x v="2"/>
    <s v="Monday"/>
    <s v="Weekday"/>
    <n v="0"/>
  </r>
  <r>
    <n v="38"/>
    <x v="1"/>
    <x v="4"/>
    <x v="5"/>
    <x v="0"/>
    <n v="953"/>
    <n v="12"/>
    <x v="285"/>
    <x v="3"/>
    <s v="Thursday"/>
    <s v="Weekday"/>
    <n v="0"/>
  </r>
  <r>
    <n v="52"/>
    <x v="0"/>
    <x v="2"/>
    <x v="0"/>
    <x v="0"/>
    <n v="951"/>
    <n v="2"/>
    <x v="286"/>
    <x v="3"/>
    <s v="Sunday"/>
    <s v="Weekday"/>
    <n v="0"/>
  </r>
  <r>
    <n v="5"/>
    <x v="1"/>
    <x v="2"/>
    <x v="1"/>
    <x v="0"/>
    <n v="1547"/>
    <n v="19"/>
    <x v="287"/>
    <x v="2"/>
    <s v="Thursday"/>
    <s v="Weekday"/>
    <n v="0"/>
  </r>
  <r>
    <n v="20"/>
    <x v="1"/>
    <x v="2"/>
    <x v="4"/>
    <x v="1"/>
    <n v="559"/>
    <n v="5"/>
    <x v="288"/>
    <x v="1"/>
    <s v="Tuesday"/>
    <s v="Weekday"/>
    <n v="0"/>
  </r>
  <r>
    <n v="65"/>
    <x v="1"/>
    <x v="2"/>
    <x v="1"/>
    <x v="0"/>
    <n v="1413"/>
    <n v="8"/>
    <x v="289"/>
    <x v="0"/>
    <s v="Wednesday"/>
    <s v="Weekday"/>
    <n v="0"/>
  </r>
  <r>
    <n v="68"/>
    <x v="0"/>
    <x v="6"/>
    <x v="3"/>
    <x v="0"/>
    <n v="1277"/>
    <n v="7"/>
    <x v="202"/>
    <x v="0"/>
    <s v="Thursday"/>
    <s v="Weekday"/>
    <n v="0"/>
  </r>
  <r>
    <n v="67"/>
    <x v="1"/>
    <x v="2"/>
    <x v="3"/>
    <x v="2"/>
    <n v="1152"/>
    <n v="14"/>
    <x v="290"/>
    <x v="0"/>
    <s v="Saturday"/>
    <s v="Weekend"/>
    <n v="1"/>
  </r>
  <r>
    <n v="73"/>
    <x v="0"/>
    <x v="2"/>
    <x v="0"/>
    <x v="0"/>
    <n v="921"/>
    <n v="3"/>
    <x v="291"/>
    <x v="0"/>
    <s v="Wednesday"/>
    <s v="Weekday"/>
    <n v="0"/>
  </r>
  <r>
    <n v="26"/>
    <x v="0"/>
    <x v="2"/>
    <x v="2"/>
    <x v="0"/>
    <n v="729"/>
    <n v="18"/>
    <x v="292"/>
    <x v="1"/>
    <s v="Friday"/>
    <s v="Weekend"/>
    <n v="0"/>
  </r>
  <r>
    <n v="71"/>
    <x v="1"/>
    <x v="3"/>
    <x v="2"/>
    <x v="2"/>
    <n v="890"/>
    <n v="16"/>
    <x v="293"/>
    <x v="0"/>
    <s v="Saturday"/>
    <s v="Weekend"/>
    <n v="1"/>
  </r>
  <r>
    <n v="30"/>
    <x v="0"/>
    <x v="0"/>
    <x v="0"/>
    <x v="0"/>
    <n v="1159"/>
    <n v="19"/>
    <x v="186"/>
    <x v="1"/>
    <s v="Monday"/>
    <s v="Weekday"/>
    <n v="0"/>
  </r>
  <r>
    <n v="20"/>
    <x v="1"/>
    <x v="5"/>
    <x v="3"/>
    <x v="1"/>
    <n v="1304"/>
    <n v="19"/>
    <x v="142"/>
    <x v="1"/>
    <s v="Saturday"/>
    <s v="Weekend"/>
    <n v="0"/>
  </r>
  <r>
    <n v="55"/>
    <x v="1"/>
    <x v="2"/>
    <x v="3"/>
    <x v="2"/>
    <n v="1158"/>
    <n v="18"/>
    <x v="294"/>
    <x v="3"/>
    <s v="Sunday"/>
    <s v="Weekday"/>
    <n v="1"/>
  </r>
  <r>
    <n v="61"/>
    <x v="0"/>
    <x v="6"/>
    <x v="3"/>
    <x v="2"/>
    <n v="1363"/>
    <n v="20"/>
    <x v="53"/>
    <x v="0"/>
    <s v="Wednesday"/>
    <s v="Weekday"/>
    <n v="1"/>
  </r>
  <r>
    <n v="33"/>
    <x v="0"/>
    <x v="3"/>
    <x v="1"/>
    <x v="0"/>
    <n v="1411"/>
    <n v="16"/>
    <x v="295"/>
    <x v="1"/>
    <s v="Friday"/>
    <s v="Weekend"/>
    <n v="0"/>
  </r>
  <r>
    <n v="73"/>
    <x v="0"/>
    <x v="2"/>
    <x v="3"/>
    <x v="0"/>
    <n v="1218"/>
    <n v="8"/>
    <x v="296"/>
    <x v="0"/>
    <s v="Sunday"/>
    <s v="Weekday"/>
    <n v="0"/>
  </r>
  <r>
    <n v="51"/>
    <x v="1"/>
    <x v="0"/>
    <x v="5"/>
    <x v="0"/>
    <n v="1189"/>
    <n v="1"/>
    <x v="297"/>
    <x v="3"/>
    <s v="Wednesday"/>
    <s v="Weekday"/>
    <n v="0"/>
  </r>
  <r>
    <n v="66"/>
    <x v="1"/>
    <x v="1"/>
    <x v="4"/>
    <x v="1"/>
    <n v="647"/>
    <n v="17"/>
    <x v="298"/>
    <x v="0"/>
    <s v="Monday"/>
    <s v="Weekday"/>
    <n v="0"/>
  </r>
  <r>
    <n v="73"/>
    <x v="1"/>
    <x v="4"/>
    <x v="3"/>
    <x v="1"/>
    <n v="1226"/>
    <n v="12"/>
    <x v="44"/>
    <x v="0"/>
    <s v="Sunday"/>
    <s v="Weekday"/>
    <n v="0"/>
  </r>
  <r>
    <n v="20"/>
    <x v="1"/>
    <x v="0"/>
    <x v="0"/>
    <x v="0"/>
    <n v="974"/>
    <n v="11"/>
    <x v="90"/>
    <x v="1"/>
    <s v="Sunday"/>
    <s v="Weekday"/>
    <n v="0"/>
  </r>
  <r>
    <n v="52"/>
    <x v="1"/>
    <x v="0"/>
    <x v="4"/>
    <x v="0"/>
    <n v="603"/>
    <n v="5"/>
    <x v="26"/>
    <x v="3"/>
    <s v="Sunday"/>
    <s v="Weekday"/>
    <n v="0"/>
  </r>
  <r>
    <n v="43"/>
    <x v="1"/>
    <x v="4"/>
    <x v="1"/>
    <x v="0"/>
    <n v="1448"/>
    <n v="12"/>
    <x v="102"/>
    <x v="3"/>
    <s v="Thursday"/>
    <s v="Weekday"/>
    <n v="0"/>
  </r>
  <r>
    <n v="37"/>
    <x v="1"/>
    <x v="3"/>
    <x v="0"/>
    <x v="0"/>
    <n v="978"/>
    <n v="17"/>
    <x v="299"/>
    <x v="3"/>
    <s v="Wednesday"/>
    <s v="Weekday"/>
    <n v="0"/>
  </r>
  <r>
    <n v="27"/>
    <x v="1"/>
    <x v="2"/>
    <x v="4"/>
    <x v="1"/>
    <n v="640"/>
    <n v="6"/>
    <x v="300"/>
    <x v="1"/>
    <s v="Wednesday"/>
    <s v="Weekday"/>
    <n v="0"/>
  </r>
  <r>
    <n v="14"/>
    <x v="1"/>
    <x v="4"/>
    <x v="0"/>
    <x v="0"/>
    <n v="1053"/>
    <n v="1"/>
    <x v="198"/>
    <x v="2"/>
    <s v="Saturday"/>
    <s v="Weekend"/>
    <n v="0"/>
  </r>
  <r>
    <n v="73"/>
    <x v="1"/>
    <x v="2"/>
    <x v="1"/>
    <x v="2"/>
    <n v="1673"/>
    <n v="5"/>
    <x v="301"/>
    <x v="0"/>
    <s v="Tuesday"/>
    <s v="Weekday"/>
    <n v="1"/>
  </r>
  <r>
    <n v="38"/>
    <x v="0"/>
    <x v="3"/>
    <x v="5"/>
    <x v="1"/>
    <n v="995"/>
    <n v="14"/>
    <x v="23"/>
    <x v="3"/>
    <s v="Tuesday"/>
    <s v="Weekday"/>
    <n v="0"/>
  </r>
  <r>
    <n v="56"/>
    <x v="1"/>
    <x v="2"/>
    <x v="1"/>
    <x v="0"/>
    <n v="1613"/>
    <n v="5"/>
    <x v="129"/>
    <x v="0"/>
    <s v="Tuesday"/>
    <s v="Weekday"/>
    <n v="0"/>
  </r>
  <r>
    <n v="14"/>
    <x v="0"/>
    <x v="2"/>
    <x v="1"/>
    <x v="0"/>
    <n v="1693"/>
    <n v="1"/>
    <x v="302"/>
    <x v="2"/>
    <s v="Saturday"/>
    <s v="Weekend"/>
    <n v="0"/>
  </r>
  <r>
    <n v="23"/>
    <x v="0"/>
    <x v="2"/>
    <x v="0"/>
    <x v="0"/>
    <n v="1108"/>
    <n v="18"/>
    <x v="303"/>
    <x v="1"/>
    <s v="Saturday"/>
    <s v="Weekend"/>
    <n v="0"/>
  </r>
  <r>
    <n v="62"/>
    <x v="1"/>
    <x v="6"/>
    <x v="2"/>
    <x v="0"/>
    <n v="787"/>
    <n v="16"/>
    <x v="304"/>
    <x v="0"/>
    <s v="Monday"/>
    <s v="Weekday"/>
    <n v="0"/>
  </r>
  <r>
    <n v="5"/>
    <x v="0"/>
    <x v="2"/>
    <x v="3"/>
    <x v="1"/>
    <n v="1363"/>
    <n v="9"/>
    <x v="305"/>
    <x v="2"/>
    <s v="Thursday"/>
    <s v="Weekday"/>
    <n v="0"/>
  </r>
  <r>
    <n v="73"/>
    <x v="0"/>
    <x v="2"/>
    <x v="3"/>
    <x v="1"/>
    <n v="1256"/>
    <n v="19"/>
    <x v="105"/>
    <x v="0"/>
    <s v="Monday"/>
    <s v="Weekday"/>
    <n v="0"/>
  </r>
  <r>
    <n v="8"/>
    <x v="0"/>
    <x v="2"/>
    <x v="5"/>
    <x v="1"/>
    <n v="1055"/>
    <n v="5"/>
    <x v="306"/>
    <x v="2"/>
    <s v="Saturday"/>
    <s v="Weekend"/>
    <n v="0"/>
  </r>
  <r>
    <n v="20"/>
    <x v="1"/>
    <x v="0"/>
    <x v="5"/>
    <x v="0"/>
    <n v="1038"/>
    <n v="2"/>
    <x v="307"/>
    <x v="1"/>
    <s v="Monday"/>
    <s v="Weekday"/>
    <n v="0"/>
  </r>
  <r>
    <n v="28"/>
    <x v="1"/>
    <x v="7"/>
    <x v="3"/>
    <x v="0"/>
    <n v="1220"/>
    <n v="15"/>
    <x v="308"/>
    <x v="1"/>
    <s v="Wednesday"/>
    <s v="Weekday"/>
    <n v="0"/>
  </r>
  <r>
    <n v="6"/>
    <x v="1"/>
    <x v="0"/>
    <x v="2"/>
    <x v="1"/>
    <n v="764"/>
    <n v="7"/>
    <x v="246"/>
    <x v="2"/>
    <s v="Monday"/>
    <s v="Weekday"/>
    <n v="0"/>
  </r>
  <r>
    <n v="36"/>
    <x v="0"/>
    <x v="3"/>
    <x v="3"/>
    <x v="0"/>
    <n v="1206"/>
    <n v="4"/>
    <x v="309"/>
    <x v="3"/>
    <s v="Tuesday"/>
    <s v="Weekday"/>
    <n v="0"/>
  </r>
  <r>
    <n v="28"/>
    <x v="0"/>
    <x v="1"/>
    <x v="2"/>
    <x v="0"/>
    <n v="846"/>
    <n v="1"/>
    <x v="49"/>
    <x v="1"/>
    <s v="Wednesday"/>
    <s v="Weekday"/>
    <n v="0"/>
  </r>
  <r>
    <n v="16"/>
    <x v="0"/>
    <x v="0"/>
    <x v="5"/>
    <x v="0"/>
    <n v="1036"/>
    <n v="13"/>
    <x v="310"/>
    <x v="2"/>
    <s v="Tuesday"/>
    <s v="Weekday"/>
    <n v="0"/>
  </r>
  <r>
    <n v="54"/>
    <x v="0"/>
    <x v="2"/>
    <x v="4"/>
    <x v="0"/>
    <n v="561"/>
    <n v="20"/>
    <x v="311"/>
    <x v="3"/>
    <s v="Thursday"/>
    <s v="Weekday"/>
    <n v="0"/>
  </r>
  <r>
    <n v="39"/>
    <x v="0"/>
    <x v="2"/>
    <x v="0"/>
    <x v="0"/>
    <n v="999"/>
    <n v="7"/>
    <x v="93"/>
    <x v="3"/>
    <s v="Sunday"/>
    <s v="Weekday"/>
    <n v="0"/>
  </r>
  <r>
    <n v="37"/>
    <x v="1"/>
    <x v="2"/>
    <x v="5"/>
    <x v="0"/>
    <n v="1040"/>
    <n v="15"/>
    <x v="312"/>
    <x v="3"/>
    <s v="Friday"/>
    <s v="Weekend"/>
    <n v="0"/>
  </r>
  <r>
    <n v="37"/>
    <x v="1"/>
    <x v="0"/>
    <x v="5"/>
    <x v="2"/>
    <n v="982"/>
    <n v="14"/>
    <x v="313"/>
    <x v="3"/>
    <s v="Tuesday"/>
    <s v="Weekday"/>
    <n v="1"/>
  </r>
  <r>
    <n v="65"/>
    <x v="0"/>
    <x v="0"/>
    <x v="1"/>
    <x v="0"/>
    <n v="1576"/>
    <n v="19"/>
    <x v="312"/>
    <x v="0"/>
    <s v="Friday"/>
    <s v="Weekend"/>
    <n v="0"/>
  </r>
  <r>
    <n v="55"/>
    <x v="1"/>
    <x v="6"/>
    <x v="1"/>
    <x v="0"/>
    <n v="1597"/>
    <n v="20"/>
    <x v="176"/>
    <x v="3"/>
    <s v="Monday"/>
    <s v="Weekday"/>
    <n v="0"/>
  </r>
  <r>
    <n v="47"/>
    <x v="1"/>
    <x v="2"/>
    <x v="1"/>
    <x v="0"/>
    <n v="1511"/>
    <n v="18"/>
    <x v="52"/>
    <x v="3"/>
    <s v="Monday"/>
    <s v="Weekday"/>
    <n v="0"/>
  </r>
  <r>
    <n v="16"/>
    <x v="1"/>
    <x v="0"/>
    <x v="0"/>
    <x v="1"/>
    <n v="955"/>
    <n v="10"/>
    <x v="79"/>
    <x v="2"/>
    <s v="Monday"/>
    <s v="Weekday"/>
    <n v="0"/>
  </r>
  <r>
    <n v="71"/>
    <x v="1"/>
    <x v="3"/>
    <x v="1"/>
    <x v="0"/>
    <n v="1578"/>
    <n v="9"/>
    <x v="86"/>
    <x v="0"/>
    <s v="Friday"/>
    <s v="Weekend"/>
    <n v="0"/>
  </r>
  <r>
    <n v="69"/>
    <x v="0"/>
    <x v="0"/>
    <x v="2"/>
    <x v="0"/>
    <n v="885"/>
    <n v="8"/>
    <x v="314"/>
    <x v="0"/>
    <s v="Monday"/>
    <s v="Weekday"/>
    <n v="0"/>
  </r>
  <r>
    <n v="37"/>
    <x v="0"/>
    <x v="6"/>
    <x v="3"/>
    <x v="0"/>
    <n v="1317"/>
    <n v="10"/>
    <x v="315"/>
    <x v="3"/>
    <s v="Friday"/>
    <s v="Weekend"/>
    <n v="0"/>
  </r>
  <r>
    <n v="44"/>
    <x v="0"/>
    <x v="3"/>
    <x v="4"/>
    <x v="1"/>
    <n v="616"/>
    <n v="17"/>
    <x v="316"/>
    <x v="3"/>
    <s v="Tuesday"/>
    <s v="Weekday"/>
    <n v="0"/>
  </r>
  <r>
    <n v="78"/>
    <x v="0"/>
    <x v="2"/>
    <x v="5"/>
    <x v="0"/>
    <n v="1019"/>
    <n v="2"/>
    <x v="184"/>
    <x v="0"/>
    <s v="Saturday"/>
    <s v="Weekend"/>
    <n v="0"/>
  </r>
  <r>
    <n v="47"/>
    <x v="1"/>
    <x v="5"/>
    <x v="2"/>
    <x v="1"/>
    <n v="874"/>
    <n v="6"/>
    <x v="317"/>
    <x v="3"/>
    <s v="Tuesday"/>
    <s v="Weekday"/>
    <n v="0"/>
  </r>
  <r>
    <n v="48"/>
    <x v="1"/>
    <x v="0"/>
    <x v="4"/>
    <x v="2"/>
    <n v="422"/>
    <n v="5"/>
    <x v="318"/>
    <x v="3"/>
    <s v="Tuesday"/>
    <s v="Weekday"/>
    <n v="1"/>
  </r>
  <r>
    <n v="33"/>
    <x v="0"/>
    <x v="0"/>
    <x v="2"/>
    <x v="0"/>
    <n v="912"/>
    <n v="9"/>
    <x v="94"/>
    <x v="1"/>
    <s v="Wednesday"/>
    <s v="Weekday"/>
    <n v="0"/>
  </r>
  <r>
    <n v="17"/>
    <x v="1"/>
    <x v="0"/>
    <x v="2"/>
    <x v="1"/>
    <n v="934"/>
    <n v="5"/>
    <x v="302"/>
    <x v="2"/>
    <s v="Saturday"/>
    <s v="Weekend"/>
    <n v="0"/>
  </r>
  <r>
    <n v="16"/>
    <x v="0"/>
    <x v="0"/>
    <x v="5"/>
    <x v="0"/>
    <n v="912"/>
    <n v="18"/>
    <x v="319"/>
    <x v="2"/>
    <s v="Friday"/>
    <s v="Weekend"/>
    <n v="0"/>
  </r>
  <r>
    <n v="50"/>
    <x v="0"/>
    <x v="5"/>
    <x v="3"/>
    <x v="2"/>
    <n v="1200"/>
    <n v="20"/>
    <x v="320"/>
    <x v="3"/>
    <s v="Sunday"/>
    <s v="Weekday"/>
    <n v="1"/>
  </r>
  <r>
    <n v="6"/>
    <x v="1"/>
    <x v="2"/>
    <x v="1"/>
    <x v="0"/>
    <n v="1423"/>
    <n v="9"/>
    <x v="321"/>
    <x v="2"/>
    <s v="Sunday"/>
    <s v="Weekday"/>
    <n v="0"/>
  </r>
  <r>
    <n v="39"/>
    <x v="0"/>
    <x v="2"/>
    <x v="0"/>
    <x v="1"/>
    <n v="910"/>
    <n v="17"/>
    <x v="322"/>
    <x v="3"/>
    <s v="Thursday"/>
    <s v="Weekday"/>
    <n v="0"/>
  </r>
  <r>
    <n v="12"/>
    <x v="0"/>
    <x v="2"/>
    <x v="3"/>
    <x v="0"/>
    <n v="1372"/>
    <n v="17"/>
    <x v="96"/>
    <x v="2"/>
    <s v="Saturday"/>
    <s v="Weekend"/>
    <n v="0"/>
  </r>
  <r>
    <n v="30"/>
    <x v="0"/>
    <x v="5"/>
    <x v="0"/>
    <x v="0"/>
    <n v="1180"/>
    <n v="12"/>
    <x v="323"/>
    <x v="1"/>
    <s v="Thursday"/>
    <s v="Weekday"/>
    <n v="0"/>
  </r>
  <r>
    <n v="78"/>
    <x v="1"/>
    <x v="2"/>
    <x v="5"/>
    <x v="0"/>
    <n v="993"/>
    <n v="7"/>
    <x v="145"/>
    <x v="0"/>
    <s v="Thursday"/>
    <s v="Weekday"/>
    <n v="0"/>
  </r>
  <r>
    <n v="38"/>
    <x v="1"/>
    <x v="1"/>
    <x v="5"/>
    <x v="0"/>
    <n v="1100"/>
    <n v="3"/>
    <x v="324"/>
    <x v="3"/>
    <s v="Tuesday"/>
    <s v="Weekday"/>
    <n v="0"/>
  </r>
  <r>
    <n v="11"/>
    <x v="1"/>
    <x v="0"/>
    <x v="5"/>
    <x v="0"/>
    <n v="920"/>
    <n v="10"/>
    <x v="325"/>
    <x v="2"/>
    <s v="Tuesday"/>
    <s v="Weekday"/>
    <n v="0"/>
  </r>
  <r>
    <n v="72"/>
    <x v="1"/>
    <x v="6"/>
    <x v="4"/>
    <x v="0"/>
    <n v="610"/>
    <n v="2"/>
    <x v="326"/>
    <x v="0"/>
    <s v="Sunday"/>
    <s v="Weekday"/>
    <n v="0"/>
  </r>
  <r>
    <n v="62"/>
    <x v="1"/>
    <x v="7"/>
    <x v="0"/>
    <x v="0"/>
    <n v="1039"/>
    <n v="3"/>
    <x v="81"/>
    <x v="0"/>
    <s v="Thursday"/>
    <s v="Weekday"/>
    <n v="0"/>
  </r>
  <r>
    <n v="79"/>
    <x v="0"/>
    <x v="6"/>
    <x v="3"/>
    <x v="0"/>
    <n v="1392"/>
    <n v="16"/>
    <x v="121"/>
    <x v="0"/>
    <s v="Tuesday"/>
    <s v="Weekday"/>
    <n v="0"/>
  </r>
  <r>
    <n v="33"/>
    <x v="1"/>
    <x v="1"/>
    <x v="3"/>
    <x v="1"/>
    <n v="1397"/>
    <n v="2"/>
    <x v="258"/>
    <x v="1"/>
    <s v="Wednesday"/>
    <s v="Weekday"/>
    <n v="0"/>
  </r>
  <r>
    <n v="40"/>
    <x v="0"/>
    <x v="0"/>
    <x v="2"/>
    <x v="0"/>
    <n v="800"/>
    <n v="10"/>
    <x v="327"/>
    <x v="3"/>
    <s v="Friday"/>
    <s v="Weekend"/>
    <n v="0"/>
  </r>
  <r>
    <n v="25"/>
    <x v="0"/>
    <x v="3"/>
    <x v="2"/>
    <x v="0"/>
    <n v="727"/>
    <n v="6"/>
    <x v="328"/>
    <x v="1"/>
    <s v="Monday"/>
    <s v="Weekday"/>
    <n v="0"/>
  </r>
  <r>
    <n v="40"/>
    <x v="0"/>
    <x v="2"/>
    <x v="2"/>
    <x v="0"/>
    <n v="740"/>
    <n v="11"/>
    <x v="329"/>
    <x v="3"/>
    <s v="Friday"/>
    <s v="Weekend"/>
    <n v="0"/>
  </r>
  <r>
    <n v="14"/>
    <x v="1"/>
    <x v="2"/>
    <x v="5"/>
    <x v="0"/>
    <n v="1045"/>
    <n v="7"/>
    <x v="295"/>
    <x v="2"/>
    <s v="Friday"/>
    <s v="Weekend"/>
    <n v="0"/>
  </r>
  <r>
    <n v="77"/>
    <x v="0"/>
    <x v="0"/>
    <x v="3"/>
    <x v="2"/>
    <n v="1355"/>
    <n v="15"/>
    <x v="330"/>
    <x v="0"/>
    <s v="Monday"/>
    <s v="Weekday"/>
    <n v="1"/>
  </r>
  <r>
    <n v="28"/>
    <x v="1"/>
    <x v="3"/>
    <x v="0"/>
    <x v="0"/>
    <n v="1126"/>
    <n v="6"/>
    <x v="331"/>
    <x v="1"/>
    <s v="Sunday"/>
    <s v="Weekday"/>
    <n v="0"/>
  </r>
  <r>
    <n v="68"/>
    <x v="1"/>
    <x v="2"/>
    <x v="5"/>
    <x v="1"/>
    <n v="1135"/>
    <n v="20"/>
    <x v="72"/>
    <x v="0"/>
    <s v="Sunday"/>
    <s v="Weekday"/>
    <n v="0"/>
  </r>
  <r>
    <n v="53"/>
    <x v="0"/>
    <x v="3"/>
    <x v="4"/>
    <x v="2"/>
    <n v="412"/>
    <n v="9"/>
    <x v="0"/>
    <x v="3"/>
    <s v="Sunday"/>
    <s v="Weekday"/>
    <n v="1"/>
  </r>
  <r>
    <n v="40"/>
    <x v="1"/>
    <x v="1"/>
    <x v="2"/>
    <x v="1"/>
    <n v="909"/>
    <n v="20"/>
    <x v="125"/>
    <x v="3"/>
    <s v="Thursday"/>
    <s v="Weekday"/>
    <n v="0"/>
  </r>
  <r>
    <n v="28"/>
    <x v="1"/>
    <x v="3"/>
    <x v="5"/>
    <x v="0"/>
    <n v="1128"/>
    <n v="12"/>
    <x v="332"/>
    <x v="1"/>
    <s v="Sunday"/>
    <s v="Weekday"/>
    <n v="0"/>
  </r>
  <r>
    <n v="27"/>
    <x v="0"/>
    <x v="5"/>
    <x v="5"/>
    <x v="1"/>
    <n v="999"/>
    <n v="19"/>
    <x v="333"/>
    <x v="1"/>
    <s v="Wednesday"/>
    <s v="Weekday"/>
    <n v="0"/>
  </r>
  <r>
    <n v="66"/>
    <x v="1"/>
    <x v="6"/>
    <x v="4"/>
    <x v="2"/>
    <n v="430"/>
    <n v="20"/>
    <x v="278"/>
    <x v="0"/>
    <s v="Monday"/>
    <s v="Weekday"/>
    <n v="1"/>
  </r>
  <r>
    <n v="41"/>
    <x v="1"/>
    <x v="7"/>
    <x v="1"/>
    <x v="0"/>
    <n v="1415"/>
    <n v="3"/>
    <x v="62"/>
    <x v="3"/>
    <s v="Thursday"/>
    <s v="Weekday"/>
    <n v="0"/>
  </r>
  <r>
    <n v="16"/>
    <x v="1"/>
    <x v="3"/>
    <x v="3"/>
    <x v="0"/>
    <n v="1236"/>
    <n v="15"/>
    <x v="334"/>
    <x v="2"/>
    <s v="Thursday"/>
    <s v="Weekday"/>
    <n v="0"/>
  </r>
  <r>
    <n v="59"/>
    <x v="0"/>
    <x v="6"/>
    <x v="0"/>
    <x v="0"/>
    <n v="1065"/>
    <n v="2"/>
    <x v="335"/>
    <x v="0"/>
    <s v="Monday"/>
    <s v="Weekday"/>
    <n v="0"/>
  </r>
  <r>
    <n v="17"/>
    <x v="0"/>
    <x v="7"/>
    <x v="1"/>
    <x v="0"/>
    <n v="1499"/>
    <n v="2"/>
    <x v="336"/>
    <x v="2"/>
    <s v="Tuesday"/>
    <s v="Weekday"/>
    <n v="0"/>
  </r>
  <r>
    <n v="27"/>
    <x v="1"/>
    <x v="4"/>
    <x v="2"/>
    <x v="0"/>
    <n v="808"/>
    <n v="3"/>
    <x v="75"/>
    <x v="1"/>
    <s v="Wednesday"/>
    <s v="Weekday"/>
    <n v="0"/>
  </r>
  <r>
    <n v="34"/>
    <x v="1"/>
    <x v="2"/>
    <x v="5"/>
    <x v="0"/>
    <n v="1072"/>
    <n v="6"/>
    <x v="337"/>
    <x v="1"/>
    <s v="Friday"/>
    <s v="Weekend"/>
    <n v="0"/>
  </r>
  <r>
    <n v="21"/>
    <x v="1"/>
    <x v="0"/>
    <x v="4"/>
    <x v="0"/>
    <n v="636"/>
    <n v="15"/>
    <x v="110"/>
    <x v="1"/>
    <s v="Wednesday"/>
    <s v="Weekday"/>
    <n v="0"/>
  </r>
  <r>
    <n v="66"/>
    <x v="1"/>
    <x v="2"/>
    <x v="4"/>
    <x v="0"/>
    <n v="561"/>
    <n v="10"/>
    <x v="338"/>
    <x v="0"/>
    <s v="Monday"/>
    <s v="Weekday"/>
    <n v="0"/>
  </r>
  <r>
    <n v="17"/>
    <x v="0"/>
    <x v="2"/>
    <x v="3"/>
    <x v="0"/>
    <n v="1315"/>
    <n v="9"/>
    <x v="239"/>
    <x v="2"/>
    <s v="Tuesday"/>
    <s v="Weekday"/>
    <n v="0"/>
  </r>
  <r>
    <n v="63"/>
    <x v="1"/>
    <x v="3"/>
    <x v="1"/>
    <x v="0"/>
    <n v="1663"/>
    <n v="1"/>
    <x v="179"/>
    <x v="0"/>
    <s v="Wednesday"/>
    <s v="Weekday"/>
    <n v="0"/>
  </r>
  <r>
    <n v="23"/>
    <x v="1"/>
    <x v="5"/>
    <x v="3"/>
    <x v="0"/>
    <n v="1362"/>
    <n v="16"/>
    <x v="44"/>
    <x v="1"/>
    <s v="Sunday"/>
    <s v="Weekday"/>
    <n v="0"/>
  </r>
  <r>
    <n v="53"/>
    <x v="0"/>
    <x v="6"/>
    <x v="5"/>
    <x v="0"/>
    <n v="1191"/>
    <n v="6"/>
    <x v="19"/>
    <x v="3"/>
    <s v="Friday"/>
    <s v="Weekend"/>
    <n v="0"/>
  </r>
  <r>
    <n v="16"/>
    <x v="0"/>
    <x v="2"/>
    <x v="3"/>
    <x v="0"/>
    <n v="1373"/>
    <n v="9"/>
    <x v="12"/>
    <x v="2"/>
    <s v="Saturday"/>
    <s v="Weekend"/>
    <n v="0"/>
  </r>
  <r>
    <n v="65"/>
    <x v="0"/>
    <x v="1"/>
    <x v="0"/>
    <x v="1"/>
    <n v="902"/>
    <n v="4"/>
    <x v="339"/>
    <x v="0"/>
    <s v="Tuesday"/>
    <s v="Weekday"/>
    <n v="0"/>
  </r>
  <r>
    <n v="23"/>
    <x v="1"/>
    <x v="3"/>
    <x v="4"/>
    <x v="0"/>
    <n v="427"/>
    <n v="2"/>
    <x v="161"/>
    <x v="1"/>
    <s v="Monday"/>
    <s v="Weekday"/>
    <n v="0"/>
  </r>
  <r>
    <n v="13"/>
    <x v="1"/>
    <x v="5"/>
    <x v="4"/>
    <x v="0"/>
    <n v="548"/>
    <n v="4"/>
    <x v="340"/>
    <x v="2"/>
    <s v="Tuesday"/>
    <s v="Weekday"/>
    <n v="0"/>
  </r>
  <r>
    <n v="75"/>
    <x v="1"/>
    <x v="4"/>
    <x v="2"/>
    <x v="1"/>
    <n v="727"/>
    <n v="1"/>
    <x v="341"/>
    <x v="0"/>
    <s v="Thursday"/>
    <s v="Weekday"/>
    <n v="0"/>
  </r>
  <r>
    <n v="32"/>
    <x v="1"/>
    <x v="3"/>
    <x v="2"/>
    <x v="0"/>
    <n v="764"/>
    <n v="19"/>
    <x v="342"/>
    <x v="1"/>
    <s v="Wednesday"/>
    <s v="Weekday"/>
    <n v="0"/>
  </r>
  <r>
    <n v="56"/>
    <x v="0"/>
    <x v="2"/>
    <x v="5"/>
    <x v="0"/>
    <n v="920"/>
    <n v="10"/>
    <x v="124"/>
    <x v="0"/>
    <s v="Friday"/>
    <s v="Weekend"/>
    <n v="0"/>
  </r>
  <r>
    <n v="20"/>
    <x v="0"/>
    <x v="6"/>
    <x v="0"/>
    <x v="1"/>
    <n v="1151"/>
    <n v="15"/>
    <x v="343"/>
    <x v="1"/>
    <s v="Thursday"/>
    <s v="Weekday"/>
    <n v="0"/>
  </r>
  <r>
    <n v="73"/>
    <x v="0"/>
    <x v="0"/>
    <x v="1"/>
    <x v="1"/>
    <n v="1634"/>
    <n v="19"/>
    <x v="181"/>
    <x v="0"/>
    <s v="Wednesday"/>
    <s v="Weekday"/>
    <n v="0"/>
  </r>
  <r>
    <n v="16"/>
    <x v="0"/>
    <x v="2"/>
    <x v="3"/>
    <x v="0"/>
    <n v="1326"/>
    <n v="16"/>
    <x v="344"/>
    <x v="2"/>
    <s v="Wednesday"/>
    <s v="Weekday"/>
    <n v="0"/>
  </r>
  <r>
    <n v="29"/>
    <x v="1"/>
    <x v="6"/>
    <x v="5"/>
    <x v="0"/>
    <n v="912"/>
    <n v="4"/>
    <x v="345"/>
    <x v="1"/>
    <s v="Wednesday"/>
    <s v="Weekday"/>
    <n v="0"/>
  </r>
  <r>
    <n v="56"/>
    <x v="0"/>
    <x v="2"/>
    <x v="2"/>
    <x v="2"/>
    <n v="748"/>
    <n v="2"/>
    <x v="241"/>
    <x v="0"/>
    <s v="Sunday"/>
    <s v="Weekday"/>
    <n v="1"/>
  </r>
  <r>
    <n v="57"/>
    <x v="1"/>
    <x v="6"/>
    <x v="3"/>
    <x v="0"/>
    <n v="1217"/>
    <n v="13"/>
    <x v="9"/>
    <x v="0"/>
    <s v="Saturday"/>
    <s v="Weekend"/>
    <n v="0"/>
  </r>
  <r>
    <n v="27"/>
    <x v="0"/>
    <x v="0"/>
    <x v="2"/>
    <x v="0"/>
    <n v="753"/>
    <n v="1"/>
    <x v="346"/>
    <x v="1"/>
    <s v="Saturday"/>
    <s v="Weekend"/>
    <n v="0"/>
  </r>
  <r>
    <n v="20"/>
    <x v="1"/>
    <x v="1"/>
    <x v="3"/>
    <x v="1"/>
    <n v="1237"/>
    <n v="17"/>
    <x v="347"/>
    <x v="1"/>
    <s v="Monday"/>
    <s v="Weekday"/>
    <n v="0"/>
  </r>
  <r>
    <n v="61"/>
    <x v="1"/>
    <x v="2"/>
    <x v="1"/>
    <x v="0"/>
    <n v="1452"/>
    <n v="13"/>
    <x v="222"/>
    <x v="0"/>
    <s v="Tuesday"/>
    <s v="Weekday"/>
    <n v="0"/>
  </r>
  <r>
    <n v="43"/>
    <x v="1"/>
    <x v="7"/>
    <x v="5"/>
    <x v="0"/>
    <n v="943"/>
    <n v="4"/>
    <x v="348"/>
    <x v="3"/>
    <s v="Saturday"/>
    <s v="Weekend"/>
    <n v="0"/>
  </r>
  <r>
    <n v="57"/>
    <x v="0"/>
    <x v="6"/>
    <x v="3"/>
    <x v="0"/>
    <n v="1152"/>
    <n v="7"/>
    <x v="337"/>
    <x v="0"/>
    <s v="Friday"/>
    <s v="Weekend"/>
    <n v="0"/>
  </r>
  <r>
    <n v="46"/>
    <x v="1"/>
    <x v="2"/>
    <x v="0"/>
    <x v="1"/>
    <n v="973"/>
    <n v="17"/>
    <x v="284"/>
    <x v="3"/>
    <s v="Friday"/>
    <s v="Weekend"/>
    <n v="0"/>
  </r>
  <r>
    <n v="62"/>
    <x v="1"/>
    <x v="3"/>
    <x v="4"/>
    <x v="0"/>
    <n v="445"/>
    <n v="9"/>
    <x v="349"/>
    <x v="0"/>
    <s v="Saturday"/>
    <s v="Weekend"/>
    <n v="0"/>
  </r>
  <r>
    <n v="43"/>
    <x v="1"/>
    <x v="7"/>
    <x v="0"/>
    <x v="0"/>
    <n v="912"/>
    <n v="4"/>
    <x v="201"/>
    <x v="3"/>
    <s v="Monday"/>
    <s v="Weekday"/>
    <n v="0"/>
  </r>
  <r>
    <n v="18"/>
    <x v="0"/>
    <x v="0"/>
    <x v="0"/>
    <x v="0"/>
    <n v="1064"/>
    <n v="19"/>
    <x v="350"/>
    <x v="1"/>
    <s v="Wednesday"/>
    <s v="Weekday"/>
    <n v="0"/>
  </r>
  <r>
    <n v="9"/>
    <x v="0"/>
    <x v="2"/>
    <x v="4"/>
    <x v="0"/>
    <n v="501"/>
    <n v="1"/>
    <x v="351"/>
    <x v="2"/>
    <s v="Tuesday"/>
    <s v="Weekday"/>
    <n v="0"/>
  </r>
  <r>
    <n v="39"/>
    <x v="0"/>
    <x v="0"/>
    <x v="0"/>
    <x v="0"/>
    <n v="1179"/>
    <n v="10"/>
    <x v="344"/>
    <x v="3"/>
    <s v="Wednesday"/>
    <s v="Weekday"/>
    <n v="0"/>
  </r>
  <r>
    <n v="79"/>
    <x v="1"/>
    <x v="0"/>
    <x v="3"/>
    <x v="1"/>
    <n v="1357"/>
    <n v="4"/>
    <x v="116"/>
    <x v="0"/>
    <s v="Friday"/>
    <s v="Weekend"/>
    <n v="0"/>
  </r>
  <r>
    <n v="22"/>
    <x v="0"/>
    <x v="5"/>
    <x v="3"/>
    <x v="0"/>
    <n v="1237"/>
    <n v="9"/>
    <x v="352"/>
    <x v="1"/>
    <s v="Sunday"/>
    <s v="Weekday"/>
    <n v="0"/>
  </r>
  <r>
    <n v="13"/>
    <x v="1"/>
    <x v="5"/>
    <x v="3"/>
    <x v="0"/>
    <n v="1262"/>
    <n v="13"/>
    <x v="310"/>
    <x v="2"/>
    <s v="Tuesday"/>
    <s v="Weekday"/>
    <n v="0"/>
  </r>
  <r>
    <n v="78"/>
    <x v="0"/>
    <x v="0"/>
    <x v="4"/>
    <x v="1"/>
    <n v="510"/>
    <n v="14"/>
    <x v="283"/>
    <x v="0"/>
    <s v="Monday"/>
    <s v="Weekday"/>
    <n v="0"/>
  </r>
  <r>
    <n v="62"/>
    <x v="0"/>
    <x v="2"/>
    <x v="0"/>
    <x v="0"/>
    <n v="1001"/>
    <n v="10"/>
    <x v="287"/>
    <x v="0"/>
    <s v="Thursday"/>
    <s v="Weekday"/>
    <n v="0"/>
  </r>
  <r>
    <n v="21"/>
    <x v="1"/>
    <x v="3"/>
    <x v="4"/>
    <x v="2"/>
    <n v="416"/>
    <n v="6"/>
    <x v="353"/>
    <x v="1"/>
    <s v="Saturday"/>
    <s v="Weekend"/>
    <n v="1"/>
  </r>
  <r>
    <n v="11"/>
    <x v="1"/>
    <x v="0"/>
    <x v="3"/>
    <x v="0"/>
    <n v="1367"/>
    <n v="16"/>
    <x v="354"/>
    <x v="2"/>
    <s v="Monday"/>
    <s v="Weekday"/>
    <n v="0"/>
  </r>
  <r>
    <n v="50"/>
    <x v="1"/>
    <x v="2"/>
    <x v="0"/>
    <x v="0"/>
    <n v="1081"/>
    <n v="6"/>
    <x v="355"/>
    <x v="3"/>
    <s v="Thursday"/>
    <s v="Weekday"/>
    <n v="0"/>
  </r>
  <r>
    <n v="17"/>
    <x v="1"/>
    <x v="4"/>
    <x v="0"/>
    <x v="0"/>
    <n v="923"/>
    <n v="17"/>
    <x v="356"/>
    <x v="2"/>
    <s v="Wednesday"/>
    <s v="Weekday"/>
    <n v="0"/>
  </r>
  <r>
    <n v="44"/>
    <x v="1"/>
    <x v="5"/>
    <x v="2"/>
    <x v="2"/>
    <n v="728"/>
    <n v="10"/>
    <x v="331"/>
    <x v="3"/>
    <s v="Sunday"/>
    <s v="Weekday"/>
    <n v="1"/>
  </r>
  <r>
    <n v="46"/>
    <x v="0"/>
    <x v="5"/>
    <x v="2"/>
    <x v="0"/>
    <n v="870"/>
    <n v="18"/>
    <x v="357"/>
    <x v="3"/>
    <s v="Friday"/>
    <s v="Weeken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70805D-D002-4C75-869B-C2248A984119}" name="PT4_Average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H4" firstHeaderRow="1" firstDataRow="1" firstDataCol="0"/>
  <pivotFields count="15">
    <pivotField showAll="0"/>
    <pivotField showAll="0">
      <items count="3">
        <item x="0"/>
        <item x="1"/>
        <item t="default"/>
      </items>
    </pivotField>
    <pivotField showAll="0">
      <items count="9">
        <item x="1"/>
        <item x="0"/>
        <item x="2"/>
        <item x="5"/>
        <item x="4"/>
        <item x="3"/>
        <item x="7"/>
        <item x="6"/>
        <item t="default"/>
      </items>
    </pivotField>
    <pivotField showAll="0">
      <items count="7">
        <item h="1" x="1"/>
        <item h="1" x="5"/>
        <item h="1" x="4"/>
        <item h="1" x="0"/>
        <item h="1" x="3"/>
        <item x="2"/>
        <item t="default"/>
      </items>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Wait Days" fld="6" subtotal="average" baseField="0" baseItem="0" numFmtId="166"/>
  </dataFields>
  <formats count="1">
    <format dxfId="71">
      <pivotArea outline="0" collapsedLevelsAreSubtotals="1" fieldPosition="0"/>
    </format>
  </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314CB8-9FF9-4C72-976A-B07A73D2823F}" name="PT11_Division_Average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ivision">
  <location ref="D8:E17" firstHeaderRow="1" firstDataRow="1" firstDataCol="1"/>
  <pivotFields count="15">
    <pivotField showAll="0"/>
    <pivotField showAll="0">
      <items count="3">
        <item x="0"/>
        <item x="1"/>
        <item t="default"/>
      </items>
    </pivotField>
    <pivotField axis="axisRow" showAll="0" sortType="descending">
      <items count="9">
        <item x="1"/>
        <item x="0"/>
        <item x="2"/>
        <item x="5"/>
        <item x="4"/>
        <item x="3"/>
        <item x="7"/>
        <item x="6"/>
        <item t="default"/>
      </items>
      <autoSortScope>
        <pivotArea dataOnly="0" outline="0" fieldPosition="0">
          <references count="1">
            <reference field="4294967294" count="1" selected="0">
              <x v="0"/>
            </reference>
          </references>
        </pivotArea>
      </autoSortScope>
    </pivotField>
    <pivotField showAll="0">
      <items count="7">
        <item h="1" x="1"/>
        <item h="1" x="5"/>
        <item h="1" x="4"/>
        <item h="1" x="0"/>
        <item h="1" x="3"/>
        <item x="2"/>
        <item t="default"/>
      </items>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v="7"/>
    </i>
    <i>
      <x v="5"/>
    </i>
    <i>
      <x v="2"/>
    </i>
    <i>
      <x v="3"/>
    </i>
    <i>
      <x/>
    </i>
    <i>
      <x v="1"/>
    </i>
    <i>
      <x v="6"/>
    </i>
    <i>
      <x v="4"/>
    </i>
    <i t="grand">
      <x/>
    </i>
  </rowItems>
  <colItems count="1">
    <i/>
  </colItems>
  <dataFields count="1">
    <dataField name="Average of Wait Days" fld="6"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2D0B3D-4BBA-41B4-88CC-B5C0B02C7B13}" name="PT6_Count_Appointment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Appointment Status">
  <location ref="A8:B12"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showAll="0">
      <items count="7">
        <item h="1" x="1"/>
        <item h="1" x="5"/>
        <item h="1" x="4"/>
        <item h="1" x="0"/>
        <item h="1" x="3"/>
        <item x="2"/>
        <item t="default"/>
      </items>
    </pivotField>
    <pivotField axis="axisRow" dataField="1" showAll="0">
      <items count="4">
        <item x="1"/>
        <item x="0"/>
        <item x="2"/>
        <item t="default"/>
      </items>
    </pivotField>
    <pivotField showAll="0"/>
    <pivotField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Count of Appointment Status" fld="4" subtotal="count" baseField="4"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813C31-06BD-426F-85DC-EDF3A9DAD763}" name="PT22_Division_Rate_No_Show"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ivision">
  <location ref="D20:E29" firstHeaderRow="1" firstDataRow="1" firstDataCol="1"/>
  <pivotFields count="15">
    <pivotField showAll="0"/>
    <pivotField showAll="0">
      <items count="3">
        <item x="0"/>
        <item x="1"/>
        <item t="default"/>
      </items>
    </pivotField>
    <pivotField axis="axisRow" showAll="0" sortType="descending">
      <items count="9">
        <item x="1"/>
        <item x="0"/>
        <item x="2"/>
        <item x="5"/>
        <item x="4"/>
        <item x="3"/>
        <item x="7"/>
        <item x="6"/>
        <item t="default"/>
      </items>
      <autoSortScope>
        <pivotArea dataOnly="0" outline="0" fieldPosition="0">
          <references count="1">
            <reference field="4294967294" count="1" selected="0">
              <x v="0"/>
            </reference>
          </references>
        </pivotArea>
      </autoSortScope>
    </pivotField>
    <pivotField showAll="0">
      <items count="7">
        <item h="1" x="1"/>
        <item h="1" x="5"/>
        <item h="1" x="4"/>
        <item h="1" x="0"/>
        <item h="1" x="3"/>
        <item x="2"/>
        <item t="default"/>
      </items>
    </pivotField>
    <pivotField showAll="0"/>
    <pivotField showAll="0"/>
    <pivotField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v="5"/>
    </i>
    <i>
      <x v="2"/>
    </i>
    <i>
      <x v="1"/>
    </i>
    <i>
      <x v="3"/>
    </i>
    <i>
      <x v="7"/>
    </i>
    <i>
      <x v="6"/>
    </i>
    <i>
      <x v="4"/>
    </i>
    <i>
      <x/>
    </i>
    <i t="grand">
      <x/>
    </i>
  </rowItems>
  <colItems count="1">
    <i/>
  </colItems>
  <dataFields count="1">
    <dataField name="Rate of No Show" fld="11" subtotal="average" baseField="2" baseItem="2" numFmtId="10"/>
  </dataFields>
  <formats count="2">
    <format dxfId="73">
      <pivotArea collapsedLevelsAreSubtotals="1" fieldPosition="0">
        <references count="1">
          <reference field="2" count="0"/>
        </references>
      </pivotArea>
    </format>
    <format dxfId="7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41AF7A-7908-49D4-83B7-E180CF0AD9D1}" name="PT16_Min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3:N4" firstHeaderRow="1" firstDataRow="1" firstDataCol="0"/>
  <pivotFields count="15">
    <pivotField showAll="0"/>
    <pivotField showAll="0">
      <items count="3">
        <item x="0"/>
        <item x="1"/>
        <item t="default"/>
      </items>
    </pivotField>
    <pivotField showAll="0">
      <items count="9">
        <item x="1"/>
        <item x="0"/>
        <item x="2"/>
        <item x="5"/>
        <item x="4"/>
        <item x="3"/>
        <item x="7"/>
        <item x="6"/>
        <item t="default"/>
      </items>
    </pivotField>
    <pivotField showAll="0">
      <items count="7">
        <item h="1" x="1"/>
        <item h="1" x="5"/>
        <item h="1" x="4"/>
        <item h="1" x="0"/>
        <item h="1" x="3"/>
        <item x="2"/>
        <item t="default"/>
      </items>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Min of Wait Days" fld="6" subtotal="min" baseField="0" baseItem="0"/>
  </dataField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0E1D17-86B5-4647-96C0-725AE8A80E39}" name="PT27_Month_Rate_No_Show"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Month">
  <location ref="G28:H41"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showAll="0" sortType="descending">
      <items count="7">
        <item h="1" x="1"/>
        <item h="1" x="5"/>
        <item h="1" x="4"/>
        <item h="1" x="0"/>
        <item h="1"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Rate of No Show " fld="11" subtotal="average" baseField="0" baseItem="0" numFmtId="10"/>
  </dataFields>
  <formats count="1">
    <format dxfId="7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9D0E31-36C2-480D-A3E8-23AC1D2ECECE}" name="PT1_Age_Group_No_Show_R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Age Group">
  <location ref="D42:E47"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showAll="0" sortType="descending">
      <items count="7">
        <item h="1" x="1"/>
        <item h="1" x="5"/>
        <item h="1" x="4"/>
        <item h="1" x="0"/>
        <item h="1"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5">
    <i>
      <x v="1"/>
    </i>
    <i>
      <x v="3"/>
    </i>
    <i>
      <x v="2"/>
    </i>
    <i>
      <x/>
    </i>
    <i t="grand">
      <x/>
    </i>
  </rowItems>
  <colItems count="1">
    <i/>
  </colItems>
  <dataFields count="1">
    <dataField name="Rate of No Show " fld="11" subtotal="average" baseField="3" baseItem="5" numFmtId="10"/>
  </dataFields>
  <formats count="1">
    <format dxfId="7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EF73C9-0E4A-4C39-AFC9-5323634975EF}" name="PT2_Age_Group_Average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Age Group">
  <location ref="J8:K13"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showAll="0" sortType="descending">
      <items count="7">
        <item h="1" x="1"/>
        <item h="1" x="5"/>
        <item h="1" x="4"/>
        <item h="1" x="0"/>
        <item h="1"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5">
    <i>
      <x v="1"/>
    </i>
    <i>
      <x v="3"/>
    </i>
    <i>
      <x v="2"/>
    </i>
    <i>
      <x/>
    </i>
    <i t="grand">
      <x/>
    </i>
  </rowItems>
  <colItems count="1">
    <i/>
  </colItems>
  <dataFields count="1">
    <dataField name="Average of Wait Days" fld="6" subtotal="average" baseField="3" baseItem="0" numFmtId="2"/>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5F2EC8-8D04-4008-87FB-54D28B5DA3C2}" name="PT4_Month_Total_Appointmen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Month">
  <location ref="J24:K37" firstHeaderRow="1" firstDataRow="1" firstDataCol="1"/>
  <pivotFields count="15">
    <pivotField showAll="0"/>
    <pivotField showAll="0">
      <items count="3">
        <item x="0"/>
        <item x="1"/>
        <item t="default"/>
      </items>
    </pivotField>
    <pivotField dataField="1" showAll="0">
      <items count="9">
        <item x="1"/>
        <item x="0"/>
        <item x="2"/>
        <item x="5"/>
        <item x="4"/>
        <item x="3"/>
        <item x="7"/>
        <item x="6"/>
        <item t="default"/>
      </items>
    </pivotField>
    <pivotField showAll="0">
      <items count="7">
        <item h="1" x="1"/>
        <item h="1" x="5"/>
        <item h="1" x="4"/>
        <item h="1" x="0"/>
        <item h="1" x="3"/>
        <item x="2"/>
        <item t="default"/>
      </items>
    </pivotField>
    <pivotField showAll="0"/>
    <pivotField showAll="0"/>
    <pivotField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Total Appointments" fld="2" subtotal="count" baseField="0" baseItem="0" numFmtId="1"/>
  </dataFields>
  <formats count="2">
    <format dxfId="77">
      <pivotArea outline="0" collapsedLevelsAreSubtotals="1" fieldPosition="0"/>
    </format>
    <format dxfId="76">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FD2A98-DAB5-4849-8B67-07867022D655}" name="PT21_Month_Sum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onth">
  <location ref="A44:B57"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showAll="0">
      <items count="7">
        <item h="1" x="1"/>
        <item h="1" x="5"/>
        <item h="1" x="4"/>
        <item h="1" x="0"/>
        <item h="1" x="3"/>
        <item x="2"/>
        <item t="default"/>
      </items>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Wait Days" fld="6"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816277-4FE3-4349-A41D-E7A7E11B27A0}" name="PT1_Total_Appointmen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5">
    <pivotField showAll="0"/>
    <pivotField showAll="0">
      <items count="3">
        <item x="0"/>
        <item x="1"/>
        <item t="default"/>
      </items>
    </pivotField>
    <pivotField dataField="1" showAll="0">
      <items count="9">
        <item x="1"/>
        <item x="0"/>
        <item x="2"/>
        <item x="5"/>
        <item x="4"/>
        <item x="3"/>
        <item x="7"/>
        <item x="6"/>
        <item t="default"/>
      </items>
    </pivotField>
    <pivotField showAll="0">
      <items count="7">
        <item h="1" x="1"/>
        <item h="1" x="5"/>
        <item h="1" x="4"/>
        <item h="1" x="0"/>
        <item h="1" x="3"/>
        <item x="2"/>
        <item t="default"/>
      </items>
    </pivotField>
    <pivotField showAll="0"/>
    <pivotField showAll="0"/>
    <pivotField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Appointments" fld="2" subtotal="count" baseField="0" baseItem="0"/>
  </dataField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1D8823-DC9D-4A1D-BB86-22F11186D8DA}" name="PT18_Division_Sum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Division">
  <location ref="A15:B24" firstHeaderRow="1" firstDataRow="1" firstDataCol="1"/>
  <pivotFields count="15">
    <pivotField showAll="0"/>
    <pivotField showAll="0">
      <items count="3">
        <item x="0"/>
        <item x="1"/>
        <item t="default"/>
      </items>
    </pivotField>
    <pivotField axis="axisRow" showAll="0" sortType="descending">
      <items count="9">
        <item x="1"/>
        <item x="0"/>
        <item x="2"/>
        <item x="5"/>
        <item x="4"/>
        <item x="3"/>
        <item x="7"/>
        <item x="6"/>
        <item t="default"/>
      </items>
      <autoSortScope>
        <pivotArea dataOnly="0" outline="0" fieldPosition="0">
          <references count="1">
            <reference field="4294967294" count="1" selected="0">
              <x v="0"/>
            </reference>
          </references>
        </pivotArea>
      </autoSortScope>
    </pivotField>
    <pivotField showAll="0">
      <items count="7">
        <item h="1" x="1"/>
        <item h="1" x="5"/>
        <item h="1" x="4"/>
        <item h="1" x="0"/>
        <item h="1" x="3"/>
        <item x="2"/>
        <item t="default"/>
      </items>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v="2"/>
    </i>
    <i>
      <x v="1"/>
    </i>
    <i>
      <x v="3"/>
    </i>
    <i>
      <x v="5"/>
    </i>
    <i>
      <x v="7"/>
    </i>
    <i>
      <x/>
    </i>
    <i>
      <x v="6"/>
    </i>
    <i>
      <x v="4"/>
    </i>
    <i t="grand">
      <x/>
    </i>
  </rowItems>
  <colItems count="1">
    <i/>
  </colItems>
  <dataFields count="1">
    <dataField name="Sum of Wait Days" fld="6" baseField="2" baseItem="2"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15C2BF-B998-4588-A95C-906C88DA91E4}" name="PT12_Specialty_Average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Specialty">
  <location ref="G8:H10"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axis="axisRow" showAll="0" sortType="descending">
      <items count="7">
        <item h="1" x="1"/>
        <item h="1" x="5"/>
        <item h="1" x="4"/>
        <item h="1" x="0"/>
        <item h="1"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5"/>
    </i>
    <i t="grand">
      <x/>
    </i>
  </rowItems>
  <colItems count="1">
    <i/>
  </colItems>
  <dataFields count="1">
    <dataField name="Average of Wait Days" fld="6" subtotal="average" baseField="3" baseItem="0" numFmtId="2"/>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79DFAAB-B213-4A0C-B2B6-1AC6A1EDC819}" name="PT5_Max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J4" firstHeaderRow="1" firstDataRow="1" firstDataCol="0"/>
  <pivotFields count="15">
    <pivotField showAll="0"/>
    <pivotField showAll="0">
      <items count="3">
        <item x="0"/>
        <item x="1"/>
        <item t="default"/>
      </items>
    </pivotField>
    <pivotField showAll="0">
      <items count="9">
        <item x="1"/>
        <item x="0"/>
        <item x="2"/>
        <item x="5"/>
        <item x="4"/>
        <item x="3"/>
        <item x="7"/>
        <item x="6"/>
        <item t="default"/>
      </items>
    </pivotField>
    <pivotField showAll="0">
      <items count="7">
        <item h="1" x="1"/>
        <item h="1" x="5"/>
        <item h="1" x="4"/>
        <item h="1" x="0"/>
        <item h="1" x="3"/>
        <item x="2"/>
        <item t="default"/>
      </items>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Max of Wait Days" fld="6" subtotal="max" baseField="0" baseItem="0"/>
  </dataField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4CA97F-E487-4430-8EC0-8378727A7351}" name="PT2_Total_No_Show_Appointments" cacheId="0" applyNumberFormats="0" applyBorderFormats="0" applyFontFormats="0" applyPatternFormats="0" applyAlignmentFormats="0" applyWidthHeightFormats="1" dataCaption="Values" missingCaption="0" updatedVersion="8" minRefreshableVersion="5" useAutoFormatting="1" itemPrintTitles="1" createdVersion="8" indent="0" outline="1" outlineData="1" multipleFieldFilters="0">
  <location ref="C3:C4" firstHeaderRow="1" firstDataRow="1" firstDataCol="0" rowPageCount="1" colPageCount="1"/>
  <pivotFields count="15">
    <pivotField showAll="0"/>
    <pivotField showAll="0">
      <items count="3">
        <item x="0"/>
        <item x="1"/>
        <item t="default"/>
      </items>
    </pivotField>
    <pivotField showAll="0">
      <items count="9">
        <item x="1"/>
        <item x="0"/>
        <item x="2"/>
        <item x="5"/>
        <item x="4"/>
        <item x="3"/>
        <item x="7"/>
        <item x="6"/>
        <item t="default"/>
      </items>
    </pivotField>
    <pivotField showAll="0">
      <items count="7">
        <item h="1" x="1"/>
        <item h="1" x="5"/>
        <item h="1" x="4"/>
        <item h="1" x="0"/>
        <item h="1" x="3"/>
        <item x="2"/>
        <item t="default"/>
      </items>
    </pivotField>
    <pivotField axis="axisPage" dataField="1" multipleItemSelectionAllowed="1" showAll="0">
      <items count="4">
        <item h="1" x="1"/>
        <item h="1" x="0"/>
        <item x="2"/>
        <item t="default"/>
      </items>
    </pivotField>
    <pivotField showAll="0"/>
    <pivotField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pageFields count="1">
    <pageField fld="4" hier="-1"/>
  </pageFields>
  <dataFields count="1">
    <dataField name="Total No-Show Appointments" fld="4" subtotal="count" baseField="0" baseItem="0"/>
  </dataField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8C7D23-63B7-4DD7-BBB8-38BA79153887}" name="PT19_Specialty_Sum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pecialty">
  <location ref="D32:E34"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axis="axisRow" showAll="0" sortType="descending">
      <items count="7">
        <item h="1" x="1"/>
        <item h="1" x="5"/>
        <item h="1" x="4"/>
        <item h="1" x="0"/>
        <item h="1"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5"/>
    </i>
    <i t="grand">
      <x/>
    </i>
  </rowItems>
  <colItems count="1">
    <i/>
  </colItems>
  <dataFields count="1">
    <dataField name="Sum of Wait Days" fld="6" baseField="3" baseItem="2" numFmtId="1"/>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BC6D80-CB90-4ED4-921D-B0A229E10C66}" name="PT17_Month_Average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onth">
  <location ref="A27:B40"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showAll="0">
      <items count="7">
        <item h="1" x="1"/>
        <item h="1" x="5"/>
        <item h="1" x="4"/>
        <item h="1" x="0"/>
        <item h="1" x="3"/>
        <item x="2"/>
        <item t="default"/>
      </items>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Average of Wait Days" fld="6"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EE91DFF-97AF-4A54-9D04-B1B551485385}" name="PT3_Age_Group_Sum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Age Group">
  <location ref="J16:K21"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showAll="0" sortType="descending">
      <items count="7">
        <item h="1" x="1"/>
        <item h="1" x="5"/>
        <item h="1" x="4"/>
        <item h="1" x="0"/>
        <item h="1" x="3"/>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5">
    <i>
      <x v="2"/>
    </i>
    <i>
      <x v="1"/>
    </i>
    <i>
      <x v="3"/>
    </i>
    <i>
      <x/>
    </i>
    <i t="grand">
      <x/>
    </i>
  </rowItems>
  <colItems count="1">
    <i/>
  </colItems>
  <dataFields count="1">
    <dataField name="Sum of Wait Days" fld="6" baseField="8" baseItem="1" numFmtId="1"/>
  </dataFields>
  <formats count="1">
    <format dxfId="7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B632F9A-7963-4C7A-A040-6217C2B33117}" name="PT14_Sum_Wait_Day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3:L4" firstHeaderRow="1" firstDataRow="1" firstDataCol="0"/>
  <pivotFields count="15">
    <pivotField showAll="0"/>
    <pivotField showAll="0">
      <items count="3">
        <item x="0"/>
        <item x="1"/>
        <item t="default"/>
      </items>
    </pivotField>
    <pivotField showAll="0">
      <items count="9">
        <item x="1"/>
        <item x="0"/>
        <item x="2"/>
        <item x="5"/>
        <item x="4"/>
        <item x="3"/>
        <item x="7"/>
        <item x="6"/>
        <item t="default"/>
      </items>
    </pivotField>
    <pivotField showAll="0">
      <items count="7">
        <item h="1" x="1"/>
        <item h="1" x="5"/>
        <item h="1" x="4"/>
        <item h="1" x="0"/>
        <item h="1" x="3"/>
        <item x="2"/>
        <item t="default"/>
      </items>
    </pivotField>
    <pivotField showAll="0"/>
    <pivotField showAll="0"/>
    <pivotField dataField="1"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Wait Days" fld="6" baseField="0" baseItem="0"/>
  </dataField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F906D27-1A1F-43F0-BC6D-05BF4E7DC828}" name="PT26_Specialty_Rate_No_Show"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pecialty">
  <location ref="G18:H20" firstHeaderRow="1" firstDataRow="1" firstDataCol="1"/>
  <pivotFields count="15">
    <pivotField showAll="0"/>
    <pivotField showAll="0">
      <items count="3">
        <item x="0"/>
        <item x="1"/>
        <item t="default"/>
      </items>
    </pivotField>
    <pivotField showAll="0">
      <items count="9">
        <item x="1"/>
        <item x="0"/>
        <item x="2"/>
        <item x="5"/>
        <item x="4"/>
        <item x="3"/>
        <item x="7"/>
        <item x="6"/>
        <item t="default"/>
      </items>
    </pivotField>
    <pivotField axis="axisRow" showAll="0" sortType="descending">
      <items count="7">
        <item h="1" x="1"/>
        <item h="1" x="5"/>
        <item h="1" x="4"/>
        <item h="1" x="0"/>
        <item h="1"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items count="359">
        <item x="166"/>
        <item x="194"/>
        <item x="24"/>
        <item x="355"/>
        <item x="38"/>
        <item x="61"/>
        <item x="138"/>
        <item x="267"/>
        <item x="187"/>
        <item x="15"/>
        <item x="261"/>
        <item x="292"/>
        <item x="96"/>
        <item x="203"/>
        <item x="308"/>
        <item x="106"/>
        <item x="295"/>
        <item x="291"/>
        <item x="319"/>
        <item x="286"/>
        <item x="190"/>
        <item x="254"/>
        <item x="280"/>
        <item x="85"/>
        <item x="237"/>
        <item x="110"/>
        <item x="191"/>
        <item x="20"/>
        <item x="162"/>
        <item x="2"/>
        <item x="225"/>
        <item x="12"/>
        <item x="335"/>
        <item x="339"/>
        <item x="171"/>
        <item x="46"/>
        <item x="327"/>
        <item x="168"/>
        <item x="313"/>
        <item x="181"/>
        <item x="192"/>
        <item x="36"/>
        <item x="98"/>
        <item x="141"/>
        <item x="219"/>
        <item x="114"/>
        <item x="352"/>
        <item x="243"/>
        <item x="234"/>
        <item x="247"/>
        <item x="236"/>
        <item x="4"/>
        <item x="270"/>
        <item x="353"/>
        <item x="331"/>
        <item x="118"/>
        <item x="27"/>
        <item x="90"/>
        <item x="115"/>
        <item x="343"/>
        <item x="340"/>
        <item x="297"/>
        <item x="116"/>
        <item x="104"/>
        <item x="131"/>
        <item x="30"/>
        <item x="105"/>
        <item x="310"/>
        <item x="125"/>
        <item x="109"/>
        <item x="263"/>
        <item x="161"/>
        <item x="25"/>
        <item x="69"/>
        <item x="198"/>
        <item x="102"/>
        <item x="276"/>
        <item x="302"/>
        <item x="294"/>
        <item x="354"/>
        <item x="140"/>
        <item x="193"/>
        <item x="311"/>
        <item x="99"/>
        <item x="153"/>
        <item x="103"/>
        <item x="333"/>
        <item x="323"/>
        <item x="86"/>
        <item x="230"/>
        <item x="93"/>
        <item x="57"/>
        <item x="123"/>
        <item x="143"/>
        <item x="148"/>
        <item x="60"/>
        <item x="221"/>
        <item x="268"/>
        <item x="245"/>
        <item x="196"/>
        <item x="290"/>
        <item x="201"/>
        <item x="97"/>
        <item x="157"/>
        <item x="159"/>
        <item x="94"/>
        <item x="227"/>
        <item x="229"/>
        <item x="337"/>
        <item x="52"/>
        <item x="244"/>
        <item x="214"/>
        <item x="303"/>
        <item x="77"/>
        <item x="127"/>
        <item x="315"/>
        <item x="45"/>
        <item x="174"/>
        <item x="205"/>
        <item x="29"/>
        <item x="17"/>
        <item x="265"/>
        <item x="6"/>
        <item x="232"/>
        <item x="215"/>
        <item x="89"/>
        <item x="212"/>
        <item x="220"/>
        <item x="100"/>
        <item x="18"/>
        <item x="175"/>
        <item x="305"/>
        <item x="260"/>
        <item x="249"/>
        <item x="298"/>
        <item x="274"/>
        <item x="19"/>
        <item x="241"/>
        <item x="37"/>
        <item x="299"/>
        <item x="285"/>
        <item x="11"/>
        <item x="88"/>
        <item x="258"/>
        <item x="341"/>
        <item x="81"/>
        <item x="324"/>
        <item x="344"/>
        <item x="16"/>
        <item x="44"/>
        <item x="316"/>
        <item x="73"/>
        <item x="284"/>
        <item x="0"/>
        <item x="275"/>
        <item x="92"/>
        <item x="58"/>
        <item x="204"/>
        <item x="206"/>
        <item x="278"/>
        <item x="7"/>
        <item x="235"/>
        <item x="283"/>
        <item x="266"/>
        <item x="231"/>
        <item x="296"/>
        <item x="119"/>
        <item x="108"/>
        <item x="150"/>
        <item x="326"/>
        <item x="211"/>
        <item x="264"/>
        <item x="176"/>
        <item x="14"/>
        <item x="55"/>
        <item x="117"/>
        <item x="252"/>
        <item x="64"/>
        <item x="158"/>
        <item x="338"/>
        <item x="199"/>
        <item x="101"/>
        <item x="137"/>
        <item x="49"/>
        <item x="134"/>
        <item x="28"/>
        <item x="149"/>
        <item x="223"/>
        <item x="345"/>
        <item x="251"/>
        <item x="35"/>
        <item x="320"/>
        <item x="39"/>
        <item x="173"/>
        <item x="42"/>
        <item x="349"/>
        <item x="84"/>
        <item x="164"/>
        <item x="287"/>
        <item x="32"/>
        <item x="79"/>
        <item x="70"/>
        <item x="152"/>
        <item x="332"/>
        <item x="242"/>
        <item x="262"/>
        <item x="289"/>
        <item x="217"/>
        <item x="330"/>
        <item x="222"/>
        <item x="53"/>
        <item x="228"/>
        <item x="3"/>
        <item x="200"/>
        <item x="329"/>
        <item x="142"/>
        <item x="113"/>
        <item x="111"/>
        <item x="342"/>
        <item x="95"/>
        <item x="172"/>
        <item x="8"/>
        <item x="156"/>
        <item x="347"/>
        <item x="301"/>
        <item x="78"/>
        <item x="304"/>
        <item x="239"/>
        <item x="132"/>
        <item x="306"/>
        <item x="112"/>
        <item x="325"/>
        <item x="21"/>
        <item x="259"/>
        <item x="146"/>
        <item x="163"/>
        <item x="312"/>
        <item x="155"/>
        <item x="195"/>
        <item x="272"/>
        <item x="334"/>
        <item x="66"/>
        <item x="226"/>
        <item x="351"/>
        <item x="82"/>
        <item x="5"/>
        <item x="238"/>
        <item x="1"/>
        <item x="65"/>
        <item x="75"/>
        <item x="145"/>
        <item x="357"/>
        <item x="165"/>
        <item x="48"/>
        <item x="182"/>
        <item x="43"/>
        <item x="180"/>
        <item x="293"/>
        <item x="144"/>
        <item x="336"/>
        <item x="210"/>
        <item x="91"/>
        <item x="151"/>
        <item x="130"/>
        <item x="40"/>
        <item x="23"/>
        <item x="179"/>
        <item x="50"/>
        <item x="348"/>
        <item x="26"/>
        <item x="318"/>
        <item x="300"/>
        <item x="178"/>
        <item x="129"/>
        <item x="184"/>
        <item x="213"/>
        <item x="67"/>
        <item x="183"/>
        <item x="256"/>
        <item x="160"/>
        <item x="279"/>
        <item x="321"/>
        <item x="309"/>
        <item x="122"/>
        <item x="277"/>
        <item x="22"/>
        <item x="233"/>
        <item x="317"/>
        <item x="13"/>
        <item x="51"/>
        <item x="189"/>
        <item x="33"/>
        <item x="56"/>
        <item x="10"/>
        <item x="209"/>
        <item x="128"/>
        <item x="314"/>
        <item x="257"/>
        <item x="154"/>
        <item x="255"/>
        <item x="216"/>
        <item x="346"/>
        <item x="186"/>
        <item x="224"/>
        <item x="59"/>
        <item x="139"/>
        <item x="124"/>
        <item x="169"/>
        <item x="202"/>
        <item x="282"/>
        <item x="147"/>
        <item x="269"/>
        <item x="197"/>
        <item x="76"/>
        <item x="133"/>
        <item x="47"/>
        <item x="71"/>
        <item x="136"/>
        <item x="271"/>
        <item x="135"/>
        <item x="126"/>
        <item x="188"/>
        <item x="356"/>
        <item x="41"/>
        <item x="54"/>
        <item x="107"/>
        <item x="34"/>
        <item x="68"/>
        <item x="87"/>
        <item x="31"/>
        <item x="177"/>
        <item x="121"/>
        <item x="185"/>
        <item x="240"/>
        <item x="72"/>
        <item x="328"/>
        <item x="167"/>
        <item x="322"/>
        <item x="248"/>
        <item x="9"/>
        <item x="250"/>
        <item x="207"/>
        <item x="246"/>
        <item x="74"/>
        <item x="350"/>
        <item x="273"/>
        <item x="208"/>
        <item x="253"/>
        <item x="218"/>
        <item x="80"/>
        <item x="120"/>
        <item x="281"/>
        <item x="83"/>
        <item x="63"/>
        <item x="170"/>
        <item x="307"/>
        <item x="288"/>
        <item x="62"/>
        <item t="default"/>
      </items>
    </pivotField>
    <pivotField showAll="0">
      <items count="5">
        <item x="2"/>
        <item x="3"/>
        <item x="0"/>
        <item x="1"/>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v="5"/>
    </i>
    <i t="grand">
      <x/>
    </i>
  </rowItems>
  <colItems count="1">
    <i/>
  </colItems>
  <dataFields count="1">
    <dataField name="Rate of No Show " fld="11" subtotal="average" baseField="3" baseItem="5" numFmtId="10"/>
  </dataFields>
  <formats count="1">
    <format dxfId="7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551" name="Appointment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1EF3694-2CA4-4EB9-866D-CC0ECC8CFA08}" sourceName="Gender">
  <pivotTables>
    <pivotTable tabId="7" name="PT1_Total_Appointments"/>
    <pivotTable tabId="7" name="PT11_Division_Average_Wait_Days"/>
    <pivotTable tabId="7" name="PT12_Specialty_Average_Wait_Days"/>
    <pivotTable tabId="7" name="PT14_Sum_Wait_Days"/>
    <pivotTable tabId="7" name="PT16_Min_Wait_Days"/>
    <pivotTable tabId="7" name="PT17_Month_Average_Wait_Days"/>
    <pivotTable tabId="7" name="PT18_Division_Sum_Wait_Days"/>
    <pivotTable tabId="7" name="PT19_Specialty_Sum_Wait_Days"/>
    <pivotTable tabId="7" name="PT2_Total_No_Show_Appointments"/>
    <pivotTable tabId="7" name="PT21_Month_Sum_Wait_Days"/>
    <pivotTable tabId="7" name="PT22_Division_Rate_No_Show"/>
    <pivotTable tabId="7" name="PT26_Specialty_Rate_No_Show"/>
    <pivotTable tabId="7" name="PT27_Month_Rate_No_Show"/>
    <pivotTable tabId="7" name="PT4_Average_Wait_Days"/>
    <pivotTable tabId="7" name="PT5_Max_Wait_Days"/>
    <pivotTable tabId="7" name="PT6_Count_Appointment_Status"/>
    <pivotTable tabId="7" name="PT1_Age_Group_No_Show_Rate"/>
    <pivotTable tabId="7" name="PT2_Age_Group_Average_Wait_Days"/>
    <pivotTable tabId="7" name="PT3_Age_Group_Sum_Wait_Days"/>
    <pivotTable tabId="7" name="PT4_Month_Total_Appointments"/>
  </pivotTables>
  <data>
    <tabular pivotCacheId="203044338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275C0C16-40E7-4450-B6D5-85BC3913409D}" sourceName="Division">
  <pivotTables>
    <pivotTable tabId="7" name="PT1_Total_Appointments"/>
    <pivotTable tabId="7" name="PT11_Division_Average_Wait_Days"/>
    <pivotTable tabId="7" name="PT12_Specialty_Average_Wait_Days"/>
    <pivotTable tabId="7" name="PT14_Sum_Wait_Days"/>
    <pivotTable tabId="7" name="PT16_Min_Wait_Days"/>
    <pivotTable tabId="7" name="PT17_Month_Average_Wait_Days"/>
    <pivotTable tabId="7" name="PT18_Division_Sum_Wait_Days"/>
    <pivotTable tabId="7" name="PT19_Specialty_Sum_Wait_Days"/>
    <pivotTable tabId="7" name="PT2_Total_No_Show_Appointments"/>
    <pivotTable tabId="7" name="PT21_Month_Sum_Wait_Days"/>
    <pivotTable tabId="7" name="PT22_Division_Rate_No_Show"/>
    <pivotTable tabId="7" name="PT26_Specialty_Rate_No_Show"/>
    <pivotTable tabId="7" name="PT27_Month_Rate_No_Show"/>
    <pivotTable tabId="7" name="PT4_Average_Wait_Days"/>
    <pivotTable tabId="7" name="PT5_Max_Wait_Days"/>
    <pivotTable tabId="7" name="PT6_Count_Appointment_Status"/>
    <pivotTable tabId="7" name="PT1_Age_Group_No_Show_Rate"/>
    <pivotTable tabId="7" name="PT2_Age_Group_Average_Wait_Days"/>
    <pivotTable tabId="7" name="PT3_Age_Group_Sum_Wait_Days"/>
    <pivotTable tabId="7" name="PT4_Month_Total_Appointments"/>
  </pivotTables>
  <data>
    <tabular pivotCacheId="2030443388">
      <items count="8">
        <i x="1" s="1"/>
        <i x="0" s="1"/>
        <i x="2" s="1"/>
        <i x="5" s="1"/>
        <i x="4" s="1"/>
        <i x="3" s="1"/>
        <i x="7"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Specialty" xr10:uid="{E2F69EAB-D7AF-4E3F-AFDD-60ECD3B15F3E}" sourceName="Doctor Specialty">
  <pivotTables>
    <pivotTable tabId="7" name="PT1_Total_Appointments"/>
    <pivotTable tabId="7" name="PT11_Division_Average_Wait_Days"/>
    <pivotTable tabId="7" name="PT12_Specialty_Average_Wait_Days"/>
    <pivotTable tabId="7" name="PT14_Sum_Wait_Days"/>
    <pivotTable tabId="7" name="PT16_Min_Wait_Days"/>
    <pivotTable tabId="7" name="PT17_Month_Average_Wait_Days"/>
    <pivotTable tabId="7" name="PT18_Division_Sum_Wait_Days"/>
    <pivotTable tabId="7" name="PT19_Specialty_Sum_Wait_Days"/>
    <pivotTable tabId="7" name="PT2_Total_No_Show_Appointments"/>
    <pivotTable tabId="7" name="PT21_Month_Sum_Wait_Days"/>
    <pivotTable tabId="7" name="PT22_Division_Rate_No_Show"/>
    <pivotTable tabId="7" name="PT26_Specialty_Rate_No_Show"/>
    <pivotTable tabId="7" name="PT27_Month_Rate_No_Show"/>
    <pivotTable tabId="7" name="PT4_Average_Wait_Days"/>
    <pivotTable tabId="7" name="PT5_Max_Wait_Days"/>
    <pivotTable tabId="7" name="PT6_Count_Appointment_Status"/>
    <pivotTable tabId="7" name="PT1_Age_Group_No_Show_Rate"/>
    <pivotTable tabId="7" name="PT2_Age_Group_Average_Wait_Days"/>
    <pivotTable tabId="7" name="PT3_Age_Group_Sum_Wait_Days"/>
    <pivotTable tabId="7" name="PT4_Month_Total_Appointments"/>
  </pivotTables>
  <data>
    <tabular pivotCacheId="2030443388">
      <items count="6">
        <i x="1"/>
        <i x="5"/>
        <i x="4"/>
        <i x="0"/>
        <i x="3"/>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8353F75-2BB7-4310-8061-03C151D236EE}" sourceName="Age Group">
  <pivotTables>
    <pivotTable tabId="7" name="PT1_Total_Appointments"/>
    <pivotTable tabId="7" name="PT11_Division_Average_Wait_Days"/>
    <pivotTable tabId="7" name="PT12_Specialty_Average_Wait_Days"/>
    <pivotTable tabId="7" name="PT14_Sum_Wait_Days"/>
    <pivotTable tabId="7" name="PT16_Min_Wait_Days"/>
    <pivotTable tabId="7" name="PT17_Month_Average_Wait_Days"/>
    <pivotTable tabId="7" name="PT18_Division_Sum_Wait_Days"/>
    <pivotTable tabId="7" name="PT19_Specialty_Sum_Wait_Days"/>
    <pivotTable tabId="7" name="PT2_Total_No_Show_Appointments"/>
    <pivotTable tabId="7" name="PT21_Month_Sum_Wait_Days"/>
    <pivotTable tabId="7" name="PT22_Division_Rate_No_Show"/>
    <pivotTable tabId="7" name="PT26_Specialty_Rate_No_Show"/>
    <pivotTable tabId="7" name="PT27_Month_Rate_No_Show"/>
    <pivotTable tabId="7" name="PT4_Average_Wait_Days"/>
    <pivotTable tabId="7" name="PT5_Max_Wait_Days"/>
    <pivotTable tabId="7" name="PT6_Count_Appointment_Status"/>
    <pivotTable tabId="7" name="PT1_Age_Group_No_Show_Rate"/>
    <pivotTable tabId="7" name="PT2_Age_Group_Average_Wait_Days"/>
    <pivotTable tabId="7" name="PT3_Age_Group_Sum_Wait_Days"/>
    <pivotTable tabId="7" name="PT4_Month_Total_Appointments"/>
  </pivotTables>
  <data>
    <tabular pivotCacheId="203044338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2FE4E75-3348-4FE6-A56B-CB1A70A59FFD}" cache="Slicer_Gender" caption="Gender" rowHeight="234950"/>
  <slicer name="Division" xr10:uid="{3D199A69-2BC9-44F4-9BAD-148387A28C9A}" cache="Slicer_Division" caption="Division" rowHeight="234950"/>
  <slicer name="Doctor Specialty" xr10:uid="{EE7D1645-6962-4E1B-B3D1-F9E7F1A42773}" cache="Slicer_Doctor_Specialty" caption="Doctor Specialty" rowHeight="234950"/>
  <slicer name="Age Group" xr10:uid="{36A98F86-D66B-42CA-9069-829E3A43A2D5}" cache="Slicer_Age_Group" caption="Age 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0A18D8-50A1-40C2-A2A8-FF9A745DC306}" name="Table2" displayName="Table2" ref="F3:F4" totalsRowShown="0" headerRowDxfId="70" dataDxfId="69" dataCellStyle="Percent">
  <autoFilter ref="F3:F4" xr:uid="{3F0A18D8-50A1-40C2-A2A8-FF9A745DC306}"/>
  <tableColumns count="1">
    <tableColumn id="1" xr3:uid="{C5576054-70BB-44F5-8FAF-3AEF21F8A9B4}" name="No-Show Percentage" dataDxfId="68" dataCellStyle="Percent">
      <calculatedColumnFormula>(C4/A4)</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F03D7D-02C0-4D42-99AE-645D69A22E56}" name="Bangladesh_Appointment_Trends" displayName="Bangladesh_Appointment_Trends" ref="A1:L501" totalsRowShown="0" headerRowDxfId="67" headerRowBorderDxfId="66" tableBorderDxfId="65">
  <autoFilter ref="A1:L501" xr:uid="{38F03D7D-02C0-4D42-99AE-645D69A22E56}"/>
  <tableColumns count="12">
    <tableColumn id="1" xr3:uid="{CCFC8FA1-CFD0-4FE7-8136-B21D5FC0AECC}" name="Age"/>
    <tableColumn id="2" xr3:uid="{BCF09C6C-4036-499F-9D45-8F5F1B12E714}" name="Gender"/>
    <tableColumn id="3" xr3:uid="{A2655BC8-B83D-4CD4-B8AD-05AC35EFF8F9}" name="Division"/>
    <tableColumn id="4" xr3:uid="{B904E74A-516C-4BF1-B06C-74DA0A3C1BC2}" name="Doctor Specialty"/>
    <tableColumn id="5" xr3:uid="{22CCBC37-AE6B-4E66-B591-4E37EE42920B}" name="Appointment Status"/>
    <tableColumn id="6" xr3:uid="{5AE11F70-F6F6-4154-AC12-6A9E8C61D300}" name="Consultation Fee"/>
    <tableColumn id="7" xr3:uid="{B0A9B937-A8C7-4586-8A68-F863E459A39F}" name="Wait Days"/>
    <tableColumn id="8" xr3:uid="{77C6BDDE-7D1A-4120-91E3-DFD366A69F8C}" name="Appointment Date" dataDxfId="64"/>
    <tableColumn id="9" xr3:uid="{51CD8388-E175-4F42-B96E-F5820AD156F1}" name="Age Group"/>
    <tableColumn id="10" xr3:uid="{DEBAF746-ED9A-4CC1-8E78-EA0A422026E0}" name="Day of Week">
      <calculatedColumnFormula>TEXT(H2,"dddd")</calculatedColumnFormula>
    </tableColumn>
    <tableColumn id="11" xr3:uid="{CC8125A2-0D24-4E4F-80B7-7DC184465B70}" name="Day Type">
      <calculatedColumnFormula>IF(WEEKDAY(H2,1)&gt;5,"Weekend","Weekday")</calculatedColumnFormula>
    </tableColumn>
    <tableColumn id="12" xr3:uid="{1298B857-864D-4AE2-BBF3-90B94A9CF7AA}" name="No Show Flag" dataDxfId="63">
      <calculatedColumnFormula>IF(Bangladesh_Appointment_Trends[[#This Row],[Appointment Status]]="No-Show",1,0)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ointment_Date" xr10:uid="{5FC53EB4-713E-4A62-9541-0616EB897B20}" sourceName="Appointment Date">
  <pivotTables>
    <pivotTable tabId="7" name="PT1_Total_Appointments"/>
    <pivotTable tabId="7" name="PT11_Division_Average_Wait_Days"/>
    <pivotTable tabId="7" name="PT12_Specialty_Average_Wait_Days"/>
    <pivotTable tabId="7" name="PT14_Sum_Wait_Days"/>
    <pivotTable tabId="7" name="PT16_Min_Wait_Days"/>
    <pivotTable tabId="7" name="PT17_Month_Average_Wait_Days"/>
    <pivotTable tabId="7" name="PT18_Division_Sum_Wait_Days"/>
    <pivotTable tabId="7" name="PT19_Specialty_Sum_Wait_Days"/>
    <pivotTable tabId="7" name="PT2_Total_No_Show_Appointments"/>
    <pivotTable tabId="7" name="PT21_Month_Sum_Wait_Days"/>
    <pivotTable tabId="7" name="PT22_Division_Rate_No_Show"/>
    <pivotTable tabId="7" name="PT26_Specialty_Rate_No_Show"/>
    <pivotTable tabId="7" name="PT27_Month_Rate_No_Show"/>
    <pivotTable tabId="7" name="PT4_Average_Wait_Days"/>
    <pivotTable tabId="7" name="PT5_Max_Wait_Days"/>
    <pivotTable tabId="7" name="PT6_Count_Appointment_Status"/>
    <pivotTable tabId="7" name="PT1_Age_Group_No_Show_Rate"/>
    <pivotTable tabId="7" name="PT2_Age_Group_Average_Wait_Days"/>
    <pivotTable tabId="7" name="PT3_Age_Group_Sum_Wait_Days"/>
    <pivotTable tabId="7" name="PT4_Month_Total_Appointments"/>
  </pivotTables>
  <state minimalRefreshVersion="6" lastRefreshVersion="6" pivotCacheId="2030443388"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ointment Date" xr10:uid="{BB2F94B3-43A2-44D5-9ECC-2F3B81B725B6}" cache="NativeTimeline_Appointment_Date" caption="Year" level="0" selectionLevel="0" scrollPosition="2023-01-01T00:00:00"/>
  <timeline name="Appointment Date 1" xr10:uid="{D794BFE3-4BF9-4A1A-902C-3B6EF0DC755F}" cache="NativeTimeline_Appointment_Date" caption="Quarter" level="1" selectionLevel="0" scrollPosition="2023-01-01T00:00:00"/>
  <timeline name="Appointment Date 2" xr10:uid="{527740AB-750D-4187-8225-16D51394F21D}" cache="NativeTimeline_Appointment_Date" caption="Month" level="2" selectionLevel="0" scrollPosition="2023-03-11T00:00:00"/>
  <timeline name="Appointment Date 3" xr10:uid="{7BF33E52-DAE1-4371-BBBA-C8991F493960}" cache="NativeTimeline_Appointment_Date" caption="Day" level="3" selectionLevel="0" scrollPosition="2023-06-27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v>56</v>
      </c>
      <c r="B2" t="s">
        <v>8</v>
      </c>
      <c r="C2" t="s">
        <v>9</v>
      </c>
      <c r="D2" t="s">
        <v>10</v>
      </c>
      <c r="E2" t="s">
        <v>11</v>
      </c>
      <c r="F2">
        <v>914</v>
      </c>
      <c r="G2">
        <v>4</v>
      </c>
      <c r="H2" s="2">
        <v>45249</v>
      </c>
    </row>
    <row r="3" spans="1:8" x14ac:dyDescent="0.3">
      <c r="A3">
        <v>19</v>
      </c>
      <c r="B3" t="s">
        <v>12</v>
      </c>
      <c r="C3" t="s">
        <v>13</v>
      </c>
      <c r="D3" t="s">
        <v>14</v>
      </c>
      <c r="E3" t="s">
        <v>11</v>
      </c>
      <c r="F3">
        <v>1546</v>
      </c>
      <c r="G3">
        <v>6</v>
      </c>
      <c r="H3" s="2">
        <v>45450</v>
      </c>
    </row>
    <row r="4" spans="1:8" x14ac:dyDescent="0.3">
      <c r="A4">
        <v>76</v>
      </c>
      <c r="B4" t="s">
        <v>8</v>
      </c>
      <c r="C4" t="s">
        <v>15</v>
      </c>
      <c r="D4" t="s">
        <v>16</v>
      </c>
      <c r="E4" t="s">
        <v>11</v>
      </c>
      <c r="F4">
        <v>725</v>
      </c>
      <c r="G4">
        <v>1</v>
      </c>
      <c r="H4" s="2">
        <v>44984</v>
      </c>
    </row>
    <row r="5" spans="1:8" x14ac:dyDescent="0.3">
      <c r="A5">
        <v>65</v>
      </c>
      <c r="B5" t="s">
        <v>12</v>
      </c>
      <c r="C5" t="s">
        <v>9</v>
      </c>
      <c r="D5" t="s">
        <v>14</v>
      </c>
      <c r="E5" t="s">
        <v>11</v>
      </c>
      <c r="F5">
        <v>1492</v>
      </c>
      <c r="G5">
        <v>20</v>
      </c>
      <c r="H5" s="2">
        <v>45368</v>
      </c>
    </row>
    <row r="6" spans="1:8" x14ac:dyDescent="0.3">
      <c r="A6">
        <v>25</v>
      </c>
      <c r="B6" t="s">
        <v>12</v>
      </c>
      <c r="C6" t="s">
        <v>15</v>
      </c>
      <c r="D6" t="s">
        <v>17</v>
      </c>
      <c r="E6" t="s">
        <v>18</v>
      </c>
      <c r="F6">
        <v>1331</v>
      </c>
      <c r="G6">
        <v>16</v>
      </c>
      <c r="H6" s="2">
        <v>45022</v>
      </c>
    </row>
    <row r="7" spans="1:8" x14ac:dyDescent="0.3">
      <c r="A7">
        <v>79</v>
      </c>
      <c r="B7" t="s">
        <v>8</v>
      </c>
      <c r="C7" t="s">
        <v>19</v>
      </c>
      <c r="D7" t="s">
        <v>20</v>
      </c>
      <c r="E7" t="s">
        <v>11</v>
      </c>
      <c r="F7">
        <v>420</v>
      </c>
      <c r="G7">
        <v>15</v>
      </c>
      <c r="H7" s="2">
        <v>45249</v>
      </c>
    </row>
    <row r="8" spans="1:8" x14ac:dyDescent="0.3">
      <c r="A8">
        <v>79</v>
      </c>
      <c r="B8" t="s">
        <v>12</v>
      </c>
      <c r="C8" t="s">
        <v>13</v>
      </c>
      <c r="D8" t="s">
        <v>10</v>
      </c>
      <c r="E8" t="s">
        <v>11</v>
      </c>
      <c r="F8">
        <v>937</v>
      </c>
      <c r="G8">
        <v>17</v>
      </c>
      <c r="H8" s="2">
        <v>45436</v>
      </c>
    </row>
    <row r="9" spans="1:8" x14ac:dyDescent="0.3">
      <c r="A9">
        <v>28</v>
      </c>
      <c r="B9" t="s">
        <v>8</v>
      </c>
      <c r="C9" t="s">
        <v>13</v>
      </c>
      <c r="D9" t="s">
        <v>14</v>
      </c>
      <c r="E9" t="s">
        <v>18</v>
      </c>
      <c r="F9">
        <v>1675</v>
      </c>
      <c r="G9">
        <v>8</v>
      </c>
      <c r="H9" s="2">
        <v>45175</v>
      </c>
    </row>
    <row r="10" spans="1:8" x14ac:dyDescent="0.3">
      <c r="A10">
        <v>7</v>
      </c>
      <c r="B10" t="s">
        <v>8</v>
      </c>
      <c r="C10" t="s">
        <v>15</v>
      </c>
      <c r="D10" t="s">
        <v>20</v>
      </c>
      <c r="E10" t="s">
        <v>11</v>
      </c>
      <c r="F10">
        <v>556</v>
      </c>
      <c r="G10">
        <v>12</v>
      </c>
      <c r="H10" s="2">
        <v>45262</v>
      </c>
    </row>
    <row r="11" spans="1:8" x14ac:dyDescent="0.3">
      <c r="A11">
        <v>26</v>
      </c>
      <c r="B11" t="s">
        <v>8</v>
      </c>
      <c r="C11" t="s">
        <v>21</v>
      </c>
      <c r="D11" t="s">
        <v>16</v>
      </c>
      <c r="E11" t="s">
        <v>18</v>
      </c>
      <c r="F11">
        <v>878</v>
      </c>
      <c r="G11">
        <v>10</v>
      </c>
      <c r="H11" s="2">
        <v>45388</v>
      </c>
    </row>
    <row r="12" spans="1:8" x14ac:dyDescent="0.3">
      <c r="A12">
        <v>57</v>
      </c>
      <c r="B12" t="s">
        <v>8</v>
      </c>
      <c r="C12" t="s">
        <v>19</v>
      </c>
      <c r="D12" t="s">
        <v>20</v>
      </c>
      <c r="E12" t="s">
        <v>11</v>
      </c>
      <c r="F12">
        <v>531</v>
      </c>
      <c r="G12">
        <v>15</v>
      </c>
      <c r="H12" s="2">
        <v>45619</v>
      </c>
    </row>
    <row r="13" spans="1:8" x14ac:dyDescent="0.3">
      <c r="A13">
        <v>6</v>
      </c>
      <c r="B13" t="s">
        <v>8</v>
      </c>
      <c r="C13" t="s">
        <v>9</v>
      </c>
      <c r="D13" t="s">
        <v>10</v>
      </c>
      <c r="E13" t="s">
        <v>22</v>
      </c>
      <c r="F13">
        <v>927</v>
      </c>
      <c r="G13">
        <v>9</v>
      </c>
      <c r="H13" s="2">
        <v>45540</v>
      </c>
    </row>
    <row r="14" spans="1:8" x14ac:dyDescent="0.3">
      <c r="A14">
        <v>34</v>
      </c>
      <c r="B14" t="s">
        <v>8</v>
      </c>
      <c r="C14" t="s">
        <v>23</v>
      </c>
      <c r="D14" t="s">
        <v>14</v>
      </c>
      <c r="E14" t="s">
        <v>11</v>
      </c>
      <c r="F14">
        <v>1659</v>
      </c>
      <c r="G14">
        <v>2</v>
      </c>
      <c r="H14" s="2">
        <v>45249</v>
      </c>
    </row>
    <row r="15" spans="1:8" x14ac:dyDescent="0.3">
      <c r="A15">
        <v>42</v>
      </c>
      <c r="B15" t="s">
        <v>8</v>
      </c>
      <c r="C15" t="s">
        <v>9</v>
      </c>
      <c r="D15" t="s">
        <v>17</v>
      </c>
      <c r="E15" t="s">
        <v>11</v>
      </c>
      <c r="F15">
        <v>1175</v>
      </c>
      <c r="G15">
        <v>5</v>
      </c>
      <c r="H15" s="2">
        <v>45219</v>
      </c>
    </row>
    <row r="16" spans="1:8" x14ac:dyDescent="0.3">
      <c r="A16">
        <v>6</v>
      </c>
      <c r="B16" t="s">
        <v>8</v>
      </c>
      <c r="C16" t="s">
        <v>9</v>
      </c>
      <c r="D16" t="s">
        <v>16</v>
      </c>
      <c r="E16" t="s">
        <v>11</v>
      </c>
      <c r="F16">
        <v>766</v>
      </c>
      <c r="G16">
        <v>6</v>
      </c>
      <c r="H16" s="2">
        <v>44989</v>
      </c>
    </row>
    <row r="17" spans="1:8" x14ac:dyDescent="0.3">
      <c r="A17">
        <v>68</v>
      </c>
      <c r="B17" t="s">
        <v>12</v>
      </c>
      <c r="C17" t="s">
        <v>23</v>
      </c>
      <c r="D17" t="s">
        <v>14</v>
      </c>
      <c r="E17" t="s">
        <v>22</v>
      </c>
      <c r="F17">
        <v>1593</v>
      </c>
      <c r="G17">
        <v>7</v>
      </c>
      <c r="H17" s="2">
        <v>45526</v>
      </c>
    </row>
    <row r="18" spans="1:8" x14ac:dyDescent="0.3">
      <c r="A18">
        <v>64</v>
      </c>
      <c r="B18" t="s">
        <v>12</v>
      </c>
      <c r="C18" t="s">
        <v>15</v>
      </c>
      <c r="D18" t="s">
        <v>10</v>
      </c>
      <c r="E18" t="s">
        <v>18</v>
      </c>
      <c r="F18">
        <v>1061</v>
      </c>
      <c r="G18">
        <v>1</v>
      </c>
      <c r="H18" s="2">
        <v>45286</v>
      </c>
    </row>
    <row r="19" spans="1:8" x14ac:dyDescent="0.3">
      <c r="A19">
        <v>25</v>
      </c>
      <c r="B19" t="s">
        <v>8</v>
      </c>
      <c r="C19" t="s">
        <v>15</v>
      </c>
      <c r="D19" t="s">
        <v>16</v>
      </c>
      <c r="E19" t="s">
        <v>11</v>
      </c>
      <c r="F19">
        <v>956</v>
      </c>
      <c r="G19">
        <v>7</v>
      </c>
      <c r="H19" s="2">
        <v>44943</v>
      </c>
    </row>
    <row r="20" spans="1:8" x14ac:dyDescent="0.3">
      <c r="A20">
        <v>37</v>
      </c>
      <c r="B20" t="s">
        <v>12</v>
      </c>
      <c r="C20" t="s">
        <v>9</v>
      </c>
      <c r="D20" t="s">
        <v>24</v>
      </c>
      <c r="E20" t="s">
        <v>11</v>
      </c>
      <c r="F20">
        <v>971</v>
      </c>
      <c r="G20">
        <v>20</v>
      </c>
      <c r="H20" s="2">
        <v>45241</v>
      </c>
    </row>
    <row r="21" spans="1:8" x14ac:dyDescent="0.3">
      <c r="A21">
        <v>62</v>
      </c>
      <c r="B21" t="s">
        <v>12</v>
      </c>
      <c r="C21" t="s">
        <v>15</v>
      </c>
      <c r="D21" t="s">
        <v>20</v>
      </c>
      <c r="E21" t="s">
        <v>22</v>
      </c>
      <c r="F21">
        <v>486</v>
      </c>
      <c r="G21">
        <v>12</v>
      </c>
      <c r="H21" s="2">
        <v>45173</v>
      </c>
    </row>
    <row r="22" spans="1:8" x14ac:dyDescent="0.3">
      <c r="A22">
        <v>26</v>
      </c>
      <c r="B22" t="s">
        <v>12</v>
      </c>
      <c r="C22" t="s">
        <v>9</v>
      </c>
      <c r="D22" t="s">
        <v>10</v>
      </c>
      <c r="E22" t="s">
        <v>11</v>
      </c>
      <c r="F22">
        <v>1161</v>
      </c>
      <c r="G22">
        <v>16</v>
      </c>
      <c r="H22" s="2">
        <v>45195</v>
      </c>
    </row>
    <row r="23" spans="1:8" x14ac:dyDescent="0.3">
      <c r="A23">
        <v>53</v>
      </c>
      <c r="B23" t="s">
        <v>12</v>
      </c>
      <c r="C23" t="s">
        <v>19</v>
      </c>
      <c r="D23" t="s">
        <v>24</v>
      </c>
      <c r="E23" t="s">
        <v>18</v>
      </c>
      <c r="F23">
        <v>1113</v>
      </c>
      <c r="G23">
        <v>16</v>
      </c>
      <c r="H23" s="2">
        <v>45212</v>
      </c>
    </row>
    <row r="24" spans="1:8" x14ac:dyDescent="0.3">
      <c r="A24">
        <v>63</v>
      </c>
      <c r="B24" t="s">
        <v>8</v>
      </c>
      <c r="C24" t="s">
        <v>23</v>
      </c>
      <c r="D24" t="s">
        <v>14</v>
      </c>
      <c r="E24" t="s">
        <v>18</v>
      </c>
      <c r="F24">
        <v>1552</v>
      </c>
      <c r="G24">
        <v>11</v>
      </c>
      <c r="H24" s="2">
        <v>44977</v>
      </c>
    </row>
    <row r="25" spans="1:8" x14ac:dyDescent="0.3">
      <c r="A25">
        <v>46</v>
      </c>
      <c r="B25" t="s">
        <v>8</v>
      </c>
      <c r="C25" t="s">
        <v>23</v>
      </c>
      <c r="D25" t="s">
        <v>17</v>
      </c>
      <c r="E25" t="s">
        <v>11</v>
      </c>
      <c r="F25">
        <v>1309</v>
      </c>
      <c r="G25">
        <v>4</v>
      </c>
      <c r="H25" s="2">
        <v>45408</v>
      </c>
    </row>
    <row r="26" spans="1:8" x14ac:dyDescent="0.3">
      <c r="A26">
        <v>64</v>
      </c>
      <c r="B26" t="s">
        <v>12</v>
      </c>
      <c r="C26" t="s">
        <v>25</v>
      </c>
      <c r="D26" t="s">
        <v>16</v>
      </c>
      <c r="E26" t="s">
        <v>11</v>
      </c>
      <c r="F26">
        <v>760</v>
      </c>
      <c r="G26">
        <v>13</v>
      </c>
      <c r="H26" s="2">
        <v>45521</v>
      </c>
    </row>
    <row r="27" spans="1:8" x14ac:dyDescent="0.3">
      <c r="A27">
        <v>19</v>
      </c>
      <c r="B27" t="s">
        <v>8</v>
      </c>
      <c r="C27" t="s">
        <v>23</v>
      </c>
      <c r="D27" t="s">
        <v>20</v>
      </c>
      <c r="E27" t="s">
        <v>11</v>
      </c>
      <c r="F27">
        <v>667</v>
      </c>
      <c r="G27">
        <v>7</v>
      </c>
      <c r="H27" s="2">
        <v>45482</v>
      </c>
    </row>
    <row r="28" spans="1:8" x14ac:dyDescent="0.3">
      <c r="A28">
        <v>66</v>
      </c>
      <c r="B28" t="s">
        <v>8</v>
      </c>
      <c r="C28" t="s">
        <v>23</v>
      </c>
      <c r="D28" t="s">
        <v>16</v>
      </c>
      <c r="E28" t="s">
        <v>11</v>
      </c>
      <c r="F28">
        <v>961</v>
      </c>
      <c r="G28">
        <v>4</v>
      </c>
      <c r="H28" s="2">
        <v>44930</v>
      </c>
    </row>
    <row r="29" spans="1:8" x14ac:dyDescent="0.3">
      <c r="A29">
        <v>66</v>
      </c>
      <c r="B29" t="s">
        <v>12</v>
      </c>
      <c r="C29" t="s">
        <v>15</v>
      </c>
      <c r="D29" t="s">
        <v>14</v>
      </c>
      <c r="E29" t="s">
        <v>22</v>
      </c>
      <c r="F29">
        <v>1617</v>
      </c>
      <c r="G29">
        <v>15</v>
      </c>
      <c r="H29" s="2">
        <v>45069</v>
      </c>
    </row>
    <row r="30" spans="1:8" x14ac:dyDescent="0.3">
      <c r="A30">
        <v>51</v>
      </c>
      <c r="B30" t="s">
        <v>8</v>
      </c>
      <c r="C30" t="s">
        <v>9</v>
      </c>
      <c r="D30" t="s">
        <v>16</v>
      </c>
      <c r="E30" t="s">
        <v>11</v>
      </c>
      <c r="F30">
        <v>982</v>
      </c>
      <c r="G30">
        <v>19</v>
      </c>
      <c r="H30" s="2">
        <v>45487</v>
      </c>
    </row>
    <row r="31" spans="1:8" x14ac:dyDescent="0.3">
      <c r="A31">
        <v>66</v>
      </c>
      <c r="B31" t="s">
        <v>12</v>
      </c>
      <c r="C31" t="s">
        <v>9</v>
      </c>
      <c r="D31" t="s">
        <v>20</v>
      </c>
      <c r="E31" t="s">
        <v>22</v>
      </c>
      <c r="F31">
        <v>535</v>
      </c>
      <c r="G31">
        <v>9</v>
      </c>
      <c r="H31" s="2">
        <v>45035</v>
      </c>
    </row>
    <row r="32" spans="1:8" x14ac:dyDescent="0.3">
      <c r="A32">
        <v>55</v>
      </c>
      <c r="B32" t="s">
        <v>12</v>
      </c>
      <c r="C32" t="s">
        <v>15</v>
      </c>
      <c r="D32" t="s">
        <v>14</v>
      </c>
      <c r="E32" t="s">
        <v>11</v>
      </c>
      <c r="F32">
        <v>1492</v>
      </c>
      <c r="G32">
        <v>11</v>
      </c>
      <c r="H32" s="2">
        <v>45317</v>
      </c>
    </row>
    <row r="33" spans="1:8" x14ac:dyDescent="0.3">
      <c r="A33">
        <v>59</v>
      </c>
      <c r="B33" t="s">
        <v>8</v>
      </c>
      <c r="C33" t="s">
        <v>9</v>
      </c>
      <c r="D33" t="s">
        <v>16</v>
      </c>
      <c r="E33" t="s">
        <v>22</v>
      </c>
      <c r="F33">
        <v>808</v>
      </c>
      <c r="G33">
        <v>8</v>
      </c>
      <c r="H33" s="2">
        <v>45172</v>
      </c>
    </row>
    <row r="34" spans="1:8" x14ac:dyDescent="0.3">
      <c r="A34">
        <v>68</v>
      </c>
      <c r="B34" t="s">
        <v>12</v>
      </c>
      <c r="C34" t="s">
        <v>9</v>
      </c>
      <c r="D34" t="s">
        <v>17</v>
      </c>
      <c r="E34" t="s">
        <v>11</v>
      </c>
      <c r="F34">
        <v>1340</v>
      </c>
      <c r="G34">
        <v>1</v>
      </c>
      <c r="H34" s="2">
        <v>45060</v>
      </c>
    </row>
    <row r="35" spans="1:8" x14ac:dyDescent="0.3">
      <c r="A35">
        <v>7</v>
      </c>
      <c r="B35" t="s">
        <v>8</v>
      </c>
      <c r="C35" t="s">
        <v>25</v>
      </c>
      <c r="D35" t="s">
        <v>10</v>
      </c>
      <c r="E35" t="s">
        <v>11</v>
      </c>
      <c r="F35">
        <v>1041</v>
      </c>
      <c r="G35">
        <v>8</v>
      </c>
      <c r="H35" s="2">
        <v>45604</v>
      </c>
    </row>
    <row r="36" spans="1:8" x14ac:dyDescent="0.3">
      <c r="A36">
        <v>55</v>
      </c>
      <c r="B36" t="s">
        <v>8</v>
      </c>
      <c r="C36" t="s">
        <v>26</v>
      </c>
      <c r="D36" t="s">
        <v>14</v>
      </c>
      <c r="E36" t="s">
        <v>11</v>
      </c>
      <c r="F36">
        <v>1690</v>
      </c>
      <c r="G36">
        <v>13</v>
      </c>
      <c r="H36" s="2">
        <v>45346</v>
      </c>
    </row>
    <row r="37" spans="1:8" x14ac:dyDescent="0.3">
      <c r="A37">
        <v>11</v>
      </c>
      <c r="B37" t="s">
        <v>12</v>
      </c>
      <c r="C37" t="s">
        <v>19</v>
      </c>
      <c r="D37" t="s">
        <v>10</v>
      </c>
      <c r="E37" t="s">
        <v>18</v>
      </c>
      <c r="F37">
        <v>1136</v>
      </c>
      <c r="G37">
        <v>4</v>
      </c>
      <c r="H37" s="2">
        <v>45531</v>
      </c>
    </row>
    <row r="38" spans="1:8" x14ac:dyDescent="0.3">
      <c r="A38">
        <v>25</v>
      </c>
      <c r="B38" t="s">
        <v>8</v>
      </c>
      <c r="C38" t="s">
        <v>15</v>
      </c>
      <c r="D38" t="s">
        <v>14</v>
      </c>
      <c r="E38" t="s">
        <v>11</v>
      </c>
      <c r="F38">
        <v>1576</v>
      </c>
      <c r="G38">
        <v>8</v>
      </c>
      <c r="H38" s="2">
        <v>45597</v>
      </c>
    </row>
    <row r="39" spans="1:8" x14ac:dyDescent="0.3">
      <c r="A39">
        <v>77</v>
      </c>
      <c r="B39" t="s">
        <v>8</v>
      </c>
      <c r="C39" t="s">
        <v>15</v>
      </c>
      <c r="D39" t="s">
        <v>17</v>
      </c>
      <c r="E39" t="s">
        <v>18</v>
      </c>
      <c r="F39">
        <v>1240</v>
      </c>
      <c r="G39">
        <v>3</v>
      </c>
      <c r="H39" s="2">
        <v>45332</v>
      </c>
    </row>
    <row r="40" spans="1:8" x14ac:dyDescent="0.3">
      <c r="A40">
        <v>43</v>
      </c>
      <c r="B40" t="s">
        <v>12</v>
      </c>
      <c r="C40" t="s">
        <v>21</v>
      </c>
      <c r="D40" t="s">
        <v>10</v>
      </c>
      <c r="E40" t="s">
        <v>11</v>
      </c>
      <c r="F40">
        <v>1088</v>
      </c>
      <c r="G40">
        <v>9</v>
      </c>
      <c r="H40" s="2">
        <v>45003</v>
      </c>
    </row>
    <row r="41" spans="1:8" x14ac:dyDescent="0.3">
      <c r="A41">
        <v>22</v>
      </c>
      <c r="B41" t="s">
        <v>8</v>
      </c>
      <c r="C41" t="s">
        <v>21</v>
      </c>
      <c r="D41" t="s">
        <v>24</v>
      </c>
      <c r="E41" t="s">
        <v>11</v>
      </c>
      <c r="F41">
        <v>948</v>
      </c>
      <c r="G41">
        <v>2</v>
      </c>
      <c r="H41" s="2">
        <v>45215</v>
      </c>
    </row>
    <row r="42" spans="1:8" x14ac:dyDescent="0.3">
      <c r="A42">
        <v>8</v>
      </c>
      <c r="B42" t="s">
        <v>8</v>
      </c>
      <c r="C42" t="s">
        <v>15</v>
      </c>
      <c r="D42" t="s">
        <v>20</v>
      </c>
      <c r="E42" t="s">
        <v>11</v>
      </c>
      <c r="F42">
        <v>589</v>
      </c>
      <c r="G42">
        <v>2</v>
      </c>
      <c r="H42" s="2">
        <v>44934</v>
      </c>
    </row>
    <row r="43" spans="1:8" x14ac:dyDescent="0.3">
      <c r="A43">
        <v>64</v>
      </c>
      <c r="B43" t="s">
        <v>8</v>
      </c>
      <c r="C43" t="s">
        <v>23</v>
      </c>
      <c r="D43" t="s">
        <v>24</v>
      </c>
      <c r="E43" t="s">
        <v>11</v>
      </c>
      <c r="F43">
        <v>1035</v>
      </c>
      <c r="G43">
        <v>13</v>
      </c>
      <c r="H43" s="2">
        <v>45597</v>
      </c>
    </row>
    <row r="44" spans="1:8" x14ac:dyDescent="0.3">
      <c r="A44">
        <v>18</v>
      </c>
      <c r="B44" t="s">
        <v>8</v>
      </c>
      <c r="C44" t="s">
        <v>15</v>
      </c>
      <c r="D44" t="s">
        <v>16</v>
      </c>
      <c r="E44" t="s">
        <v>11</v>
      </c>
      <c r="F44">
        <v>742</v>
      </c>
      <c r="G44">
        <v>15</v>
      </c>
      <c r="H44" s="2">
        <v>45334</v>
      </c>
    </row>
    <row r="45" spans="1:8" x14ac:dyDescent="0.3">
      <c r="A45">
        <v>13</v>
      </c>
      <c r="B45" t="s">
        <v>12</v>
      </c>
      <c r="C45" t="s">
        <v>15</v>
      </c>
      <c r="D45" t="s">
        <v>17</v>
      </c>
      <c r="E45" t="s">
        <v>22</v>
      </c>
      <c r="F45">
        <v>1189</v>
      </c>
      <c r="G45">
        <v>12</v>
      </c>
      <c r="H45" s="2">
        <v>45481</v>
      </c>
    </row>
    <row r="46" spans="1:8" x14ac:dyDescent="0.3">
      <c r="A46">
        <v>57</v>
      </c>
      <c r="B46" t="s">
        <v>8</v>
      </c>
      <c r="C46" t="s">
        <v>15</v>
      </c>
      <c r="D46" t="s">
        <v>24</v>
      </c>
      <c r="E46" t="s">
        <v>22</v>
      </c>
      <c r="F46">
        <v>1194</v>
      </c>
      <c r="G46">
        <v>4</v>
      </c>
      <c r="H46" s="2">
        <v>45589</v>
      </c>
    </row>
    <row r="47" spans="1:8" x14ac:dyDescent="0.3">
      <c r="A47">
        <v>6</v>
      </c>
      <c r="B47" t="s">
        <v>8</v>
      </c>
      <c r="C47" t="s">
        <v>15</v>
      </c>
      <c r="D47" t="s">
        <v>14</v>
      </c>
      <c r="E47" t="s">
        <v>22</v>
      </c>
      <c r="F47">
        <v>1644</v>
      </c>
      <c r="G47">
        <v>8</v>
      </c>
      <c r="H47" s="2">
        <v>45338</v>
      </c>
    </row>
    <row r="48" spans="1:8" x14ac:dyDescent="0.3">
      <c r="A48">
        <v>64</v>
      </c>
      <c r="B48" t="s">
        <v>8</v>
      </c>
      <c r="C48" t="s">
        <v>26</v>
      </c>
      <c r="D48" t="s">
        <v>16</v>
      </c>
      <c r="E48" t="s">
        <v>18</v>
      </c>
      <c r="F48">
        <v>891</v>
      </c>
      <c r="G48">
        <v>9</v>
      </c>
      <c r="H48" s="2">
        <v>45461</v>
      </c>
    </row>
    <row r="49" spans="1:8" x14ac:dyDescent="0.3">
      <c r="A49">
        <v>75</v>
      </c>
      <c r="B49" t="s">
        <v>8</v>
      </c>
      <c r="C49" t="s">
        <v>23</v>
      </c>
      <c r="D49" t="s">
        <v>16</v>
      </c>
      <c r="E49" t="s">
        <v>11</v>
      </c>
      <c r="F49">
        <v>805</v>
      </c>
      <c r="G49">
        <v>5</v>
      </c>
      <c r="H49" s="2">
        <v>44989</v>
      </c>
    </row>
    <row r="50" spans="1:8" x14ac:dyDescent="0.3">
      <c r="A50">
        <v>48</v>
      </c>
      <c r="B50" t="s">
        <v>8</v>
      </c>
      <c r="C50" t="s">
        <v>9</v>
      </c>
      <c r="D50" t="s">
        <v>24</v>
      </c>
      <c r="E50" t="s">
        <v>11</v>
      </c>
      <c r="F50">
        <v>1132</v>
      </c>
      <c r="G50">
        <v>20</v>
      </c>
      <c r="H50" s="2">
        <v>45022</v>
      </c>
    </row>
    <row r="51" spans="1:8" x14ac:dyDescent="0.3">
      <c r="A51">
        <v>12</v>
      </c>
      <c r="B51" t="s">
        <v>12</v>
      </c>
      <c r="C51" t="s">
        <v>23</v>
      </c>
      <c r="D51" t="s">
        <v>24</v>
      </c>
      <c r="E51" t="s">
        <v>11</v>
      </c>
      <c r="F51">
        <v>1164</v>
      </c>
      <c r="G51">
        <v>18</v>
      </c>
      <c r="H51" s="2">
        <v>45242</v>
      </c>
    </row>
    <row r="52" spans="1:8" x14ac:dyDescent="0.3">
      <c r="A52">
        <v>51</v>
      </c>
      <c r="B52" t="s">
        <v>8</v>
      </c>
      <c r="C52" t="s">
        <v>21</v>
      </c>
      <c r="D52" t="s">
        <v>17</v>
      </c>
      <c r="E52" t="s">
        <v>18</v>
      </c>
      <c r="F52">
        <v>1136</v>
      </c>
      <c r="G52">
        <v>11</v>
      </c>
      <c r="H52" s="2">
        <v>45165</v>
      </c>
    </row>
    <row r="53" spans="1:8" x14ac:dyDescent="0.3">
      <c r="A53">
        <v>39</v>
      </c>
      <c r="B53" t="s">
        <v>8</v>
      </c>
      <c r="C53" t="s">
        <v>26</v>
      </c>
      <c r="D53" t="s">
        <v>20</v>
      </c>
      <c r="E53" t="s">
        <v>11</v>
      </c>
      <c r="F53">
        <v>440</v>
      </c>
      <c r="G53">
        <v>15</v>
      </c>
      <c r="H53" s="2">
        <v>44994</v>
      </c>
    </row>
    <row r="54" spans="1:8" x14ac:dyDescent="0.3">
      <c r="A54">
        <v>40</v>
      </c>
      <c r="B54" t="s">
        <v>8</v>
      </c>
      <c r="C54" t="s">
        <v>15</v>
      </c>
      <c r="D54" t="s">
        <v>24</v>
      </c>
      <c r="E54" t="s">
        <v>11</v>
      </c>
      <c r="F54">
        <v>916</v>
      </c>
      <c r="G54">
        <v>9</v>
      </c>
      <c r="H54" s="2">
        <v>45580</v>
      </c>
    </row>
    <row r="55" spans="1:8" x14ac:dyDescent="0.3">
      <c r="A55">
        <v>54</v>
      </c>
      <c r="B55" t="s">
        <v>8</v>
      </c>
      <c r="C55" t="s">
        <v>9</v>
      </c>
      <c r="D55" t="s">
        <v>24</v>
      </c>
      <c r="E55" t="s">
        <v>11</v>
      </c>
      <c r="F55">
        <v>1176</v>
      </c>
      <c r="G55">
        <v>17</v>
      </c>
      <c r="H55" s="2">
        <v>45459</v>
      </c>
    </row>
    <row r="56" spans="1:8" x14ac:dyDescent="0.3">
      <c r="A56">
        <v>8</v>
      </c>
      <c r="B56" t="s">
        <v>12</v>
      </c>
      <c r="C56" t="s">
        <v>15</v>
      </c>
      <c r="D56" t="s">
        <v>10</v>
      </c>
      <c r="E56" t="s">
        <v>11</v>
      </c>
      <c r="F56">
        <v>958</v>
      </c>
      <c r="G56">
        <v>12</v>
      </c>
      <c r="H56" s="2">
        <v>45315</v>
      </c>
    </row>
    <row r="57" spans="1:8" x14ac:dyDescent="0.3">
      <c r="A57">
        <v>6</v>
      </c>
      <c r="B57" t="s">
        <v>12</v>
      </c>
      <c r="C57" t="s">
        <v>15</v>
      </c>
      <c r="D57" t="s">
        <v>14</v>
      </c>
      <c r="E57" t="s">
        <v>22</v>
      </c>
      <c r="F57">
        <v>1582</v>
      </c>
      <c r="G57">
        <v>7</v>
      </c>
      <c r="H57" s="2">
        <v>45485</v>
      </c>
    </row>
    <row r="58" spans="1:8" x14ac:dyDescent="0.3">
      <c r="A58">
        <v>10</v>
      </c>
      <c r="B58" t="s">
        <v>12</v>
      </c>
      <c r="C58" t="s">
        <v>15</v>
      </c>
      <c r="D58" t="s">
        <v>10</v>
      </c>
      <c r="E58" t="s">
        <v>18</v>
      </c>
      <c r="F58">
        <v>940</v>
      </c>
      <c r="G58">
        <v>10</v>
      </c>
      <c r="H58" s="2">
        <v>45528</v>
      </c>
    </row>
    <row r="59" spans="1:8" x14ac:dyDescent="0.3">
      <c r="A59">
        <v>58</v>
      </c>
      <c r="B59" t="s">
        <v>12</v>
      </c>
      <c r="C59" t="s">
        <v>19</v>
      </c>
      <c r="D59" t="s">
        <v>10</v>
      </c>
      <c r="E59" t="s">
        <v>11</v>
      </c>
      <c r="F59">
        <v>938</v>
      </c>
      <c r="G59">
        <v>10</v>
      </c>
      <c r="H59" s="2">
        <v>45619</v>
      </c>
    </row>
    <row r="60" spans="1:8" x14ac:dyDescent="0.3">
      <c r="A60">
        <v>8</v>
      </c>
      <c r="B60" t="s">
        <v>8</v>
      </c>
      <c r="C60" t="s">
        <v>9</v>
      </c>
      <c r="D60" t="s">
        <v>16</v>
      </c>
      <c r="E60" t="s">
        <v>22</v>
      </c>
      <c r="F60">
        <v>891</v>
      </c>
      <c r="G60">
        <v>13</v>
      </c>
      <c r="H60" s="2">
        <v>45152</v>
      </c>
    </row>
    <row r="61" spans="1:8" x14ac:dyDescent="0.3">
      <c r="A61">
        <v>58</v>
      </c>
      <c r="B61" t="s">
        <v>8</v>
      </c>
      <c r="C61" t="s">
        <v>15</v>
      </c>
      <c r="D61" t="s">
        <v>20</v>
      </c>
      <c r="E61" t="s">
        <v>11</v>
      </c>
      <c r="F61">
        <v>666</v>
      </c>
      <c r="G61">
        <v>19</v>
      </c>
      <c r="H61" s="2">
        <v>45364</v>
      </c>
    </row>
    <row r="62" spans="1:8" x14ac:dyDescent="0.3">
      <c r="A62">
        <v>67</v>
      </c>
      <c r="B62" t="s">
        <v>8</v>
      </c>
      <c r="C62" t="s">
        <v>15</v>
      </c>
      <c r="D62" t="s">
        <v>14</v>
      </c>
      <c r="E62" t="s">
        <v>11</v>
      </c>
      <c r="F62">
        <v>1546</v>
      </c>
      <c r="G62">
        <v>11</v>
      </c>
      <c r="H62" s="2">
        <v>45590</v>
      </c>
    </row>
    <row r="63" spans="1:8" x14ac:dyDescent="0.3">
      <c r="A63">
        <v>22</v>
      </c>
      <c r="B63" t="s">
        <v>12</v>
      </c>
      <c r="C63" t="s">
        <v>9</v>
      </c>
      <c r="D63" t="s">
        <v>17</v>
      </c>
      <c r="E63" t="s">
        <v>11</v>
      </c>
      <c r="F63">
        <v>1226</v>
      </c>
      <c r="G63">
        <v>13</v>
      </c>
      <c r="H63" s="2">
        <v>45293</v>
      </c>
    </row>
    <row r="64" spans="1:8" x14ac:dyDescent="0.3">
      <c r="A64">
        <v>48</v>
      </c>
      <c r="B64" t="s">
        <v>8</v>
      </c>
      <c r="C64" t="s">
        <v>15</v>
      </c>
      <c r="D64" t="s">
        <v>17</v>
      </c>
      <c r="E64" t="s">
        <v>11</v>
      </c>
      <c r="F64">
        <v>1145</v>
      </c>
      <c r="G64">
        <v>8</v>
      </c>
      <c r="H64" s="2">
        <v>45538</v>
      </c>
    </row>
    <row r="65" spans="1:8" x14ac:dyDescent="0.3">
      <c r="A65">
        <v>38</v>
      </c>
      <c r="B65" t="s">
        <v>12</v>
      </c>
      <c r="C65" t="s">
        <v>9</v>
      </c>
      <c r="D65" t="s">
        <v>24</v>
      </c>
      <c r="E65" t="s">
        <v>11</v>
      </c>
      <c r="F65">
        <v>944</v>
      </c>
      <c r="G65">
        <v>8</v>
      </c>
      <c r="H65" s="2">
        <v>45103</v>
      </c>
    </row>
    <row r="66" spans="1:8" x14ac:dyDescent="0.3">
      <c r="A66">
        <v>78</v>
      </c>
      <c r="B66" t="s">
        <v>12</v>
      </c>
      <c r="C66" t="s">
        <v>15</v>
      </c>
      <c r="D66" t="s">
        <v>24</v>
      </c>
      <c r="E66" t="s">
        <v>22</v>
      </c>
      <c r="F66">
        <v>900</v>
      </c>
      <c r="G66">
        <v>4</v>
      </c>
      <c r="H66" s="2">
        <v>45254</v>
      </c>
    </row>
    <row r="67" spans="1:8" x14ac:dyDescent="0.3">
      <c r="A67">
        <v>66</v>
      </c>
      <c r="B67" t="s">
        <v>8</v>
      </c>
      <c r="C67" t="s">
        <v>15</v>
      </c>
      <c r="D67" t="s">
        <v>17</v>
      </c>
      <c r="E67" t="s">
        <v>11</v>
      </c>
      <c r="F67">
        <v>1267</v>
      </c>
      <c r="G67">
        <v>15</v>
      </c>
      <c r="H67" s="2">
        <v>45557</v>
      </c>
    </row>
    <row r="68" spans="1:8" x14ac:dyDescent="0.3">
      <c r="A68">
        <v>18</v>
      </c>
      <c r="B68" t="s">
        <v>8</v>
      </c>
      <c r="C68" t="s">
        <v>9</v>
      </c>
      <c r="D68" t="s">
        <v>24</v>
      </c>
      <c r="E68" t="s">
        <v>22</v>
      </c>
      <c r="F68">
        <v>1007</v>
      </c>
      <c r="G68">
        <v>11</v>
      </c>
      <c r="H68" s="2">
        <v>45117</v>
      </c>
    </row>
    <row r="69" spans="1:8" x14ac:dyDescent="0.3">
      <c r="A69">
        <v>52</v>
      </c>
      <c r="B69" t="s">
        <v>12</v>
      </c>
      <c r="C69" t="s">
        <v>19</v>
      </c>
      <c r="D69" t="s">
        <v>20</v>
      </c>
      <c r="E69" t="s">
        <v>11</v>
      </c>
      <c r="F69">
        <v>418</v>
      </c>
      <c r="G69">
        <v>11</v>
      </c>
      <c r="H69" s="2">
        <v>44935</v>
      </c>
    </row>
    <row r="70" spans="1:8" x14ac:dyDescent="0.3">
      <c r="A70">
        <v>19</v>
      </c>
      <c r="B70" t="s">
        <v>12</v>
      </c>
      <c r="C70" t="s">
        <v>15</v>
      </c>
      <c r="D70" t="s">
        <v>10</v>
      </c>
      <c r="E70" t="s">
        <v>11</v>
      </c>
      <c r="F70">
        <v>971</v>
      </c>
      <c r="G70">
        <v>1</v>
      </c>
      <c r="H70" s="2">
        <v>45652</v>
      </c>
    </row>
    <row r="71" spans="1:8" x14ac:dyDescent="0.3">
      <c r="A71">
        <v>76</v>
      </c>
      <c r="B71" t="s">
        <v>12</v>
      </c>
      <c r="C71" t="s">
        <v>15</v>
      </c>
      <c r="D71" t="s">
        <v>24</v>
      </c>
      <c r="E71" t="s">
        <v>11</v>
      </c>
      <c r="F71">
        <v>1008</v>
      </c>
      <c r="G71">
        <v>17</v>
      </c>
      <c r="H71" s="2">
        <v>45646</v>
      </c>
    </row>
    <row r="72" spans="1:8" x14ac:dyDescent="0.3">
      <c r="A72">
        <v>66</v>
      </c>
      <c r="B72" t="s">
        <v>12</v>
      </c>
      <c r="C72" t="s">
        <v>15</v>
      </c>
      <c r="D72" t="s">
        <v>16</v>
      </c>
      <c r="E72" t="s">
        <v>11</v>
      </c>
      <c r="F72">
        <v>967</v>
      </c>
      <c r="G72">
        <v>15</v>
      </c>
      <c r="H72" s="2">
        <v>45299</v>
      </c>
    </row>
    <row r="73" spans="1:8" x14ac:dyDescent="0.3">
      <c r="A73">
        <v>44</v>
      </c>
      <c r="B73" t="s">
        <v>8</v>
      </c>
      <c r="C73" t="s">
        <v>21</v>
      </c>
      <c r="D73" t="s">
        <v>24</v>
      </c>
      <c r="E73" t="s">
        <v>11</v>
      </c>
      <c r="F73">
        <v>1139</v>
      </c>
      <c r="G73">
        <v>20</v>
      </c>
      <c r="H73" s="2">
        <v>45453</v>
      </c>
    </row>
    <row r="74" spans="1:8" x14ac:dyDescent="0.3">
      <c r="A74">
        <v>57</v>
      </c>
      <c r="B74" t="s">
        <v>12</v>
      </c>
      <c r="C74" t="s">
        <v>9</v>
      </c>
      <c r="D74" t="s">
        <v>14</v>
      </c>
      <c r="E74" t="s">
        <v>22</v>
      </c>
      <c r="F74">
        <v>1489</v>
      </c>
      <c r="G74">
        <v>6</v>
      </c>
      <c r="H74" s="2">
        <v>45431</v>
      </c>
    </row>
    <row r="75" spans="1:8" x14ac:dyDescent="0.3">
      <c r="A75">
        <v>28</v>
      </c>
      <c r="B75" t="s">
        <v>8</v>
      </c>
      <c r="C75" t="s">
        <v>19</v>
      </c>
      <c r="D75" t="s">
        <v>20</v>
      </c>
      <c r="E75" t="s">
        <v>11</v>
      </c>
      <c r="F75">
        <v>502</v>
      </c>
      <c r="G75">
        <v>15</v>
      </c>
      <c r="H75" s="2">
        <v>45172</v>
      </c>
    </row>
    <row r="76" spans="1:8" x14ac:dyDescent="0.3">
      <c r="A76">
        <v>30</v>
      </c>
      <c r="B76" t="s">
        <v>12</v>
      </c>
      <c r="C76" t="s">
        <v>21</v>
      </c>
      <c r="D76" t="s">
        <v>14</v>
      </c>
      <c r="E76" t="s">
        <v>11</v>
      </c>
      <c r="F76">
        <v>1649</v>
      </c>
      <c r="G76">
        <v>9</v>
      </c>
      <c r="H76" s="2">
        <v>45346</v>
      </c>
    </row>
    <row r="77" spans="1:8" x14ac:dyDescent="0.3">
      <c r="A77">
        <v>64</v>
      </c>
      <c r="B77" t="s">
        <v>12</v>
      </c>
      <c r="C77" t="s">
        <v>15</v>
      </c>
      <c r="D77" t="s">
        <v>14</v>
      </c>
      <c r="E77" t="s">
        <v>11</v>
      </c>
      <c r="F77">
        <v>1407</v>
      </c>
      <c r="G77">
        <v>14</v>
      </c>
      <c r="H77" s="2">
        <v>45509</v>
      </c>
    </row>
    <row r="78" spans="1:8" x14ac:dyDescent="0.3">
      <c r="A78">
        <v>45</v>
      </c>
      <c r="B78" t="s">
        <v>12</v>
      </c>
      <c r="C78" t="s">
        <v>13</v>
      </c>
      <c r="D78" t="s">
        <v>16</v>
      </c>
      <c r="E78" t="s">
        <v>11</v>
      </c>
      <c r="F78">
        <v>852</v>
      </c>
      <c r="G78">
        <v>18</v>
      </c>
      <c r="H78" s="2">
        <v>45599</v>
      </c>
    </row>
    <row r="79" spans="1:8" x14ac:dyDescent="0.3">
      <c r="A79">
        <v>33</v>
      </c>
      <c r="B79" t="s">
        <v>12</v>
      </c>
      <c r="C79" t="s">
        <v>19</v>
      </c>
      <c r="D79" t="s">
        <v>20</v>
      </c>
      <c r="E79" t="s">
        <v>11</v>
      </c>
      <c r="F79">
        <v>573</v>
      </c>
      <c r="G79">
        <v>17</v>
      </c>
      <c r="H79" s="2">
        <v>45072</v>
      </c>
    </row>
    <row r="80" spans="1:8" x14ac:dyDescent="0.3">
      <c r="A80">
        <v>19</v>
      </c>
      <c r="B80" t="s">
        <v>12</v>
      </c>
      <c r="C80" t="s">
        <v>15</v>
      </c>
      <c r="D80" t="s">
        <v>20</v>
      </c>
      <c r="E80" t="s">
        <v>11</v>
      </c>
      <c r="F80">
        <v>557</v>
      </c>
      <c r="G80">
        <v>18</v>
      </c>
      <c r="H80" s="2">
        <v>45349</v>
      </c>
    </row>
    <row r="81" spans="1:8" x14ac:dyDescent="0.3">
      <c r="A81">
        <v>49</v>
      </c>
      <c r="B81" t="s">
        <v>12</v>
      </c>
      <c r="C81" t="s">
        <v>9</v>
      </c>
      <c r="D81" t="s">
        <v>20</v>
      </c>
      <c r="E81" t="s">
        <v>11</v>
      </c>
      <c r="F81">
        <v>614</v>
      </c>
      <c r="G81">
        <v>5</v>
      </c>
      <c r="H81" s="2">
        <v>45581</v>
      </c>
    </row>
    <row r="82" spans="1:8" x14ac:dyDescent="0.3">
      <c r="A82">
        <v>69</v>
      </c>
      <c r="B82" t="s">
        <v>8</v>
      </c>
      <c r="C82" t="s">
        <v>25</v>
      </c>
      <c r="D82" t="s">
        <v>20</v>
      </c>
      <c r="E82" t="s">
        <v>11</v>
      </c>
      <c r="F82">
        <v>576</v>
      </c>
      <c r="G82">
        <v>20</v>
      </c>
      <c r="H82" s="2">
        <v>45613</v>
      </c>
    </row>
    <row r="83" spans="1:8" x14ac:dyDescent="0.3">
      <c r="A83">
        <v>75</v>
      </c>
      <c r="B83" t="s">
        <v>12</v>
      </c>
      <c r="C83" t="s">
        <v>9</v>
      </c>
      <c r="D83" t="s">
        <v>20</v>
      </c>
      <c r="E83" t="s">
        <v>11</v>
      </c>
      <c r="F83">
        <v>574</v>
      </c>
      <c r="G83">
        <v>20</v>
      </c>
      <c r="H83" s="2">
        <v>45245</v>
      </c>
    </row>
    <row r="84" spans="1:8" x14ac:dyDescent="0.3">
      <c r="A84">
        <v>13</v>
      </c>
      <c r="B84" t="s">
        <v>8</v>
      </c>
      <c r="C84" t="s">
        <v>26</v>
      </c>
      <c r="D84" t="s">
        <v>16</v>
      </c>
      <c r="E84" t="s">
        <v>11</v>
      </c>
      <c r="F84">
        <v>845</v>
      </c>
      <c r="G84">
        <v>9</v>
      </c>
      <c r="H84" s="2">
        <v>45629</v>
      </c>
    </row>
    <row r="85" spans="1:8" x14ac:dyDescent="0.3">
      <c r="A85">
        <v>5</v>
      </c>
      <c r="B85" t="s">
        <v>12</v>
      </c>
      <c r="C85" t="s">
        <v>9</v>
      </c>
      <c r="D85" t="s">
        <v>24</v>
      </c>
      <c r="E85" t="s">
        <v>11</v>
      </c>
      <c r="F85">
        <v>1060</v>
      </c>
      <c r="G85">
        <v>11</v>
      </c>
      <c r="H85" s="2">
        <v>45455</v>
      </c>
    </row>
    <row r="86" spans="1:8" x14ac:dyDescent="0.3">
      <c r="A86">
        <v>12</v>
      </c>
      <c r="B86" t="s">
        <v>8</v>
      </c>
      <c r="C86" t="s">
        <v>23</v>
      </c>
      <c r="D86" t="s">
        <v>14</v>
      </c>
      <c r="E86" t="s">
        <v>11</v>
      </c>
      <c r="F86">
        <v>1526</v>
      </c>
      <c r="G86">
        <v>1</v>
      </c>
      <c r="H86" s="2">
        <v>45574</v>
      </c>
    </row>
    <row r="87" spans="1:8" x14ac:dyDescent="0.3">
      <c r="A87">
        <v>67</v>
      </c>
      <c r="B87" t="s">
        <v>8</v>
      </c>
      <c r="C87" t="s">
        <v>9</v>
      </c>
      <c r="D87" t="s">
        <v>20</v>
      </c>
      <c r="E87" t="s">
        <v>22</v>
      </c>
      <c r="F87">
        <v>481</v>
      </c>
      <c r="G87">
        <v>18</v>
      </c>
      <c r="H87" s="2">
        <v>45159</v>
      </c>
    </row>
    <row r="88" spans="1:8" x14ac:dyDescent="0.3">
      <c r="A88">
        <v>15</v>
      </c>
      <c r="B88" t="s">
        <v>8</v>
      </c>
      <c r="C88" t="s">
        <v>25</v>
      </c>
      <c r="D88" t="s">
        <v>24</v>
      </c>
      <c r="E88" t="s">
        <v>11</v>
      </c>
      <c r="F88">
        <v>1046</v>
      </c>
      <c r="G88">
        <v>6</v>
      </c>
      <c r="H88" s="2">
        <v>45394</v>
      </c>
    </row>
    <row r="89" spans="1:8" x14ac:dyDescent="0.3">
      <c r="A89">
        <v>12</v>
      </c>
      <c r="B89" t="s">
        <v>8</v>
      </c>
      <c r="C89" t="s">
        <v>19</v>
      </c>
      <c r="D89" t="s">
        <v>24</v>
      </c>
      <c r="E89" t="s">
        <v>11</v>
      </c>
      <c r="F89">
        <v>1138</v>
      </c>
      <c r="G89">
        <v>2</v>
      </c>
      <c r="H89" s="2">
        <v>45348</v>
      </c>
    </row>
    <row r="90" spans="1:8" x14ac:dyDescent="0.3">
      <c r="A90">
        <v>39</v>
      </c>
      <c r="B90" t="s">
        <v>12</v>
      </c>
      <c r="C90" t="s">
        <v>15</v>
      </c>
      <c r="D90" t="s">
        <v>14</v>
      </c>
      <c r="E90" t="s">
        <v>11</v>
      </c>
      <c r="F90">
        <v>1483</v>
      </c>
      <c r="G90">
        <v>15</v>
      </c>
      <c r="H90" s="2">
        <v>45641</v>
      </c>
    </row>
    <row r="91" spans="1:8" x14ac:dyDescent="0.3">
      <c r="A91">
        <v>39</v>
      </c>
      <c r="B91" t="s">
        <v>8</v>
      </c>
      <c r="C91" t="s">
        <v>15</v>
      </c>
      <c r="D91" t="s">
        <v>16</v>
      </c>
      <c r="E91" t="s">
        <v>22</v>
      </c>
      <c r="F91">
        <v>812</v>
      </c>
      <c r="G91">
        <v>14</v>
      </c>
      <c r="H91" s="2">
        <v>45232</v>
      </c>
    </row>
    <row r="92" spans="1:8" x14ac:dyDescent="0.3">
      <c r="A92">
        <v>37</v>
      </c>
      <c r="B92" t="s">
        <v>12</v>
      </c>
      <c r="C92" t="s">
        <v>15</v>
      </c>
      <c r="D92" t="s">
        <v>17</v>
      </c>
      <c r="E92" t="s">
        <v>11</v>
      </c>
      <c r="F92">
        <v>1324</v>
      </c>
      <c r="G92">
        <v>5</v>
      </c>
      <c r="H92" s="2">
        <v>45435</v>
      </c>
    </row>
    <row r="93" spans="1:8" x14ac:dyDescent="0.3">
      <c r="A93">
        <v>9</v>
      </c>
      <c r="B93" t="s">
        <v>8</v>
      </c>
      <c r="C93" t="s">
        <v>15</v>
      </c>
      <c r="D93" t="s">
        <v>17</v>
      </c>
      <c r="E93" t="s">
        <v>11</v>
      </c>
      <c r="F93">
        <v>1342</v>
      </c>
      <c r="G93">
        <v>6</v>
      </c>
      <c r="H93" s="2">
        <v>45644</v>
      </c>
    </row>
    <row r="94" spans="1:8" x14ac:dyDescent="0.3">
      <c r="A94">
        <v>45</v>
      </c>
      <c r="B94" t="s">
        <v>12</v>
      </c>
      <c r="C94" t="s">
        <v>15</v>
      </c>
      <c r="D94" t="s">
        <v>24</v>
      </c>
      <c r="E94" t="s">
        <v>18</v>
      </c>
      <c r="F94">
        <v>1042</v>
      </c>
      <c r="G94">
        <v>6</v>
      </c>
      <c r="H94" s="2">
        <v>45342</v>
      </c>
    </row>
    <row r="95" spans="1:8" x14ac:dyDescent="0.3">
      <c r="A95">
        <v>32</v>
      </c>
      <c r="B95" t="s">
        <v>12</v>
      </c>
      <c r="C95" t="s">
        <v>23</v>
      </c>
      <c r="D95" t="s">
        <v>10</v>
      </c>
      <c r="E95" t="s">
        <v>11</v>
      </c>
      <c r="F95">
        <v>940</v>
      </c>
      <c r="G95">
        <v>18</v>
      </c>
      <c r="H95" s="2">
        <v>44969</v>
      </c>
    </row>
    <row r="96" spans="1:8" x14ac:dyDescent="0.3">
      <c r="A96">
        <v>11</v>
      </c>
      <c r="B96" t="s">
        <v>8</v>
      </c>
      <c r="C96" t="s">
        <v>9</v>
      </c>
      <c r="D96" t="s">
        <v>10</v>
      </c>
      <c r="E96" t="s">
        <v>11</v>
      </c>
      <c r="F96">
        <v>1157</v>
      </c>
      <c r="G96">
        <v>14</v>
      </c>
      <c r="H96" s="2">
        <v>45100</v>
      </c>
    </row>
    <row r="97" spans="1:8" x14ac:dyDescent="0.3">
      <c r="A97">
        <v>77</v>
      </c>
      <c r="B97" t="s">
        <v>8</v>
      </c>
      <c r="C97" t="s">
        <v>23</v>
      </c>
      <c r="D97" t="s">
        <v>14</v>
      </c>
      <c r="E97" t="s">
        <v>11</v>
      </c>
      <c r="F97">
        <v>1684</v>
      </c>
      <c r="G97">
        <v>10</v>
      </c>
      <c r="H97" s="2">
        <v>45600</v>
      </c>
    </row>
    <row r="98" spans="1:8" x14ac:dyDescent="0.3">
      <c r="A98">
        <v>76</v>
      </c>
      <c r="B98" t="s">
        <v>8</v>
      </c>
      <c r="C98" t="s">
        <v>21</v>
      </c>
      <c r="D98" t="s">
        <v>17</v>
      </c>
      <c r="E98" t="s">
        <v>11</v>
      </c>
      <c r="F98">
        <v>1204</v>
      </c>
      <c r="G98">
        <v>14</v>
      </c>
      <c r="H98" s="2">
        <v>45222</v>
      </c>
    </row>
    <row r="99" spans="1:8" x14ac:dyDescent="0.3">
      <c r="A99">
        <v>16</v>
      </c>
      <c r="B99" t="s">
        <v>8</v>
      </c>
      <c r="C99" t="s">
        <v>19</v>
      </c>
      <c r="D99" t="s">
        <v>24</v>
      </c>
      <c r="E99" t="s">
        <v>22</v>
      </c>
      <c r="F99">
        <v>1101</v>
      </c>
      <c r="G99">
        <v>13</v>
      </c>
      <c r="H99" s="2">
        <v>45185</v>
      </c>
    </row>
    <row r="100" spans="1:8" x14ac:dyDescent="0.3">
      <c r="A100">
        <v>38</v>
      </c>
      <c r="B100" t="s">
        <v>8</v>
      </c>
      <c r="C100" t="s">
        <v>23</v>
      </c>
      <c r="D100" t="s">
        <v>16</v>
      </c>
      <c r="E100" t="s">
        <v>18</v>
      </c>
      <c r="F100">
        <v>965</v>
      </c>
      <c r="G100">
        <v>3</v>
      </c>
      <c r="H100" s="2">
        <v>45039</v>
      </c>
    </row>
    <row r="101" spans="1:8" x14ac:dyDescent="0.3">
      <c r="A101">
        <v>37</v>
      </c>
      <c r="B101" t="s">
        <v>12</v>
      </c>
      <c r="C101" t="s">
        <v>23</v>
      </c>
      <c r="D101" t="s">
        <v>17</v>
      </c>
      <c r="E101" t="s">
        <v>11</v>
      </c>
      <c r="F101">
        <v>1309</v>
      </c>
      <c r="G101">
        <v>6</v>
      </c>
      <c r="H101" s="2">
        <v>45459</v>
      </c>
    </row>
    <row r="102" spans="1:8" x14ac:dyDescent="0.3">
      <c r="A102">
        <v>52</v>
      </c>
      <c r="B102" t="s">
        <v>12</v>
      </c>
      <c r="C102" t="s">
        <v>9</v>
      </c>
      <c r="D102" t="s">
        <v>24</v>
      </c>
      <c r="E102" t="s">
        <v>11</v>
      </c>
      <c r="F102">
        <v>950</v>
      </c>
      <c r="G102">
        <v>8</v>
      </c>
      <c r="H102" s="2">
        <v>45474</v>
      </c>
    </row>
    <row r="103" spans="1:8" x14ac:dyDescent="0.3">
      <c r="A103">
        <v>27</v>
      </c>
      <c r="B103" t="s">
        <v>12</v>
      </c>
      <c r="C103" t="s">
        <v>15</v>
      </c>
      <c r="D103" t="s">
        <v>24</v>
      </c>
      <c r="E103" t="s">
        <v>11</v>
      </c>
      <c r="F103">
        <v>1017</v>
      </c>
      <c r="G103">
        <v>12</v>
      </c>
      <c r="H103" s="2">
        <v>45252</v>
      </c>
    </row>
    <row r="104" spans="1:8" x14ac:dyDescent="0.3">
      <c r="A104">
        <v>66</v>
      </c>
      <c r="B104" t="s">
        <v>12</v>
      </c>
      <c r="C104" t="s">
        <v>15</v>
      </c>
      <c r="D104" t="s">
        <v>20</v>
      </c>
      <c r="E104" t="s">
        <v>11</v>
      </c>
      <c r="F104">
        <v>600</v>
      </c>
      <c r="G104">
        <v>13</v>
      </c>
      <c r="H104" s="2">
        <v>45102</v>
      </c>
    </row>
    <row r="105" spans="1:8" x14ac:dyDescent="0.3">
      <c r="A105">
        <v>41</v>
      </c>
      <c r="B105" t="s">
        <v>8</v>
      </c>
      <c r="C105" t="s">
        <v>15</v>
      </c>
      <c r="D105" t="s">
        <v>16</v>
      </c>
      <c r="E105" t="s">
        <v>18</v>
      </c>
      <c r="F105">
        <v>738</v>
      </c>
      <c r="G105">
        <v>11</v>
      </c>
      <c r="H105" s="2">
        <v>45140</v>
      </c>
    </row>
    <row r="106" spans="1:8" x14ac:dyDescent="0.3">
      <c r="A106">
        <v>48</v>
      </c>
      <c r="B106" t="s">
        <v>12</v>
      </c>
      <c r="C106" t="s">
        <v>15</v>
      </c>
      <c r="D106" t="s">
        <v>20</v>
      </c>
      <c r="E106" t="s">
        <v>11</v>
      </c>
      <c r="F106">
        <v>427</v>
      </c>
      <c r="G106">
        <v>12</v>
      </c>
      <c r="H106" s="2">
        <v>45385</v>
      </c>
    </row>
    <row r="107" spans="1:8" x14ac:dyDescent="0.3">
      <c r="A107">
        <v>39</v>
      </c>
      <c r="B107" t="s">
        <v>8</v>
      </c>
      <c r="C107" t="s">
        <v>15</v>
      </c>
      <c r="D107" t="s">
        <v>14</v>
      </c>
      <c r="E107" t="s">
        <v>11</v>
      </c>
      <c r="F107">
        <v>1658</v>
      </c>
      <c r="G107">
        <v>1</v>
      </c>
      <c r="H107" s="2">
        <v>45652</v>
      </c>
    </row>
    <row r="108" spans="1:8" x14ac:dyDescent="0.3">
      <c r="A108">
        <v>69</v>
      </c>
      <c r="B108" t="s">
        <v>12</v>
      </c>
      <c r="C108" t="s">
        <v>13</v>
      </c>
      <c r="D108" t="s">
        <v>20</v>
      </c>
      <c r="E108" t="s">
        <v>18</v>
      </c>
      <c r="F108">
        <v>483</v>
      </c>
      <c r="G108">
        <v>17</v>
      </c>
      <c r="H108" s="2">
        <v>44947</v>
      </c>
    </row>
    <row r="109" spans="1:8" x14ac:dyDescent="0.3">
      <c r="A109">
        <v>51</v>
      </c>
      <c r="B109" t="s">
        <v>8</v>
      </c>
      <c r="C109" t="s">
        <v>23</v>
      </c>
      <c r="D109" t="s">
        <v>20</v>
      </c>
      <c r="E109" t="s">
        <v>11</v>
      </c>
      <c r="F109">
        <v>554</v>
      </c>
      <c r="G109">
        <v>16</v>
      </c>
      <c r="H109" s="2">
        <v>45132</v>
      </c>
    </row>
    <row r="110" spans="1:8" x14ac:dyDescent="0.3">
      <c r="A110">
        <v>7</v>
      </c>
      <c r="B110" t="s">
        <v>8</v>
      </c>
      <c r="C110" t="s">
        <v>15</v>
      </c>
      <c r="D110" t="s">
        <v>17</v>
      </c>
      <c r="E110" t="s">
        <v>11</v>
      </c>
      <c r="F110">
        <v>1216</v>
      </c>
      <c r="G110">
        <v>11</v>
      </c>
      <c r="H110" s="2">
        <v>45005</v>
      </c>
    </row>
    <row r="111" spans="1:8" x14ac:dyDescent="0.3">
      <c r="A111">
        <v>5</v>
      </c>
      <c r="B111" t="s">
        <v>12</v>
      </c>
      <c r="C111" t="s">
        <v>15</v>
      </c>
      <c r="D111" t="s">
        <v>10</v>
      </c>
      <c r="E111" t="s">
        <v>11</v>
      </c>
      <c r="F111">
        <v>901</v>
      </c>
      <c r="G111">
        <v>13</v>
      </c>
      <c r="H111" s="2">
        <v>45094</v>
      </c>
    </row>
    <row r="112" spans="1:8" x14ac:dyDescent="0.3">
      <c r="A112">
        <v>9</v>
      </c>
      <c r="B112" t="s">
        <v>12</v>
      </c>
      <c r="C112" t="s">
        <v>15</v>
      </c>
      <c r="D112" t="s">
        <v>24</v>
      </c>
      <c r="E112" t="s">
        <v>22</v>
      </c>
      <c r="F112">
        <v>992</v>
      </c>
      <c r="G112">
        <v>18</v>
      </c>
      <c r="H112" s="2">
        <v>45342</v>
      </c>
    </row>
    <row r="113" spans="1:8" x14ac:dyDescent="0.3">
      <c r="A113">
        <v>18</v>
      </c>
      <c r="B113" t="s">
        <v>12</v>
      </c>
      <c r="C113" t="s">
        <v>9</v>
      </c>
      <c r="D113" t="s">
        <v>16</v>
      </c>
      <c r="E113" t="s">
        <v>11</v>
      </c>
      <c r="F113">
        <v>865</v>
      </c>
      <c r="G113">
        <v>11</v>
      </c>
      <c r="H113" s="2">
        <v>45191</v>
      </c>
    </row>
    <row r="114" spans="1:8" x14ac:dyDescent="0.3">
      <c r="A114">
        <v>31</v>
      </c>
      <c r="B114" t="s">
        <v>12</v>
      </c>
      <c r="C114" t="s">
        <v>9</v>
      </c>
      <c r="D114" t="s">
        <v>20</v>
      </c>
      <c r="E114" t="s">
        <v>11</v>
      </c>
      <c r="F114">
        <v>695</v>
      </c>
      <c r="G114">
        <v>12</v>
      </c>
      <c r="H114" s="2">
        <v>45312</v>
      </c>
    </row>
    <row r="115" spans="1:8" x14ac:dyDescent="0.3">
      <c r="A115">
        <v>13</v>
      </c>
      <c r="B115" t="s">
        <v>12</v>
      </c>
      <c r="C115" t="s">
        <v>25</v>
      </c>
      <c r="D115" t="s">
        <v>16</v>
      </c>
      <c r="E115" t="s">
        <v>11</v>
      </c>
      <c r="F115">
        <v>957</v>
      </c>
      <c r="G115">
        <v>6</v>
      </c>
      <c r="H115" s="2">
        <v>45078</v>
      </c>
    </row>
    <row r="116" spans="1:8" x14ac:dyDescent="0.3">
      <c r="A116">
        <v>19</v>
      </c>
      <c r="B116" t="s">
        <v>12</v>
      </c>
      <c r="C116" t="s">
        <v>15</v>
      </c>
      <c r="D116" t="s">
        <v>10</v>
      </c>
      <c r="E116" t="s">
        <v>11</v>
      </c>
      <c r="F116">
        <v>980</v>
      </c>
      <c r="G116">
        <v>9</v>
      </c>
      <c r="H116" s="2">
        <v>45097</v>
      </c>
    </row>
    <row r="117" spans="1:8" x14ac:dyDescent="0.3">
      <c r="A117">
        <v>46</v>
      </c>
      <c r="B117" t="s">
        <v>12</v>
      </c>
      <c r="C117" t="s">
        <v>25</v>
      </c>
      <c r="D117" t="s">
        <v>10</v>
      </c>
      <c r="E117" t="s">
        <v>18</v>
      </c>
      <c r="F117">
        <v>1167</v>
      </c>
      <c r="G117">
        <v>16</v>
      </c>
      <c r="H117" s="2">
        <v>45052</v>
      </c>
    </row>
    <row r="118" spans="1:8" x14ac:dyDescent="0.3">
      <c r="A118">
        <v>55</v>
      </c>
      <c r="B118" t="s">
        <v>8</v>
      </c>
      <c r="C118" t="s">
        <v>26</v>
      </c>
      <c r="D118" t="s">
        <v>20</v>
      </c>
      <c r="E118" t="s">
        <v>18</v>
      </c>
      <c r="F118">
        <v>634</v>
      </c>
      <c r="G118">
        <v>4</v>
      </c>
      <c r="H118" s="2">
        <v>45061</v>
      </c>
    </row>
    <row r="119" spans="1:8" x14ac:dyDescent="0.3">
      <c r="A119">
        <v>67</v>
      </c>
      <c r="B119" t="s">
        <v>8</v>
      </c>
      <c r="C119" t="s">
        <v>15</v>
      </c>
      <c r="D119" t="s">
        <v>14</v>
      </c>
      <c r="E119" t="s">
        <v>11</v>
      </c>
      <c r="F119">
        <v>1612</v>
      </c>
      <c r="G119">
        <v>3</v>
      </c>
      <c r="H119" s="2">
        <v>44952</v>
      </c>
    </row>
    <row r="120" spans="1:8" x14ac:dyDescent="0.3">
      <c r="A120">
        <v>56</v>
      </c>
      <c r="B120" t="s">
        <v>8</v>
      </c>
      <c r="C120" t="s">
        <v>25</v>
      </c>
      <c r="D120" t="s">
        <v>20</v>
      </c>
      <c r="E120" t="s">
        <v>11</v>
      </c>
      <c r="F120">
        <v>461</v>
      </c>
      <c r="G120">
        <v>16</v>
      </c>
      <c r="H120" s="2">
        <v>45591</v>
      </c>
    </row>
    <row r="121" spans="1:8" x14ac:dyDescent="0.3">
      <c r="A121">
        <v>8</v>
      </c>
      <c r="B121" t="s">
        <v>12</v>
      </c>
      <c r="C121" t="s">
        <v>19</v>
      </c>
      <c r="D121" t="s">
        <v>17</v>
      </c>
      <c r="E121" t="s">
        <v>11</v>
      </c>
      <c r="F121">
        <v>1148</v>
      </c>
      <c r="G121">
        <v>12</v>
      </c>
      <c r="H121" s="2">
        <v>45274</v>
      </c>
    </row>
    <row r="122" spans="1:8" x14ac:dyDescent="0.3">
      <c r="A122">
        <v>27</v>
      </c>
      <c r="B122" t="s">
        <v>8</v>
      </c>
      <c r="C122" t="s">
        <v>9</v>
      </c>
      <c r="D122" t="s">
        <v>24</v>
      </c>
      <c r="E122" t="s">
        <v>11</v>
      </c>
      <c r="F122">
        <v>1026</v>
      </c>
      <c r="G122">
        <v>11</v>
      </c>
      <c r="H122" s="2">
        <v>45066</v>
      </c>
    </row>
    <row r="123" spans="1:8" x14ac:dyDescent="0.3">
      <c r="A123">
        <v>19</v>
      </c>
      <c r="B123" t="s">
        <v>12</v>
      </c>
      <c r="C123" t="s">
        <v>9</v>
      </c>
      <c r="D123" t="s">
        <v>14</v>
      </c>
      <c r="E123" t="s">
        <v>11</v>
      </c>
      <c r="F123">
        <v>1622</v>
      </c>
      <c r="G123">
        <v>5</v>
      </c>
      <c r="H123" s="2">
        <v>44972</v>
      </c>
    </row>
    <row r="124" spans="1:8" x14ac:dyDescent="0.3">
      <c r="A124">
        <v>47</v>
      </c>
      <c r="B124" t="s">
        <v>12</v>
      </c>
      <c r="C124" t="s">
        <v>25</v>
      </c>
      <c r="D124" t="s">
        <v>20</v>
      </c>
      <c r="E124" t="s">
        <v>18</v>
      </c>
      <c r="F124">
        <v>678</v>
      </c>
      <c r="G124">
        <v>18</v>
      </c>
      <c r="H124" s="2">
        <v>45487</v>
      </c>
    </row>
    <row r="125" spans="1:8" x14ac:dyDescent="0.3">
      <c r="A125">
        <v>33</v>
      </c>
      <c r="B125" t="s">
        <v>8</v>
      </c>
      <c r="C125" t="s">
        <v>19</v>
      </c>
      <c r="D125" t="s">
        <v>16</v>
      </c>
      <c r="E125" t="s">
        <v>11</v>
      </c>
      <c r="F125">
        <v>993</v>
      </c>
      <c r="G125">
        <v>19</v>
      </c>
      <c r="H125" s="2">
        <v>45376</v>
      </c>
    </row>
    <row r="126" spans="1:8" x14ac:dyDescent="0.3">
      <c r="A126">
        <v>40</v>
      </c>
      <c r="B126" t="s">
        <v>12</v>
      </c>
      <c r="C126" t="s">
        <v>25</v>
      </c>
      <c r="D126" t="s">
        <v>14</v>
      </c>
      <c r="E126" t="s">
        <v>11</v>
      </c>
      <c r="F126">
        <v>1683</v>
      </c>
      <c r="G126">
        <v>6</v>
      </c>
      <c r="H126" s="2">
        <v>45403</v>
      </c>
    </row>
    <row r="127" spans="1:8" x14ac:dyDescent="0.3">
      <c r="A127">
        <v>17</v>
      </c>
      <c r="B127" t="s">
        <v>8</v>
      </c>
      <c r="C127" t="s">
        <v>21</v>
      </c>
      <c r="D127" t="s">
        <v>14</v>
      </c>
      <c r="E127" t="s">
        <v>11</v>
      </c>
      <c r="F127">
        <v>1676</v>
      </c>
      <c r="G127">
        <v>18</v>
      </c>
      <c r="H127" s="2">
        <v>45375</v>
      </c>
    </row>
    <row r="128" spans="1:8" x14ac:dyDescent="0.3">
      <c r="A128">
        <v>36</v>
      </c>
      <c r="B128" t="s">
        <v>8</v>
      </c>
      <c r="C128" t="s">
        <v>19</v>
      </c>
      <c r="D128" t="s">
        <v>20</v>
      </c>
      <c r="E128" t="s">
        <v>18</v>
      </c>
      <c r="F128">
        <v>506</v>
      </c>
      <c r="G128">
        <v>6</v>
      </c>
      <c r="H128" s="2">
        <v>45010</v>
      </c>
    </row>
    <row r="129" spans="1:8" x14ac:dyDescent="0.3">
      <c r="A129">
        <v>75</v>
      </c>
      <c r="B129" t="s">
        <v>12</v>
      </c>
      <c r="C129" t="s">
        <v>26</v>
      </c>
      <c r="D129" t="s">
        <v>14</v>
      </c>
      <c r="E129" t="s">
        <v>18</v>
      </c>
      <c r="F129">
        <v>1545</v>
      </c>
      <c r="G129">
        <v>4</v>
      </c>
      <c r="H129" s="2">
        <v>45042</v>
      </c>
    </row>
    <row r="130" spans="1:8" x14ac:dyDescent="0.3">
      <c r="A130">
        <v>63</v>
      </c>
      <c r="B130" t="s">
        <v>12</v>
      </c>
      <c r="C130" t="s">
        <v>19</v>
      </c>
      <c r="D130" t="s">
        <v>16</v>
      </c>
      <c r="E130" t="s">
        <v>22</v>
      </c>
      <c r="F130">
        <v>798</v>
      </c>
      <c r="G130">
        <v>12</v>
      </c>
      <c r="H130" s="2">
        <v>45051</v>
      </c>
    </row>
    <row r="131" spans="1:8" x14ac:dyDescent="0.3">
      <c r="A131">
        <v>32</v>
      </c>
      <c r="B131" t="s">
        <v>12</v>
      </c>
      <c r="C131" t="s">
        <v>19</v>
      </c>
      <c r="D131" t="s">
        <v>10</v>
      </c>
      <c r="E131" t="s">
        <v>11</v>
      </c>
      <c r="F131">
        <v>972</v>
      </c>
      <c r="G131">
        <v>19</v>
      </c>
      <c r="H131" s="2">
        <v>45297</v>
      </c>
    </row>
    <row r="132" spans="1:8" x14ac:dyDescent="0.3">
      <c r="A132">
        <v>70</v>
      </c>
      <c r="B132" t="s">
        <v>8</v>
      </c>
      <c r="C132" t="s">
        <v>19</v>
      </c>
      <c r="D132" t="s">
        <v>14</v>
      </c>
      <c r="E132" t="s">
        <v>11</v>
      </c>
      <c r="F132">
        <v>1521</v>
      </c>
      <c r="G132">
        <v>2</v>
      </c>
      <c r="H132" s="2">
        <v>45033</v>
      </c>
    </row>
    <row r="133" spans="1:8" x14ac:dyDescent="0.3">
      <c r="A133">
        <v>46</v>
      </c>
      <c r="B133" t="s">
        <v>12</v>
      </c>
      <c r="C133" t="s">
        <v>15</v>
      </c>
      <c r="D133" t="s">
        <v>10</v>
      </c>
      <c r="E133" t="s">
        <v>18</v>
      </c>
      <c r="F133">
        <v>929</v>
      </c>
      <c r="G133">
        <v>17</v>
      </c>
      <c r="H133" s="2">
        <v>45271</v>
      </c>
    </row>
    <row r="134" spans="1:8" x14ac:dyDescent="0.3">
      <c r="A134">
        <v>49</v>
      </c>
      <c r="B134" t="s">
        <v>12</v>
      </c>
      <c r="C134" t="s">
        <v>23</v>
      </c>
      <c r="D134" t="s">
        <v>16</v>
      </c>
      <c r="E134" t="s">
        <v>11</v>
      </c>
      <c r="F134">
        <v>887</v>
      </c>
      <c r="G134">
        <v>11</v>
      </c>
      <c r="H134" s="2">
        <v>45642</v>
      </c>
    </row>
    <row r="135" spans="1:8" x14ac:dyDescent="0.3">
      <c r="A135">
        <v>66</v>
      </c>
      <c r="B135" t="s">
        <v>12</v>
      </c>
      <c r="C135" t="s">
        <v>9</v>
      </c>
      <c r="D135" t="s">
        <v>20</v>
      </c>
      <c r="E135" t="s">
        <v>11</v>
      </c>
      <c r="F135">
        <v>687</v>
      </c>
      <c r="G135">
        <v>11</v>
      </c>
      <c r="H135" s="2">
        <v>45608</v>
      </c>
    </row>
    <row r="136" spans="1:8" x14ac:dyDescent="0.3">
      <c r="A136">
        <v>61</v>
      </c>
      <c r="B136" t="s">
        <v>8</v>
      </c>
      <c r="C136" t="s">
        <v>9</v>
      </c>
      <c r="D136" t="s">
        <v>24</v>
      </c>
      <c r="E136" t="s">
        <v>18</v>
      </c>
      <c r="F136">
        <v>1094</v>
      </c>
      <c r="G136">
        <v>16</v>
      </c>
      <c r="H136" s="2">
        <v>45519</v>
      </c>
    </row>
    <row r="137" spans="1:8" x14ac:dyDescent="0.3">
      <c r="A137">
        <v>10</v>
      </c>
      <c r="B137" t="s">
        <v>12</v>
      </c>
      <c r="C137" t="s">
        <v>21</v>
      </c>
      <c r="D137" t="s">
        <v>14</v>
      </c>
      <c r="E137" t="s">
        <v>18</v>
      </c>
      <c r="F137">
        <v>1555</v>
      </c>
      <c r="G137">
        <v>2</v>
      </c>
      <c r="H137" s="2">
        <v>45222</v>
      </c>
    </row>
    <row r="138" spans="1:8" x14ac:dyDescent="0.3">
      <c r="A138">
        <v>32</v>
      </c>
      <c r="B138" t="s">
        <v>12</v>
      </c>
      <c r="C138" t="s">
        <v>15</v>
      </c>
      <c r="D138" t="s">
        <v>24</v>
      </c>
      <c r="E138" t="s">
        <v>11</v>
      </c>
      <c r="F138">
        <v>1071</v>
      </c>
      <c r="G138">
        <v>2</v>
      </c>
      <c r="H138" s="2">
        <v>45111</v>
      </c>
    </row>
    <row r="139" spans="1:8" x14ac:dyDescent="0.3">
      <c r="A139">
        <v>32</v>
      </c>
      <c r="B139" t="s">
        <v>8</v>
      </c>
      <c r="C139" t="s">
        <v>9</v>
      </c>
      <c r="D139" t="s">
        <v>16</v>
      </c>
      <c r="E139" t="s">
        <v>11</v>
      </c>
      <c r="F139">
        <v>740</v>
      </c>
      <c r="G139">
        <v>8</v>
      </c>
      <c r="H139" s="2">
        <v>45562</v>
      </c>
    </row>
    <row r="140" spans="1:8" x14ac:dyDescent="0.3">
      <c r="A140">
        <v>48</v>
      </c>
      <c r="B140" t="s">
        <v>8</v>
      </c>
      <c r="C140" t="s">
        <v>23</v>
      </c>
      <c r="D140" t="s">
        <v>14</v>
      </c>
      <c r="E140" t="s">
        <v>11</v>
      </c>
      <c r="F140">
        <v>1462</v>
      </c>
      <c r="G140">
        <v>13</v>
      </c>
      <c r="H140" s="2">
        <v>45064</v>
      </c>
    </row>
    <row r="141" spans="1:8" x14ac:dyDescent="0.3">
      <c r="A141">
        <v>34</v>
      </c>
      <c r="B141" t="s">
        <v>12</v>
      </c>
      <c r="C141" t="s">
        <v>25</v>
      </c>
      <c r="D141" t="s">
        <v>10</v>
      </c>
      <c r="E141" t="s">
        <v>11</v>
      </c>
      <c r="F141">
        <v>922</v>
      </c>
      <c r="G141">
        <v>10</v>
      </c>
      <c r="H141" s="2">
        <v>45586</v>
      </c>
    </row>
    <row r="142" spans="1:8" x14ac:dyDescent="0.3">
      <c r="A142">
        <v>66</v>
      </c>
      <c r="B142" t="s">
        <v>12</v>
      </c>
      <c r="C142" t="s">
        <v>9</v>
      </c>
      <c r="D142" t="s">
        <v>17</v>
      </c>
      <c r="E142" t="s">
        <v>11</v>
      </c>
      <c r="F142">
        <v>1174</v>
      </c>
      <c r="G142">
        <v>8</v>
      </c>
      <c r="H142" s="2">
        <v>45385</v>
      </c>
    </row>
    <row r="143" spans="1:8" x14ac:dyDescent="0.3">
      <c r="A143">
        <v>79</v>
      </c>
      <c r="B143" t="s">
        <v>12</v>
      </c>
      <c r="C143" t="s">
        <v>25</v>
      </c>
      <c r="D143" t="s">
        <v>24</v>
      </c>
      <c r="E143" t="s">
        <v>18</v>
      </c>
      <c r="F143">
        <v>947</v>
      </c>
      <c r="G143">
        <v>4</v>
      </c>
      <c r="H143" s="2">
        <v>45160</v>
      </c>
    </row>
    <row r="144" spans="1:8" x14ac:dyDescent="0.3">
      <c r="A144">
        <v>66</v>
      </c>
      <c r="B144" t="s">
        <v>8</v>
      </c>
      <c r="C144" t="s">
        <v>23</v>
      </c>
      <c r="D144" t="s">
        <v>14</v>
      </c>
      <c r="E144" t="s">
        <v>18</v>
      </c>
      <c r="F144">
        <v>1559</v>
      </c>
      <c r="G144">
        <v>15</v>
      </c>
      <c r="H144" s="2">
        <v>45543</v>
      </c>
    </row>
    <row r="145" spans="1:8" x14ac:dyDescent="0.3">
      <c r="A145">
        <v>5</v>
      </c>
      <c r="B145" t="s">
        <v>12</v>
      </c>
      <c r="C145" t="s">
        <v>15</v>
      </c>
      <c r="D145" t="s">
        <v>24</v>
      </c>
      <c r="E145" t="s">
        <v>18</v>
      </c>
      <c r="F145">
        <v>1017</v>
      </c>
      <c r="G145">
        <v>1</v>
      </c>
      <c r="H145" s="2">
        <v>45496</v>
      </c>
    </row>
    <row r="146" spans="1:8" x14ac:dyDescent="0.3">
      <c r="A146">
        <v>31</v>
      </c>
      <c r="B146" t="s">
        <v>8</v>
      </c>
      <c r="C146" t="s">
        <v>15</v>
      </c>
      <c r="D146" t="s">
        <v>14</v>
      </c>
      <c r="E146" t="s">
        <v>11</v>
      </c>
      <c r="F146">
        <v>1499</v>
      </c>
      <c r="G146">
        <v>11</v>
      </c>
      <c r="H146" s="2">
        <v>45476</v>
      </c>
    </row>
    <row r="147" spans="1:8" x14ac:dyDescent="0.3">
      <c r="A147">
        <v>66</v>
      </c>
      <c r="B147" t="s">
        <v>8</v>
      </c>
      <c r="C147" t="s">
        <v>19</v>
      </c>
      <c r="D147" t="s">
        <v>20</v>
      </c>
      <c r="E147" t="s">
        <v>18</v>
      </c>
      <c r="F147">
        <v>566</v>
      </c>
      <c r="G147">
        <v>7</v>
      </c>
      <c r="H147" s="2">
        <v>45054</v>
      </c>
    </row>
    <row r="148" spans="1:8" x14ac:dyDescent="0.3">
      <c r="A148">
        <v>7</v>
      </c>
      <c r="B148" t="s">
        <v>8</v>
      </c>
      <c r="C148" t="s">
        <v>15</v>
      </c>
      <c r="D148" t="s">
        <v>10</v>
      </c>
      <c r="E148" t="s">
        <v>18</v>
      </c>
      <c r="F148">
        <v>1189</v>
      </c>
      <c r="G148">
        <v>17</v>
      </c>
      <c r="H148" s="2">
        <v>45400</v>
      </c>
    </row>
    <row r="149" spans="1:8" x14ac:dyDescent="0.3">
      <c r="A149">
        <v>74</v>
      </c>
      <c r="B149" t="s">
        <v>12</v>
      </c>
      <c r="C149" t="s">
        <v>15</v>
      </c>
      <c r="D149" t="s">
        <v>24</v>
      </c>
      <c r="E149" t="s">
        <v>11</v>
      </c>
      <c r="F149">
        <v>1055</v>
      </c>
      <c r="G149">
        <v>20</v>
      </c>
      <c r="H149" s="2">
        <v>45575</v>
      </c>
    </row>
    <row r="150" spans="1:8" x14ac:dyDescent="0.3">
      <c r="A150">
        <v>76</v>
      </c>
      <c r="B150" t="s">
        <v>8</v>
      </c>
      <c r="C150" t="s">
        <v>19</v>
      </c>
      <c r="D150" t="s">
        <v>17</v>
      </c>
      <c r="E150" t="s">
        <v>18</v>
      </c>
      <c r="F150">
        <v>1106</v>
      </c>
      <c r="G150">
        <v>18</v>
      </c>
      <c r="H150" s="2">
        <v>45316</v>
      </c>
    </row>
    <row r="151" spans="1:8" x14ac:dyDescent="0.3">
      <c r="A151">
        <v>31</v>
      </c>
      <c r="B151" t="s">
        <v>8</v>
      </c>
      <c r="C151" t="s">
        <v>15</v>
      </c>
      <c r="D151" t="s">
        <v>17</v>
      </c>
      <c r="E151" t="s">
        <v>18</v>
      </c>
      <c r="F151">
        <v>1295</v>
      </c>
      <c r="G151">
        <v>12</v>
      </c>
      <c r="H151" s="2">
        <v>45585</v>
      </c>
    </row>
    <row r="152" spans="1:8" x14ac:dyDescent="0.3">
      <c r="A152">
        <v>13</v>
      </c>
      <c r="B152" t="s">
        <v>8</v>
      </c>
      <c r="C152" t="s">
        <v>9</v>
      </c>
      <c r="D152" t="s">
        <v>16</v>
      </c>
      <c r="E152" t="s">
        <v>11</v>
      </c>
      <c r="F152">
        <v>755</v>
      </c>
      <c r="G152">
        <v>9</v>
      </c>
      <c r="H152" s="2">
        <v>45582</v>
      </c>
    </row>
    <row r="153" spans="1:8" x14ac:dyDescent="0.3">
      <c r="A153">
        <v>66</v>
      </c>
      <c r="B153" t="s">
        <v>12</v>
      </c>
      <c r="C153" t="s">
        <v>9</v>
      </c>
      <c r="D153" t="s">
        <v>14</v>
      </c>
      <c r="E153" t="s">
        <v>11</v>
      </c>
      <c r="F153">
        <v>1592</v>
      </c>
      <c r="G153">
        <v>5</v>
      </c>
      <c r="H153" s="2">
        <v>45481</v>
      </c>
    </row>
    <row r="154" spans="1:8" x14ac:dyDescent="0.3">
      <c r="A154">
        <v>41</v>
      </c>
      <c r="B154" t="s">
        <v>8</v>
      </c>
      <c r="C154" t="s">
        <v>19</v>
      </c>
      <c r="D154" t="s">
        <v>24</v>
      </c>
      <c r="E154" t="s">
        <v>11</v>
      </c>
      <c r="F154">
        <v>946</v>
      </c>
      <c r="G154">
        <v>10</v>
      </c>
      <c r="H154" s="2">
        <v>45314</v>
      </c>
    </row>
    <row r="155" spans="1:8" x14ac:dyDescent="0.3">
      <c r="A155">
        <v>55</v>
      </c>
      <c r="B155" t="s">
        <v>12</v>
      </c>
      <c r="C155" t="s">
        <v>9</v>
      </c>
      <c r="D155" t="s">
        <v>16</v>
      </c>
      <c r="E155" t="s">
        <v>11</v>
      </c>
      <c r="F155">
        <v>847</v>
      </c>
      <c r="G155">
        <v>4</v>
      </c>
      <c r="H155" s="2">
        <v>44937</v>
      </c>
    </row>
    <row r="156" spans="1:8" x14ac:dyDescent="0.3">
      <c r="A156">
        <v>48</v>
      </c>
      <c r="B156" t="s">
        <v>12</v>
      </c>
      <c r="C156" t="s">
        <v>23</v>
      </c>
      <c r="D156" t="s">
        <v>24</v>
      </c>
      <c r="E156" t="s">
        <v>11</v>
      </c>
      <c r="F156">
        <v>1174</v>
      </c>
      <c r="G156">
        <v>5</v>
      </c>
      <c r="H156" s="2">
        <v>45051</v>
      </c>
    </row>
    <row r="157" spans="1:8" x14ac:dyDescent="0.3">
      <c r="A157">
        <v>28</v>
      </c>
      <c r="B157" t="s">
        <v>12</v>
      </c>
      <c r="C157" t="s">
        <v>15</v>
      </c>
      <c r="D157" t="s">
        <v>14</v>
      </c>
      <c r="E157" t="s">
        <v>18</v>
      </c>
      <c r="F157">
        <v>1556</v>
      </c>
      <c r="G157">
        <v>10</v>
      </c>
      <c r="H157" s="2">
        <v>45561</v>
      </c>
    </row>
    <row r="158" spans="1:8" x14ac:dyDescent="0.3">
      <c r="A158">
        <v>63</v>
      </c>
      <c r="B158" t="s">
        <v>8</v>
      </c>
      <c r="C158" t="s">
        <v>23</v>
      </c>
      <c r="D158" t="s">
        <v>17</v>
      </c>
      <c r="E158" t="s">
        <v>11</v>
      </c>
      <c r="F158">
        <v>1301</v>
      </c>
      <c r="G158">
        <v>11</v>
      </c>
      <c r="H158" s="2">
        <v>45090</v>
      </c>
    </row>
    <row r="159" spans="1:8" x14ac:dyDescent="0.3">
      <c r="A159">
        <v>36</v>
      </c>
      <c r="B159" t="s">
        <v>12</v>
      </c>
      <c r="C159" t="s">
        <v>9</v>
      </c>
      <c r="D159" t="s">
        <v>20</v>
      </c>
      <c r="E159" t="s">
        <v>11</v>
      </c>
      <c r="F159">
        <v>525</v>
      </c>
      <c r="G159">
        <v>10</v>
      </c>
      <c r="H159" s="2">
        <v>45006</v>
      </c>
    </row>
    <row r="160" spans="1:8" x14ac:dyDescent="0.3">
      <c r="A160">
        <v>56</v>
      </c>
      <c r="B160" t="s">
        <v>12</v>
      </c>
      <c r="C160" t="s">
        <v>13</v>
      </c>
      <c r="D160" t="s">
        <v>17</v>
      </c>
      <c r="E160" t="s">
        <v>11</v>
      </c>
      <c r="F160">
        <v>1393</v>
      </c>
      <c r="G160">
        <v>8</v>
      </c>
      <c r="H160" s="2">
        <v>45374</v>
      </c>
    </row>
    <row r="161" spans="1:8" x14ac:dyDescent="0.3">
      <c r="A161">
        <v>66</v>
      </c>
      <c r="B161" t="s">
        <v>12</v>
      </c>
      <c r="C161" t="s">
        <v>9</v>
      </c>
      <c r="D161" t="s">
        <v>16</v>
      </c>
      <c r="E161" t="s">
        <v>11</v>
      </c>
      <c r="F161">
        <v>763</v>
      </c>
      <c r="G161">
        <v>2</v>
      </c>
      <c r="H161" s="2">
        <v>45112</v>
      </c>
    </row>
    <row r="162" spans="1:8" x14ac:dyDescent="0.3">
      <c r="A162">
        <v>62</v>
      </c>
      <c r="B162" t="s">
        <v>12</v>
      </c>
      <c r="C162" t="s">
        <v>26</v>
      </c>
      <c r="D162" t="s">
        <v>10</v>
      </c>
      <c r="E162" t="s">
        <v>11</v>
      </c>
      <c r="F162">
        <v>1075</v>
      </c>
      <c r="G162">
        <v>8</v>
      </c>
      <c r="H162" s="2">
        <v>45467</v>
      </c>
    </row>
    <row r="163" spans="1:8" x14ac:dyDescent="0.3">
      <c r="A163">
        <v>56</v>
      </c>
      <c r="B163" t="s">
        <v>8</v>
      </c>
      <c r="C163" t="s">
        <v>19</v>
      </c>
      <c r="D163" t="s">
        <v>20</v>
      </c>
      <c r="E163" t="s">
        <v>11</v>
      </c>
      <c r="F163">
        <v>515</v>
      </c>
      <c r="G163">
        <v>16</v>
      </c>
      <c r="H163" s="2">
        <v>45562</v>
      </c>
    </row>
    <row r="164" spans="1:8" x14ac:dyDescent="0.3">
      <c r="A164">
        <v>16</v>
      </c>
      <c r="B164" t="s">
        <v>8</v>
      </c>
      <c r="C164" t="s">
        <v>15</v>
      </c>
      <c r="D164" t="s">
        <v>16</v>
      </c>
      <c r="E164" t="s">
        <v>11</v>
      </c>
      <c r="F164">
        <v>903</v>
      </c>
      <c r="G164">
        <v>5</v>
      </c>
      <c r="H164" s="2">
        <v>45456</v>
      </c>
    </row>
    <row r="165" spans="1:8" x14ac:dyDescent="0.3">
      <c r="A165">
        <v>43</v>
      </c>
      <c r="B165" t="s">
        <v>12</v>
      </c>
      <c r="C165" t="s">
        <v>25</v>
      </c>
      <c r="D165" t="s">
        <v>14</v>
      </c>
      <c r="E165" t="s">
        <v>11</v>
      </c>
      <c r="F165">
        <v>1430</v>
      </c>
      <c r="G165">
        <v>3</v>
      </c>
      <c r="H165" s="2">
        <v>45418</v>
      </c>
    </row>
    <row r="166" spans="1:8" x14ac:dyDescent="0.3">
      <c r="A166">
        <v>6</v>
      </c>
      <c r="B166" t="s">
        <v>12</v>
      </c>
      <c r="C166" t="s">
        <v>15</v>
      </c>
      <c r="D166" t="s">
        <v>20</v>
      </c>
      <c r="E166" t="s">
        <v>11</v>
      </c>
      <c r="F166">
        <v>512</v>
      </c>
      <c r="G166">
        <v>12</v>
      </c>
      <c r="H166" s="2">
        <v>45570</v>
      </c>
    </row>
    <row r="167" spans="1:8" x14ac:dyDescent="0.3">
      <c r="A167">
        <v>7</v>
      </c>
      <c r="B167" t="s">
        <v>8</v>
      </c>
      <c r="C167" t="s">
        <v>15</v>
      </c>
      <c r="D167" t="s">
        <v>16</v>
      </c>
      <c r="E167" t="s">
        <v>11</v>
      </c>
      <c r="F167">
        <v>766</v>
      </c>
      <c r="G167">
        <v>13</v>
      </c>
      <c r="H167" s="2">
        <v>45116</v>
      </c>
    </row>
    <row r="168" spans="1:8" x14ac:dyDescent="0.3">
      <c r="A168">
        <v>60</v>
      </c>
      <c r="B168" t="s">
        <v>12</v>
      </c>
      <c r="C168" t="s">
        <v>15</v>
      </c>
      <c r="D168" t="s">
        <v>14</v>
      </c>
      <c r="E168" t="s">
        <v>18</v>
      </c>
      <c r="F168">
        <v>1474</v>
      </c>
      <c r="G168">
        <v>13</v>
      </c>
      <c r="H168" s="2">
        <v>45318</v>
      </c>
    </row>
    <row r="169" spans="1:8" x14ac:dyDescent="0.3">
      <c r="A169">
        <v>63</v>
      </c>
      <c r="B169" t="s">
        <v>12</v>
      </c>
      <c r="C169" t="s">
        <v>9</v>
      </c>
      <c r="D169" t="s">
        <v>17</v>
      </c>
      <c r="E169" t="s">
        <v>11</v>
      </c>
      <c r="F169">
        <v>1144</v>
      </c>
      <c r="G169">
        <v>10</v>
      </c>
      <c r="H169" s="2">
        <v>45276</v>
      </c>
    </row>
    <row r="170" spans="1:8" x14ac:dyDescent="0.3">
      <c r="A170">
        <v>6</v>
      </c>
      <c r="B170" t="s">
        <v>8</v>
      </c>
      <c r="C170" t="s">
        <v>9</v>
      </c>
      <c r="D170" t="s">
        <v>10</v>
      </c>
      <c r="E170" t="s">
        <v>18</v>
      </c>
      <c r="F170">
        <v>1159</v>
      </c>
      <c r="G170">
        <v>4</v>
      </c>
      <c r="H170" s="2">
        <v>45475</v>
      </c>
    </row>
    <row r="171" spans="1:8" x14ac:dyDescent="0.3">
      <c r="A171">
        <v>6</v>
      </c>
      <c r="B171" t="s">
        <v>8</v>
      </c>
      <c r="C171" t="s">
        <v>9</v>
      </c>
      <c r="D171" t="s">
        <v>14</v>
      </c>
      <c r="E171" t="s">
        <v>11</v>
      </c>
      <c r="F171">
        <v>1553</v>
      </c>
      <c r="G171">
        <v>9</v>
      </c>
      <c r="H171" s="2">
        <v>45352</v>
      </c>
    </row>
    <row r="172" spans="1:8" x14ac:dyDescent="0.3">
      <c r="A172">
        <v>58</v>
      </c>
      <c r="B172" t="s">
        <v>12</v>
      </c>
      <c r="C172" t="s">
        <v>13</v>
      </c>
      <c r="D172" t="s">
        <v>24</v>
      </c>
      <c r="E172" t="s">
        <v>11</v>
      </c>
      <c r="F172">
        <v>1054</v>
      </c>
      <c r="G172">
        <v>2</v>
      </c>
      <c r="H172" s="2">
        <v>45543</v>
      </c>
    </row>
    <row r="173" spans="1:8" x14ac:dyDescent="0.3">
      <c r="A173">
        <v>5</v>
      </c>
      <c r="B173" t="s">
        <v>8</v>
      </c>
      <c r="C173" t="s">
        <v>15</v>
      </c>
      <c r="D173" t="s">
        <v>14</v>
      </c>
      <c r="E173" t="s">
        <v>18</v>
      </c>
      <c r="F173">
        <v>1633</v>
      </c>
      <c r="G173">
        <v>19</v>
      </c>
      <c r="H173" s="2">
        <v>45096</v>
      </c>
    </row>
    <row r="174" spans="1:8" x14ac:dyDescent="0.3">
      <c r="A174">
        <v>23</v>
      </c>
      <c r="B174" t="s">
        <v>12</v>
      </c>
      <c r="C174" t="s">
        <v>15</v>
      </c>
      <c r="D174" t="s">
        <v>14</v>
      </c>
      <c r="E174" t="s">
        <v>11</v>
      </c>
      <c r="F174">
        <v>1450</v>
      </c>
      <c r="G174">
        <v>1</v>
      </c>
      <c r="H174" s="2">
        <v>45546</v>
      </c>
    </row>
    <row r="175" spans="1:8" x14ac:dyDescent="0.3">
      <c r="A175">
        <v>6</v>
      </c>
      <c r="B175" t="s">
        <v>8</v>
      </c>
      <c r="C175" t="s">
        <v>15</v>
      </c>
      <c r="D175" t="s">
        <v>10</v>
      </c>
      <c r="E175" t="s">
        <v>11</v>
      </c>
      <c r="F175">
        <v>1161</v>
      </c>
      <c r="G175">
        <v>7</v>
      </c>
      <c r="H175" s="2">
        <v>45424</v>
      </c>
    </row>
    <row r="176" spans="1:8" x14ac:dyDescent="0.3">
      <c r="A176">
        <v>57</v>
      </c>
      <c r="B176" t="s">
        <v>12</v>
      </c>
      <c r="C176" t="s">
        <v>15</v>
      </c>
      <c r="D176" t="s">
        <v>24</v>
      </c>
      <c r="E176" t="s">
        <v>11</v>
      </c>
      <c r="F176">
        <v>1024</v>
      </c>
      <c r="G176">
        <v>17</v>
      </c>
      <c r="H176" s="2">
        <v>45485</v>
      </c>
    </row>
    <row r="177" spans="1:8" x14ac:dyDescent="0.3">
      <c r="A177">
        <v>48</v>
      </c>
      <c r="B177" t="s">
        <v>12</v>
      </c>
      <c r="C177" t="s">
        <v>9</v>
      </c>
      <c r="D177" t="s">
        <v>16</v>
      </c>
      <c r="E177" t="s">
        <v>11</v>
      </c>
      <c r="F177">
        <v>944</v>
      </c>
      <c r="G177">
        <v>3</v>
      </c>
      <c r="H177" s="2">
        <v>45389</v>
      </c>
    </row>
    <row r="178" spans="1:8" x14ac:dyDescent="0.3">
      <c r="A178">
        <v>36</v>
      </c>
      <c r="B178" t="s">
        <v>12</v>
      </c>
      <c r="C178" t="s">
        <v>23</v>
      </c>
      <c r="D178" t="s">
        <v>16</v>
      </c>
      <c r="E178" t="s">
        <v>11</v>
      </c>
      <c r="F178">
        <v>729</v>
      </c>
      <c r="G178">
        <v>20</v>
      </c>
      <c r="H178" s="2">
        <v>45133</v>
      </c>
    </row>
    <row r="179" spans="1:8" x14ac:dyDescent="0.3">
      <c r="A179">
        <v>74</v>
      </c>
      <c r="B179" t="s">
        <v>8</v>
      </c>
      <c r="C179" t="s">
        <v>9</v>
      </c>
      <c r="D179" t="s">
        <v>14</v>
      </c>
      <c r="E179" t="s">
        <v>11</v>
      </c>
      <c r="F179">
        <v>1521</v>
      </c>
      <c r="G179">
        <v>20</v>
      </c>
      <c r="H179" s="2">
        <v>45304</v>
      </c>
    </row>
    <row r="180" spans="1:8" x14ac:dyDescent="0.3">
      <c r="A180">
        <v>36</v>
      </c>
      <c r="B180" t="s">
        <v>8</v>
      </c>
      <c r="C180" t="s">
        <v>15</v>
      </c>
      <c r="D180" t="s">
        <v>24</v>
      </c>
      <c r="E180" t="s">
        <v>11</v>
      </c>
      <c r="F180">
        <v>1024</v>
      </c>
      <c r="G180">
        <v>3</v>
      </c>
      <c r="H180" s="2">
        <v>45134</v>
      </c>
    </row>
    <row r="181" spans="1:8" x14ac:dyDescent="0.3">
      <c r="A181">
        <v>72</v>
      </c>
      <c r="B181" t="s">
        <v>12</v>
      </c>
      <c r="C181" t="s">
        <v>9</v>
      </c>
      <c r="D181" t="s">
        <v>24</v>
      </c>
      <c r="E181" t="s">
        <v>11</v>
      </c>
      <c r="F181">
        <v>936</v>
      </c>
      <c r="G181">
        <v>3</v>
      </c>
      <c r="H181" s="2">
        <v>45512</v>
      </c>
    </row>
    <row r="182" spans="1:8" x14ac:dyDescent="0.3">
      <c r="A182">
        <v>59</v>
      </c>
      <c r="B182" t="s">
        <v>12</v>
      </c>
      <c r="C182" t="s">
        <v>15</v>
      </c>
      <c r="D182" t="s">
        <v>10</v>
      </c>
      <c r="E182" t="s">
        <v>11</v>
      </c>
      <c r="F182">
        <v>1069</v>
      </c>
      <c r="G182">
        <v>17</v>
      </c>
      <c r="H182" s="2">
        <v>45068</v>
      </c>
    </row>
    <row r="183" spans="1:8" x14ac:dyDescent="0.3">
      <c r="A183">
        <v>79</v>
      </c>
      <c r="B183" t="s">
        <v>8</v>
      </c>
      <c r="C183" t="s">
        <v>13</v>
      </c>
      <c r="D183" t="s">
        <v>17</v>
      </c>
      <c r="E183" t="s">
        <v>18</v>
      </c>
      <c r="F183">
        <v>1223</v>
      </c>
      <c r="G183">
        <v>7</v>
      </c>
      <c r="H183" s="2">
        <v>44983</v>
      </c>
    </row>
    <row r="184" spans="1:8" x14ac:dyDescent="0.3">
      <c r="A184">
        <v>60</v>
      </c>
      <c r="B184" t="s">
        <v>12</v>
      </c>
      <c r="C184" t="s">
        <v>15</v>
      </c>
      <c r="D184" t="s">
        <v>16</v>
      </c>
      <c r="E184" t="s">
        <v>22</v>
      </c>
      <c r="F184">
        <v>734</v>
      </c>
      <c r="G184">
        <v>14</v>
      </c>
      <c r="H184" s="2">
        <v>45421</v>
      </c>
    </row>
    <row r="185" spans="1:8" x14ac:dyDescent="0.3">
      <c r="A185">
        <v>21</v>
      </c>
      <c r="B185" t="s">
        <v>12</v>
      </c>
      <c r="C185" t="s">
        <v>19</v>
      </c>
      <c r="D185" t="s">
        <v>10</v>
      </c>
      <c r="E185" t="s">
        <v>11</v>
      </c>
      <c r="F185">
        <v>986</v>
      </c>
      <c r="G185">
        <v>17</v>
      </c>
      <c r="H185" s="2">
        <v>45450</v>
      </c>
    </row>
    <row r="186" spans="1:8" x14ac:dyDescent="0.3">
      <c r="A186">
        <v>42</v>
      </c>
      <c r="B186" t="s">
        <v>8</v>
      </c>
      <c r="C186" t="s">
        <v>26</v>
      </c>
      <c r="D186" t="s">
        <v>20</v>
      </c>
      <c r="E186" t="s">
        <v>18</v>
      </c>
      <c r="F186">
        <v>533</v>
      </c>
      <c r="G186">
        <v>18</v>
      </c>
      <c r="H186" s="2">
        <v>45286</v>
      </c>
    </row>
    <row r="187" spans="1:8" x14ac:dyDescent="0.3">
      <c r="A187">
        <v>28</v>
      </c>
      <c r="B187" t="s">
        <v>12</v>
      </c>
      <c r="C187" t="s">
        <v>9</v>
      </c>
      <c r="D187" t="s">
        <v>16</v>
      </c>
      <c r="E187" t="s">
        <v>11</v>
      </c>
      <c r="F187">
        <v>895</v>
      </c>
      <c r="G187">
        <v>13</v>
      </c>
      <c r="H187" s="2">
        <v>45343</v>
      </c>
    </row>
    <row r="188" spans="1:8" x14ac:dyDescent="0.3">
      <c r="A188">
        <v>73</v>
      </c>
      <c r="B188" t="s">
        <v>8</v>
      </c>
      <c r="C188" t="s">
        <v>21</v>
      </c>
      <c r="D188" t="s">
        <v>10</v>
      </c>
      <c r="E188" t="s">
        <v>11</v>
      </c>
      <c r="F188">
        <v>1173</v>
      </c>
      <c r="G188">
        <v>20</v>
      </c>
      <c r="H188" s="2">
        <v>45467</v>
      </c>
    </row>
    <row r="189" spans="1:8" x14ac:dyDescent="0.3">
      <c r="A189">
        <v>74</v>
      </c>
      <c r="B189" t="s">
        <v>8</v>
      </c>
      <c r="C189" t="s">
        <v>15</v>
      </c>
      <c r="D189" t="s">
        <v>16</v>
      </c>
      <c r="E189" t="s">
        <v>11</v>
      </c>
      <c r="F189">
        <v>900</v>
      </c>
      <c r="G189">
        <v>20</v>
      </c>
      <c r="H189" s="2">
        <v>45458</v>
      </c>
    </row>
    <row r="190" spans="1:8" x14ac:dyDescent="0.3">
      <c r="A190">
        <v>15</v>
      </c>
      <c r="B190" t="s">
        <v>12</v>
      </c>
      <c r="C190" t="s">
        <v>23</v>
      </c>
      <c r="D190" t="s">
        <v>17</v>
      </c>
      <c r="E190" t="s">
        <v>18</v>
      </c>
      <c r="F190">
        <v>1384</v>
      </c>
      <c r="G190">
        <v>18</v>
      </c>
      <c r="H190" s="2">
        <v>44928</v>
      </c>
    </row>
    <row r="191" spans="1:8" x14ac:dyDescent="0.3">
      <c r="A191">
        <v>20</v>
      </c>
      <c r="B191" t="s">
        <v>12</v>
      </c>
      <c r="C191" t="s">
        <v>9</v>
      </c>
      <c r="D191" t="s">
        <v>20</v>
      </c>
      <c r="E191" t="s">
        <v>11</v>
      </c>
      <c r="F191">
        <v>476</v>
      </c>
      <c r="G191">
        <v>4</v>
      </c>
      <c r="H191" s="2">
        <v>45314</v>
      </c>
    </row>
    <row r="192" spans="1:8" x14ac:dyDescent="0.3">
      <c r="A192">
        <v>77</v>
      </c>
      <c r="B192" t="s">
        <v>12</v>
      </c>
      <c r="C192" t="s">
        <v>23</v>
      </c>
      <c r="D192" t="s">
        <v>17</v>
      </c>
      <c r="E192" t="s">
        <v>11</v>
      </c>
      <c r="F192">
        <v>1158</v>
      </c>
      <c r="G192">
        <v>1</v>
      </c>
      <c r="H192" s="2">
        <v>45616</v>
      </c>
    </row>
    <row r="193" spans="1:8" x14ac:dyDescent="0.3">
      <c r="A193">
        <v>63</v>
      </c>
      <c r="B193" t="s">
        <v>8</v>
      </c>
      <c r="C193" t="s">
        <v>15</v>
      </c>
      <c r="D193" t="s">
        <v>20</v>
      </c>
      <c r="E193" t="s">
        <v>11</v>
      </c>
      <c r="F193">
        <v>525</v>
      </c>
      <c r="G193">
        <v>18</v>
      </c>
      <c r="H193" s="2">
        <v>45590</v>
      </c>
    </row>
    <row r="194" spans="1:8" x14ac:dyDescent="0.3">
      <c r="A194">
        <v>74</v>
      </c>
      <c r="B194" t="s">
        <v>8</v>
      </c>
      <c r="C194" t="s">
        <v>15</v>
      </c>
      <c r="D194" t="s">
        <v>14</v>
      </c>
      <c r="E194" t="s">
        <v>18</v>
      </c>
      <c r="F194">
        <v>1508</v>
      </c>
      <c r="G194">
        <v>1</v>
      </c>
      <c r="H194" s="2">
        <v>44997</v>
      </c>
    </row>
    <row r="195" spans="1:8" x14ac:dyDescent="0.3">
      <c r="A195">
        <v>7</v>
      </c>
      <c r="B195" t="s">
        <v>8</v>
      </c>
      <c r="C195" t="s">
        <v>15</v>
      </c>
      <c r="D195" t="s">
        <v>10</v>
      </c>
      <c r="E195" t="s">
        <v>18</v>
      </c>
      <c r="F195">
        <v>1123</v>
      </c>
      <c r="G195">
        <v>13</v>
      </c>
      <c r="H195" s="2">
        <v>45566</v>
      </c>
    </row>
    <row r="196" spans="1:8" x14ac:dyDescent="0.3">
      <c r="A196">
        <v>24</v>
      </c>
      <c r="B196" t="s">
        <v>12</v>
      </c>
      <c r="C196" t="s">
        <v>23</v>
      </c>
      <c r="D196" t="s">
        <v>20</v>
      </c>
      <c r="E196" t="s">
        <v>18</v>
      </c>
      <c r="F196">
        <v>677</v>
      </c>
      <c r="G196">
        <v>20</v>
      </c>
      <c r="H196" s="2">
        <v>45222</v>
      </c>
    </row>
    <row r="197" spans="1:8" x14ac:dyDescent="0.3">
      <c r="A197">
        <v>63</v>
      </c>
      <c r="B197" t="s">
        <v>8</v>
      </c>
      <c r="C197" t="s">
        <v>25</v>
      </c>
      <c r="D197" t="s">
        <v>17</v>
      </c>
      <c r="E197" t="s">
        <v>11</v>
      </c>
      <c r="F197">
        <v>1167</v>
      </c>
      <c r="G197">
        <v>20</v>
      </c>
      <c r="H197" s="2">
        <v>45648</v>
      </c>
    </row>
    <row r="198" spans="1:8" x14ac:dyDescent="0.3">
      <c r="A198">
        <v>40</v>
      </c>
      <c r="B198" t="s">
        <v>8</v>
      </c>
      <c r="C198" t="s">
        <v>23</v>
      </c>
      <c r="D198" t="s">
        <v>16</v>
      </c>
      <c r="E198" t="s">
        <v>11</v>
      </c>
      <c r="F198">
        <v>768</v>
      </c>
      <c r="G198">
        <v>10</v>
      </c>
      <c r="H198" s="2">
        <v>44993</v>
      </c>
    </row>
    <row r="199" spans="1:8" x14ac:dyDescent="0.3">
      <c r="A199">
        <v>23</v>
      </c>
      <c r="B199" t="s">
        <v>8</v>
      </c>
      <c r="C199" t="s">
        <v>15</v>
      </c>
      <c r="D199" t="s">
        <v>20</v>
      </c>
      <c r="E199" t="s">
        <v>11</v>
      </c>
      <c r="F199">
        <v>564</v>
      </c>
      <c r="G199">
        <v>11</v>
      </c>
      <c r="H199" s="2">
        <v>45387</v>
      </c>
    </row>
    <row r="200" spans="1:8" x14ac:dyDescent="0.3">
      <c r="A200">
        <v>71</v>
      </c>
      <c r="B200" t="s">
        <v>8</v>
      </c>
      <c r="C200" t="s">
        <v>13</v>
      </c>
      <c r="D200" t="s">
        <v>10</v>
      </c>
      <c r="E200" t="s">
        <v>11</v>
      </c>
      <c r="F200">
        <v>1061</v>
      </c>
      <c r="G200">
        <v>9</v>
      </c>
      <c r="H200" s="2">
        <v>45337</v>
      </c>
    </row>
    <row r="201" spans="1:8" x14ac:dyDescent="0.3">
      <c r="A201">
        <v>23</v>
      </c>
      <c r="B201" t="s">
        <v>8</v>
      </c>
      <c r="C201" t="s">
        <v>9</v>
      </c>
      <c r="D201" t="s">
        <v>20</v>
      </c>
      <c r="E201" t="s">
        <v>11</v>
      </c>
      <c r="F201">
        <v>441</v>
      </c>
      <c r="G201">
        <v>9</v>
      </c>
      <c r="H201" s="2">
        <v>45170</v>
      </c>
    </row>
    <row r="202" spans="1:8" x14ac:dyDescent="0.3">
      <c r="A202">
        <v>24</v>
      </c>
      <c r="B202" t="s">
        <v>8</v>
      </c>
      <c r="C202" t="s">
        <v>9</v>
      </c>
      <c r="D202" t="s">
        <v>24</v>
      </c>
      <c r="E202" t="s">
        <v>11</v>
      </c>
      <c r="F202">
        <v>1008</v>
      </c>
      <c r="G202">
        <v>5</v>
      </c>
      <c r="H202" s="2">
        <v>45200</v>
      </c>
    </row>
    <row r="203" spans="1:8" x14ac:dyDescent="0.3">
      <c r="A203">
        <v>75</v>
      </c>
      <c r="B203" t="s">
        <v>8</v>
      </c>
      <c r="C203" t="s">
        <v>15</v>
      </c>
      <c r="D203" t="s">
        <v>16</v>
      </c>
      <c r="E203" t="s">
        <v>22</v>
      </c>
      <c r="F203">
        <v>750</v>
      </c>
      <c r="G203">
        <v>1</v>
      </c>
      <c r="H203" s="2">
        <v>45285</v>
      </c>
    </row>
    <row r="204" spans="1:8" x14ac:dyDescent="0.3">
      <c r="A204">
        <v>56</v>
      </c>
      <c r="B204" t="s">
        <v>12</v>
      </c>
      <c r="C204" t="s">
        <v>23</v>
      </c>
      <c r="D204" t="s">
        <v>10</v>
      </c>
      <c r="E204" t="s">
        <v>18</v>
      </c>
      <c r="F204">
        <v>1149</v>
      </c>
      <c r="G204">
        <v>17</v>
      </c>
      <c r="H204" s="2">
        <v>45606</v>
      </c>
    </row>
    <row r="205" spans="1:8" x14ac:dyDescent="0.3">
      <c r="A205">
        <v>37</v>
      </c>
      <c r="B205" t="s">
        <v>12</v>
      </c>
      <c r="C205" t="s">
        <v>15</v>
      </c>
      <c r="D205" t="s">
        <v>10</v>
      </c>
      <c r="E205" t="s">
        <v>18</v>
      </c>
      <c r="F205">
        <v>920</v>
      </c>
      <c r="G205">
        <v>2</v>
      </c>
      <c r="H205" s="2">
        <v>45495</v>
      </c>
    </row>
    <row r="206" spans="1:8" x14ac:dyDescent="0.3">
      <c r="A206">
        <v>44</v>
      </c>
      <c r="B206" t="s">
        <v>8</v>
      </c>
      <c r="C206" t="s">
        <v>19</v>
      </c>
      <c r="D206" t="s">
        <v>14</v>
      </c>
      <c r="E206" t="s">
        <v>22</v>
      </c>
      <c r="F206">
        <v>1699</v>
      </c>
      <c r="G206">
        <v>13</v>
      </c>
      <c r="H206" s="2">
        <v>45483</v>
      </c>
    </row>
    <row r="207" spans="1:8" x14ac:dyDescent="0.3">
      <c r="A207">
        <v>43</v>
      </c>
      <c r="B207" t="s">
        <v>12</v>
      </c>
      <c r="C207" t="s">
        <v>25</v>
      </c>
      <c r="D207" t="s">
        <v>17</v>
      </c>
      <c r="E207" t="s">
        <v>11</v>
      </c>
      <c r="F207">
        <v>1238</v>
      </c>
      <c r="G207">
        <v>9</v>
      </c>
      <c r="H207" s="2">
        <v>45464</v>
      </c>
    </row>
    <row r="208" spans="1:8" x14ac:dyDescent="0.3">
      <c r="A208">
        <v>5</v>
      </c>
      <c r="B208" t="s">
        <v>8</v>
      </c>
      <c r="C208" t="s">
        <v>15</v>
      </c>
      <c r="D208" t="s">
        <v>14</v>
      </c>
      <c r="E208" t="s">
        <v>11</v>
      </c>
      <c r="F208">
        <v>1491</v>
      </c>
      <c r="G208">
        <v>4</v>
      </c>
      <c r="H208" s="2">
        <v>45000</v>
      </c>
    </row>
    <row r="209" spans="1:8" x14ac:dyDescent="0.3">
      <c r="A209">
        <v>15</v>
      </c>
      <c r="B209" t="s">
        <v>8</v>
      </c>
      <c r="C209" t="s">
        <v>9</v>
      </c>
      <c r="D209" t="s">
        <v>10</v>
      </c>
      <c r="E209" t="s">
        <v>22</v>
      </c>
      <c r="F209">
        <v>1179</v>
      </c>
      <c r="G209">
        <v>5</v>
      </c>
      <c r="H209" s="2">
        <v>45460</v>
      </c>
    </row>
    <row r="210" spans="1:8" x14ac:dyDescent="0.3">
      <c r="A210">
        <v>61</v>
      </c>
      <c r="B210" t="s">
        <v>8</v>
      </c>
      <c r="C210" t="s">
        <v>15</v>
      </c>
      <c r="D210" t="s">
        <v>16</v>
      </c>
      <c r="E210" t="s">
        <v>11</v>
      </c>
      <c r="F210">
        <v>824</v>
      </c>
      <c r="G210">
        <v>11</v>
      </c>
      <c r="H210" s="2">
        <v>45648</v>
      </c>
    </row>
    <row r="211" spans="1:8" x14ac:dyDescent="0.3">
      <c r="A211">
        <v>54</v>
      </c>
      <c r="B211" t="s">
        <v>12</v>
      </c>
      <c r="C211" t="s">
        <v>15</v>
      </c>
      <c r="D211" t="s">
        <v>20</v>
      </c>
      <c r="E211" t="s">
        <v>18</v>
      </c>
      <c r="F211">
        <v>510</v>
      </c>
      <c r="G211">
        <v>19</v>
      </c>
      <c r="H211" s="2">
        <v>45510</v>
      </c>
    </row>
    <row r="212" spans="1:8" x14ac:dyDescent="0.3">
      <c r="A212">
        <v>27</v>
      </c>
      <c r="B212" t="s">
        <v>12</v>
      </c>
      <c r="C212" t="s">
        <v>9</v>
      </c>
      <c r="D212" t="s">
        <v>20</v>
      </c>
      <c r="E212" t="s">
        <v>11</v>
      </c>
      <c r="F212">
        <v>538</v>
      </c>
      <c r="G212">
        <v>3</v>
      </c>
      <c r="H212" s="2">
        <v>45507</v>
      </c>
    </row>
    <row r="213" spans="1:8" x14ac:dyDescent="0.3">
      <c r="A213">
        <v>35</v>
      </c>
      <c r="B213" t="s">
        <v>12</v>
      </c>
      <c r="C213" t="s">
        <v>9</v>
      </c>
      <c r="D213" t="s">
        <v>16</v>
      </c>
      <c r="E213" t="s">
        <v>11</v>
      </c>
      <c r="F213">
        <v>972</v>
      </c>
      <c r="G213">
        <v>12</v>
      </c>
      <c r="H213" s="2">
        <v>45609</v>
      </c>
    </row>
    <row r="214" spans="1:8" x14ac:dyDescent="0.3">
      <c r="A214">
        <v>46</v>
      </c>
      <c r="B214" t="s">
        <v>8</v>
      </c>
      <c r="C214" t="s">
        <v>19</v>
      </c>
      <c r="D214" t="s">
        <v>10</v>
      </c>
      <c r="E214" t="s">
        <v>11</v>
      </c>
      <c r="F214">
        <v>998</v>
      </c>
      <c r="G214">
        <v>19</v>
      </c>
      <c r="H214" s="2">
        <v>45551</v>
      </c>
    </row>
    <row r="215" spans="1:8" x14ac:dyDescent="0.3">
      <c r="A215">
        <v>11</v>
      </c>
      <c r="B215" t="s">
        <v>8</v>
      </c>
      <c r="C215" t="s">
        <v>9</v>
      </c>
      <c r="D215" t="s">
        <v>20</v>
      </c>
      <c r="E215" t="s">
        <v>22</v>
      </c>
      <c r="F215">
        <v>651</v>
      </c>
      <c r="G215">
        <v>19</v>
      </c>
      <c r="H215" s="2">
        <v>45299</v>
      </c>
    </row>
    <row r="216" spans="1:8" x14ac:dyDescent="0.3">
      <c r="A216">
        <v>20</v>
      </c>
      <c r="B216" t="s">
        <v>8</v>
      </c>
      <c r="C216" t="s">
        <v>19</v>
      </c>
      <c r="D216" t="s">
        <v>20</v>
      </c>
      <c r="E216" t="s">
        <v>18</v>
      </c>
      <c r="F216">
        <v>503</v>
      </c>
      <c r="G216">
        <v>13</v>
      </c>
      <c r="H216" s="2">
        <v>44941</v>
      </c>
    </row>
    <row r="217" spans="1:8" x14ac:dyDescent="0.3">
      <c r="A217">
        <v>64</v>
      </c>
      <c r="B217" t="s">
        <v>12</v>
      </c>
      <c r="C217" t="s">
        <v>23</v>
      </c>
      <c r="D217" t="s">
        <v>20</v>
      </c>
      <c r="E217" t="s">
        <v>11</v>
      </c>
      <c r="F217">
        <v>613</v>
      </c>
      <c r="G217">
        <v>7</v>
      </c>
      <c r="H217" s="2">
        <v>45368</v>
      </c>
    </row>
    <row r="218" spans="1:8" x14ac:dyDescent="0.3">
      <c r="A218">
        <v>6</v>
      </c>
      <c r="B218" t="s">
        <v>8</v>
      </c>
      <c r="C218" t="s">
        <v>19</v>
      </c>
      <c r="D218" t="s">
        <v>17</v>
      </c>
      <c r="E218" t="s">
        <v>18</v>
      </c>
      <c r="F218">
        <v>1348</v>
      </c>
      <c r="G218">
        <v>15</v>
      </c>
      <c r="H218" s="2">
        <v>45368</v>
      </c>
    </row>
    <row r="219" spans="1:8" x14ac:dyDescent="0.3">
      <c r="A219">
        <v>5</v>
      </c>
      <c r="B219" t="s">
        <v>8</v>
      </c>
      <c r="C219" t="s">
        <v>19</v>
      </c>
      <c r="D219" t="s">
        <v>17</v>
      </c>
      <c r="E219" t="s">
        <v>11</v>
      </c>
      <c r="F219">
        <v>1251</v>
      </c>
      <c r="G219">
        <v>7</v>
      </c>
      <c r="H219" s="2">
        <v>45587</v>
      </c>
    </row>
    <row r="220" spans="1:8" x14ac:dyDescent="0.3">
      <c r="A220">
        <v>52</v>
      </c>
      <c r="B220" t="s">
        <v>12</v>
      </c>
      <c r="C220" t="s">
        <v>19</v>
      </c>
      <c r="D220" t="s">
        <v>24</v>
      </c>
      <c r="E220" t="s">
        <v>11</v>
      </c>
      <c r="F220">
        <v>1149</v>
      </c>
      <c r="G220">
        <v>8</v>
      </c>
      <c r="H220" s="2">
        <v>45530</v>
      </c>
    </row>
    <row r="221" spans="1:8" x14ac:dyDescent="0.3">
      <c r="A221">
        <v>16</v>
      </c>
      <c r="B221" t="s">
        <v>8</v>
      </c>
      <c r="C221" t="s">
        <v>9</v>
      </c>
      <c r="D221" t="s">
        <v>14</v>
      </c>
      <c r="E221" t="s">
        <v>11</v>
      </c>
      <c r="F221">
        <v>1674</v>
      </c>
      <c r="G221">
        <v>5</v>
      </c>
      <c r="H221" s="2">
        <v>45212</v>
      </c>
    </row>
    <row r="222" spans="1:8" x14ac:dyDescent="0.3">
      <c r="A222">
        <v>73</v>
      </c>
      <c r="B222" t="s">
        <v>12</v>
      </c>
      <c r="C222" t="s">
        <v>15</v>
      </c>
      <c r="D222" t="s">
        <v>16</v>
      </c>
      <c r="E222" t="s">
        <v>11</v>
      </c>
      <c r="F222">
        <v>864</v>
      </c>
      <c r="G222">
        <v>14</v>
      </c>
      <c r="H222" s="2">
        <v>44943</v>
      </c>
    </row>
    <row r="223" spans="1:8" x14ac:dyDescent="0.3">
      <c r="A223">
        <v>41</v>
      </c>
      <c r="B223" t="s">
        <v>12</v>
      </c>
      <c r="C223" t="s">
        <v>13</v>
      </c>
      <c r="D223" t="s">
        <v>16</v>
      </c>
      <c r="E223" t="s">
        <v>11</v>
      </c>
      <c r="F223">
        <v>707</v>
      </c>
      <c r="G223">
        <v>4</v>
      </c>
      <c r="H223" s="2">
        <v>44963</v>
      </c>
    </row>
    <row r="224" spans="1:8" x14ac:dyDescent="0.3">
      <c r="A224">
        <v>36</v>
      </c>
      <c r="B224" t="s">
        <v>8</v>
      </c>
      <c r="C224" t="s">
        <v>19</v>
      </c>
      <c r="D224" t="s">
        <v>16</v>
      </c>
      <c r="E224" t="s">
        <v>22</v>
      </c>
      <c r="F224">
        <v>983</v>
      </c>
      <c r="G224">
        <v>10</v>
      </c>
      <c r="H224" s="2">
        <v>44974</v>
      </c>
    </row>
    <row r="225" spans="1:8" x14ac:dyDescent="0.3">
      <c r="A225">
        <v>13</v>
      </c>
      <c r="B225" t="s">
        <v>12</v>
      </c>
      <c r="C225" t="s">
        <v>15</v>
      </c>
      <c r="D225" t="s">
        <v>24</v>
      </c>
      <c r="E225" t="s">
        <v>18</v>
      </c>
      <c r="F225">
        <v>904</v>
      </c>
      <c r="G225">
        <v>20</v>
      </c>
      <c r="H225" s="2">
        <v>45001</v>
      </c>
    </row>
    <row r="226" spans="1:8" x14ac:dyDescent="0.3">
      <c r="A226">
        <v>23</v>
      </c>
      <c r="B226" t="s">
        <v>8</v>
      </c>
      <c r="C226" t="s">
        <v>9</v>
      </c>
      <c r="D226" t="s">
        <v>17</v>
      </c>
      <c r="E226" t="s">
        <v>11</v>
      </c>
      <c r="F226">
        <v>1244</v>
      </c>
      <c r="G226">
        <v>15</v>
      </c>
      <c r="H226" s="2">
        <v>45091</v>
      </c>
    </row>
    <row r="227" spans="1:8" x14ac:dyDescent="0.3">
      <c r="A227">
        <v>52</v>
      </c>
      <c r="B227" t="s">
        <v>8</v>
      </c>
      <c r="C227" t="s">
        <v>15</v>
      </c>
      <c r="D227" t="s">
        <v>10</v>
      </c>
      <c r="E227" t="s">
        <v>11</v>
      </c>
      <c r="F227">
        <v>1000</v>
      </c>
      <c r="G227">
        <v>18</v>
      </c>
      <c r="H227" s="2">
        <v>45304</v>
      </c>
    </row>
    <row r="228" spans="1:8" x14ac:dyDescent="0.3">
      <c r="A228">
        <v>7</v>
      </c>
      <c r="B228" t="s">
        <v>8</v>
      </c>
      <c r="C228" t="s">
        <v>21</v>
      </c>
      <c r="D228" t="s">
        <v>10</v>
      </c>
      <c r="E228" t="s">
        <v>22</v>
      </c>
      <c r="F228">
        <v>1063</v>
      </c>
      <c r="G228">
        <v>20</v>
      </c>
      <c r="H228" s="2">
        <v>44963</v>
      </c>
    </row>
    <row r="229" spans="1:8" x14ac:dyDescent="0.3">
      <c r="A229">
        <v>24</v>
      </c>
      <c r="B229" t="s">
        <v>12</v>
      </c>
      <c r="C229" t="s">
        <v>15</v>
      </c>
      <c r="D229" t="s">
        <v>24</v>
      </c>
      <c r="E229" t="s">
        <v>22</v>
      </c>
      <c r="F229">
        <v>1046</v>
      </c>
      <c r="G229">
        <v>13</v>
      </c>
      <c r="H229" s="2">
        <v>44929</v>
      </c>
    </row>
    <row r="230" spans="1:8" x14ac:dyDescent="0.3">
      <c r="A230">
        <v>28</v>
      </c>
      <c r="B230" t="s">
        <v>8</v>
      </c>
      <c r="C230" t="s">
        <v>15</v>
      </c>
      <c r="D230" t="s">
        <v>10</v>
      </c>
      <c r="E230" t="s">
        <v>18</v>
      </c>
      <c r="F230">
        <v>963</v>
      </c>
      <c r="G230">
        <v>8</v>
      </c>
      <c r="H230" s="2">
        <v>45426</v>
      </c>
    </row>
    <row r="231" spans="1:8" x14ac:dyDescent="0.3">
      <c r="A231">
        <v>58</v>
      </c>
      <c r="B231" t="s">
        <v>8</v>
      </c>
      <c r="C231" t="s">
        <v>9</v>
      </c>
      <c r="D231" t="s">
        <v>16</v>
      </c>
      <c r="E231" t="s">
        <v>11</v>
      </c>
      <c r="F231">
        <v>790</v>
      </c>
      <c r="G231">
        <v>9</v>
      </c>
      <c r="H231" s="2">
        <v>45121</v>
      </c>
    </row>
    <row r="232" spans="1:8" x14ac:dyDescent="0.3">
      <c r="A232">
        <v>37</v>
      </c>
      <c r="B232" t="s">
        <v>8</v>
      </c>
      <c r="C232" t="s">
        <v>9</v>
      </c>
      <c r="D232" t="s">
        <v>14</v>
      </c>
      <c r="E232" t="s">
        <v>11</v>
      </c>
      <c r="F232">
        <v>1516</v>
      </c>
      <c r="G232">
        <v>16</v>
      </c>
      <c r="H232" s="2">
        <v>45519</v>
      </c>
    </row>
    <row r="233" spans="1:8" x14ac:dyDescent="0.3">
      <c r="A233">
        <v>28</v>
      </c>
      <c r="B233" t="s">
        <v>12</v>
      </c>
      <c r="C233" t="s">
        <v>13</v>
      </c>
      <c r="D233" t="s">
        <v>20</v>
      </c>
      <c r="E233" t="s">
        <v>11</v>
      </c>
      <c r="F233">
        <v>666</v>
      </c>
      <c r="G233">
        <v>19</v>
      </c>
      <c r="H233" s="2">
        <v>45573</v>
      </c>
    </row>
    <row r="234" spans="1:8" x14ac:dyDescent="0.3">
      <c r="A234">
        <v>79</v>
      </c>
      <c r="B234" t="s">
        <v>12</v>
      </c>
      <c r="C234" t="s">
        <v>15</v>
      </c>
      <c r="D234" t="s">
        <v>17</v>
      </c>
      <c r="E234" t="s">
        <v>11</v>
      </c>
      <c r="F234">
        <v>1272</v>
      </c>
      <c r="G234">
        <v>16</v>
      </c>
      <c r="H234" s="2">
        <v>44941</v>
      </c>
    </row>
    <row r="235" spans="1:8" x14ac:dyDescent="0.3">
      <c r="A235">
        <v>76</v>
      </c>
      <c r="B235" t="s">
        <v>8</v>
      </c>
      <c r="C235" t="s">
        <v>25</v>
      </c>
      <c r="D235" t="s">
        <v>17</v>
      </c>
      <c r="E235" t="s">
        <v>11</v>
      </c>
      <c r="F235">
        <v>1146</v>
      </c>
      <c r="G235">
        <v>7</v>
      </c>
      <c r="H235" s="2">
        <v>45495</v>
      </c>
    </row>
    <row r="236" spans="1:8" x14ac:dyDescent="0.3">
      <c r="A236">
        <v>40</v>
      </c>
      <c r="B236" t="s">
        <v>12</v>
      </c>
      <c r="C236" t="s">
        <v>15</v>
      </c>
      <c r="D236" t="s">
        <v>24</v>
      </c>
      <c r="E236" t="s">
        <v>22</v>
      </c>
      <c r="F236">
        <v>1039</v>
      </c>
      <c r="G236">
        <v>14</v>
      </c>
      <c r="H236" s="2">
        <v>45073</v>
      </c>
    </row>
    <row r="237" spans="1:8" x14ac:dyDescent="0.3">
      <c r="A237">
        <v>42</v>
      </c>
      <c r="B237" t="s">
        <v>8</v>
      </c>
      <c r="C237" t="s">
        <v>25</v>
      </c>
      <c r="D237" t="s">
        <v>17</v>
      </c>
      <c r="E237" t="s">
        <v>11</v>
      </c>
      <c r="F237">
        <v>1345</v>
      </c>
      <c r="G237">
        <v>14</v>
      </c>
      <c r="H237" s="2">
        <v>45212</v>
      </c>
    </row>
    <row r="238" spans="1:8" x14ac:dyDescent="0.3">
      <c r="A238">
        <v>29</v>
      </c>
      <c r="B238" t="s">
        <v>8</v>
      </c>
      <c r="C238" t="s">
        <v>15</v>
      </c>
      <c r="D238" t="s">
        <v>16</v>
      </c>
      <c r="E238" t="s">
        <v>11</v>
      </c>
      <c r="F238">
        <v>848</v>
      </c>
      <c r="G238">
        <v>4</v>
      </c>
      <c r="H238" s="2">
        <v>45308</v>
      </c>
    </row>
    <row r="239" spans="1:8" x14ac:dyDescent="0.3">
      <c r="A239">
        <v>22</v>
      </c>
      <c r="B239" t="s">
        <v>12</v>
      </c>
      <c r="C239" t="s">
        <v>15</v>
      </c>
      <c r="D239" t="s">
        <v>10</v>
      </c>
      <c r="E239" t="s">
        <v>11</v>
      </c>
      <c r="F239">
        <v>1145</v>
      </c>
      <c r="G239">
        <v>15</v>
      </c>
      <c r="H239" s="2">
        <v>45372</v>
      </c>
    </row>
    <row r="240" spans="1:8" x14ac:dyDescent="0.3">
      <c r="A240">
        <v>70</v>
      </c>
      <c r="B240" t="s">
        <v>8</v>
      </c>
      <c r="C240" t="s">
        <v>23</v>
      </c>
      <c r="D240" t="s">
        <v>16</v>
      </c>
      <c r="E240" t="s">
        <v>11</v>
      </c>
      <c r="F240">
        <v>704</v>
      </c>
      <c r="G240">
        <v>3</v>
      </c>
      <c r="H240" s="2">
        <v>45131</v>
      </c>
    </row>
    <row r="241" spans="1:8" x14ac:dyDescent="0.3">
      <c r="A241">
        <v>58</v>
      </c>
      <c r="B241" t="s">
        <v>8</v>
      </c>
      <c r="C241" t="s">
        <v>26</v>
      </c>
      <c r="D241" t="s">
        <v>24</v>
      </c>
      <c r="E241" t="s">
        <v>11</v>
      </c>
      <c r="F241">
        <v>1083</v>
      </c>
      <c r="G241">
        <v>5</v>
      </c>
      <c r="H241" s="2">
        <v>45568</v>
      </c>
    </row>
    <row r="242" spans="1:8" x14ac:dyDescent="0.3">
      <c r="A242">
        <v>39</v>
      </c>
      <c r="B242" t="s">
        <v>8</v>
      </c>
      <c r="C242" t="s">
        <v>13</v>
      </c>
      <c r="D242" t="s">
        <v>16</v>
      </c>
      <c r="E242" t="s">
        <v>11</v>
      </c>
      <c r="F242">
        <v>719</v>
      </c>
      <c r="G242">
        <v>1</v>
      </c>
      <c r="H242" s="2">
        <v>45297</v>
      </c>
    </row>
    <row r="243" spans="1:8" x14ac:dyDescent="0.3">
      <c r="A243">
        <v>65</v>
      </c>
      <c r="B243" t="s">
        <v>8</v>
      </c>
      <c r="C243" t="s">
        <v>19</v>
      </c>
      <c r="D243" t="s">
        <v>10</v>
      </c>
      <c r="E243" t="s">
        <v>11</v>
      </c>
      <c r="F243">
        <v>945</v>
      </c>
      <c r="G243">
        <v>3</v>
      </c>
      <c r="H243" s="2">
        <v>45112</v>
      </c>
    </row>
    <row r="244" spans="1:8" x14ac:dyDescent="0.3">
      <c r="A244">
        <v>45</v>
      </c>
      <c r="B244" t="s">
        <v>8</v>
      </c>
      <c r="C244" t="s">
        <v>21</v>
      </c>
      <c r="D244" t="s">
        <v>14</v>
      </c>
      <c r="E244" t="s">
        <v>18</v>
      </c>
      <c r="F244">
        <v>1411</v>
      </c>
      <c r="G244">
        <v>15</v>
      </c>
      <c r="H244" s="2">
        <v>45068</v>
      </c>
    </row>
    <row r="245" spans="1:8" x14ac:dyDescent="0.3">
      <c r="A245">
        <v>37</v>
      </c>
      <c r="B245" t="s">
        <v>12</v>
      </c>
      <c r="C245" t="s">
        <v>15</v>
      </c>
      <c r="D245" t="s">
        <v>24</v>
      </c>
      <c r="E245" t="s">
        <v>22</v>
      </c>
      <c r="F245">
        <v>969</v>
      </c>
      <c r="G245">
        <v>8</v>
      </c>
      <c r="H245" s="2">
        <v>45317</v>
      </c>
    </row>
    <row r="246" spans="1:8" x14ac:dyDescent="0.3">
      <c r="A246">
        <v>72</v>
      </c>
      <c r="B246" t="s">
        <v>12</v>
      </c>
      <c r="C246" t="s">
        <v>26</v>
      </c>
      <c r="D246" t="s">
        <v>14</v>
      </c>
      <c r="E246" t="s">
        <v>11</v>
      </c>
      <c r="F246">
        <v>1416</v>
      </c>
      <c r="G246">
        <v>4</v>
      </c>
      <c r="H246" s="2">
        <v>44943</v>
      </c>
    </row>
    <row r="247" spans="1:8" x14ac:dyDescent="0.3">
      <c r="A247">
        <v>37</v>
      </c>
      <c r="B247" t="s">
        <v>8</v>
      </c>
      <c r="C247" t="s">
        <v>9</v>
      </c>
      <c r="D247" t="s">
        <v>20</v>
      </c>
      <c r="E247" t="s">
        <v>11</v>
      </c>
      <c r="F247">
        <v>546</v>
      </c>
      <c r="G247">
        <v>2</v>
      </c>
      <c r="H247" s="2">
        <v>44949</v>
      </c>
    </row>
    <row r="248" spans="1:8" x14ac:dyDescent="0.3">
      <c r="A248">
        <v>18</v>
      </c>
      <c r="B248" t="s">
        <v>12</v>
      </c>
      <c r="C248" t="s">
        <v>23</v>
      </c>
      <c r="D248" t="s">
        <v>14</v>
      </c>
      <c r="E248" t="s">
        <v>18</v>
      </c>
      <c r="F248">
        <v>1553</v>
      </c>
      <c r="G248">
        <v>10</v>
      </c>
      <c r="H248" s="2">
        <v>45255</v>
      </c>
    </row>
    <row r="249" spans="1:8" x14ac:dyDescent="0.3">
      <c r="A249">
        <v>25</v>
      </c>
      <c r="B249" t="s">
        <v>12</v>
      </c>
      <c r="C249" t="s">
        <v>25</v>
      </c>
      <c r="D249" t="s">
        <v>20</v>
      </c>
      <c r="E249" t="s">
        <v>11</v>
      </c>
      <c r="F249">
        <v>507</v>
      </c>
      <c r="G249">
        <v>4</v>
      </c>
      <c r="H249" s="2">
        <v>45171</v>
      </c>
    </row>
    <row r="250" spans="1:8" x14ac:dyDescent="0.3">
      <c r="A250">
        <v>52</v>
      </c>
      <c r="B250" t="s">
        <v>12</v>
      </c>
      <c r="C250" t="s">
        <v>23</v>
      </c>
      <c r="D250" t="s">
        <v>20</v>
      </c>
      <c r="E250" t="s">
        <v>11</v>
      </c>
      <c r="F250">
        <v>635</v>
      </c>
      <c r="G250">
        <v>3</v>
      </c>
      <c r="H250" s="2">
        <v>45256</v>
      </c>
    </row>
    <row r="251" spans="1:8" x14ac:dyDescent="0.3">
      <c r="A251">
        <v>24</v>
      </c>
      <c r="B251" t="s">
        <v>8</v>
      </c>
      <c r="C251" t="s">
        <v>9</v>
      </c>
      <c r="D251" t="s">
        <v>14</v>
      </c>
      <c r="E251" t="s">
        <v>18</v>
      </c>
      <c r="F251">
        <v>1469</v>
      </c>
      <c r="G251">
        <v>2</v>
      </c>
      <c r="H251" s="2">
        <v>45000</v>
      </c>
    </row>
    <row r="252" spans="1:8" x14ac:dyDescent="0.3">
      <c r="A252">
        <v>12</v>
      </c>
      <c r="B252" t="s">
        <v>8</v>
      </c>
      <c r="C252" t="s">
        <v>9</v>
      </c>
      <c r="D252" t="s">
        <v>24</v>
      </c>
      <c r="E252" t="s">
        <v>11</v>
      </c>
      <c r="F252">
        <v>1082</v>
      </c>
      <c r="G252">
        <v>17</v>
      </c>
      <c r="H252" s="2">
        <v>45051</v>
      </c>
    </row>
    <row r="253" spans="1:8" x14ac:dyDescent="0.3">
      <c r="A253">
        <v>11</v>
      </c>
      <c r="B253" t="s">
        <v>8</v>
      </c>
      <c r="C253" t="s">
        <v>25</v>
      </c>
      <c r="D253" t="s">
        <v>10</v>
      </c>
      <c r="E253" t="s">
        <v>11</v>
      </c>
      <c r="F253">
        <v>1149</v>
      </c>
      <c r="G253">
        <v>20</v>
      </c>
      <c r="H253" s="2">
        <v>45622</v>
      </c>
    </row>
    <row r="254" spans="1:8" x14ac:dyDescent="0.3">
      <c r="A254">
        <v>71</v>
      </c>
      <c r="B254" t="s">
        <v>8</v>
      </c>
      <c r="C254" t="s">
        <v>15</v>
      </c>
      <c r="D254" t="s">
        <v>16</v>
      </c>
      <c r="E254" t="s">
        <v>11</v>
      </c>
      <c r="F254">
        <v>927</v>
      </c>
      <c r="G254">
        <v>13</v>
      </c>
      <c r="H254" s="2">
        <v>45219</v>
      </c>
    </row>
    <row r="255" spans="1:8" x14ac:dyDescent="0.3">
      <c r="A255">
        <v>21</v>
      </c>
      <c r="B255" t="s">
        <v>8</v>
      </c>
      <c r="C255" t="s">
        <v>26</v>
      </c>
      <c r="D255" t="s">
        <v>16</v>
      </c>
      <c r="E255" t="s">
        <v>11</v>
      </c>
      <c r="F255">
        <v>801</v>
      </c>
      <c r="G255">
        <v>5</v>
      </c>
      <c r="H255" s="2">
        <v>45632</v>
      </c>
    </row>
    <row r="256" spans="1:8" x14ac:dyDescent="0.3">
      <c r="A256">
        <v>37</v>
      </c>
      <c r="B256" t="s">
        <v>12</v>
      </c>
      <c r="C256" t="s">
        <v>23</v>
      </c>
      <c r="D256" t="s">
        <v>10</v>
      </c>
      <c r="E256" t="s">
        <v>11</v>
      </c>
      <c r="F256">
        <v>974</v>
      </c>
      <c r="G256">
        <v>9</v>
      </c>
      <c r="H256" s="2">
        <v>45541</v>
      </c>
    </row>
    <row r="257" spans="1:8" x14ac:dyDescent="0.3">
      <c r="A257">
        <v>52</v>
      </c>
      <c r="B257" t="s">
        <v>8</v>
      </c>
      <c r="C257" t="s">
        <v>15</v>
      </c>
      <c r="D257" t="s">
        <v>20</v>
      </c>
      <c r="E257" t="s">
        <v>18</v>
      </c>
      <c r="F257">
        <v>615</v>
      </c>
      <c r="G257">
        <v>6</v>
      </c>
      <c r="H257" s="2">
        <v>45470</v>
      </c>
    </row>
    <row r="258" spans="1:8" x14ac:dyDescent="0.3">
      <c r="A258">
        <v>63</v>
      </c>
      <c r="B258" t="s">
        <v>12</v>
      </c>
      <c r="C258" t="s">
        <v>23</v>
      </c>
      <c r="D258" t="s">
        <v>20</v>
      </c>
      <c r="E258" t="s">
        <v>11</v>
      </c>
      <c r="F258">
        <v>602</v>
      </c>
      <c r="G258">
        <v>5</v>
      </c>
      <c r="H258" s="2">
        <v>45278</v>
      </c>
    </row>
    <row r="259" spans="1:8" x14ac:dyDescent="0.3">
      <c r="A259">
        <v>26</v>
      </c>
      <c r="B259" t="s">
        <v>8</v>
      </c>
      <c r="C259" t="s">
        <v>9</v>
      </c>
      <c r="D259" t="s">
        <v>24</v>
      </c>
      <c r="E259" t="s">
        <v>11</v>
      </c>
      <c r="F259">
        <v>1091</v>
      </c>
      <c r="G259">
        <v>10</v>
      </c>
      <c r="H259" s="2">
        <v>45187</v>
      </c>
    </row>
    <row r="260" spans="1:8" x14ac:dyDescent="0.3">
      <c r="A260">
        <v>34</v>
      </c>
      <c r="B260" t="s">
        <v>8</v>
      </c>
      <c r="C260" t="s">
        <v>23</v>
      </c>
      <c r="D260" t="s">
        <v>17</v>
      </c>
      <c r="E260" t="s">
        <v>18</v>
      </c>
      <c r="F260">
        <v>1348</v>
      </c>
      <c r="G260">
        <v>8</v>
      </c>
      <c r="H260" s="2">
        <v>45508</v>
      </c>
    </row>
    <row r="261" spans="1:8" x14ac:dyDescent="0.3">
      <c r="A261">
        <v>42</v>
      </c>
      <c r="B261" t="s">
        <v>12</v>
      </c>
      <c r="C261" t="s">
        <v>23</v>
      </c>
      <c r="D261" t="s">
        <v>14</v>
      </c>
      <c r="E261" t="s">
        <v>11</v>
      </c>
      <c r="F261">
        <v>1641</v>
      </c>
      <c r="G261">
        <v>7</v>
      </c>
      <c r="H261" s="2">
        <v>45155</v>
      </c>
    </row>
    <row r="262" spans="1:8" x14ac:dyDescent="0.3">
      <c r="A262">
        <v>55</v>
      </c>
      <c r="B262" t="s">
        <v>12</v>
      </c>
      <c r="C262" t="s">
        <v>15</v>
      </c>
      <c r="D262" t="s">
        <v>20</v>
      </c>
      <c r="E262" t="s">
        <v>11</v>
      </c>
      <c r="F262">
        <v>578</v>
      </c>
      <c r="G262">
        <v>7</v>
      </c>
      <c r="H262" s="2">
        <v>45316</v>
      </c>
    </row>
    <row r="263" spans="1:8" x14ac:dyDescent="0.3">
      <c r="A263">
        <v>58</v>
      </c>
      <c r="B263" t="s">
        <v>12</v>
      </c>
      <c r="C263" t="s">
        <v>9</v>
      </c>
      <c r="D263" t="s">
        <v>16</v>
      </c>
      <c r="E263" t="s">
        <v>22</v>
      </c>
      <c r="F263">
        <v>918</v>
      </c>
      <c r="G263">
        <v>6</v>
      </c>
      <c r="H263" s="2">
        <v>45183</v>
      </c>
    </row>
    <row r="264" spans="1:8" x14ac:dyDescent="0.3">
      <c r="A264">
        <v>12</v>
      </c>
      <c r="B264" t="s">
        <v>12</v>
      </c>
      <c r="C264" t="s">
        <v>21</v>
      </c>
      <c r="D264" t="s">
        <v>24</v>
      </c>
      <c r="E264" t="s">
        <v>11</v>
      </c>
      <c r="F264">
        <v>981</v>
      </c>
      <c r="G264">
        <v>20</v>
      </c>
      <c r="H264" s="2">
        <v>45091</v>
      </c>
    </row>
    <row r="265" spans="1:8" x14ac:dyDescent="0.3">
      <c r="A265">
        <v>31</v>
      </c>
      <c r="B265" t="s">
        <v>12</v>
      </c>
      <c r="C265" t="s">
        <v>15</v>
      </c>
      <c r="D265" t="s">
        <v>14</v>
      </c>
      <c r="E265" t="s">
        <v>18</v>
      </c>
      <c r="F265">
        <v>1491</v>
      </c>
      <c r="G265">
        <v>3</v>
      </c>
      <c r="H265" s="2">
        <v>45548</v>
      </c>
    </row>
    <row r="266" spans="1:8" x14ac:dyDescent="0.3">
      <c r="A266">
        <v>31</v>
      </c>
      <c r="B266" t="s">
        <v>8</v>
      </c>
      <c r="C266" t="s">
        <v>19</v>
      </c>
      <c r="D266" t="s">
        <v>24</v>
      </c>
      <c r="E266" t="s">
        <v>18</v>
      </c>
      <c r="F266">
        <v>1074</v>
      </c>
      <c r="G266">
        <v>19</v>
      </c>
      <c r="H266" s="2">
        <v>45358</v>
      </c>
    </row>
    <row r="267" spans="1:8" x14ac:dyDescent="0.3">
      <c r="A267">
        <v>25</v>
      </c>
      <c r="B267" t="s">
        <v>8</v>
      </c>
      <c r="C267" t="s">
        <v>9</v>
      </c>
      <c r="D267" t="s">
        <v>14</v>
      </c>
      <c r="E267" t="s">
        <v>11</v>
      </c>
      <c r="F267">
        <v>1638</v>
      </c>
      <c r="G267">
        <v>15</v>
      </c>
      <c r="H267" s="2">
        <v>45638</v>
      </c>
    </row>
    <row r="268" spans="1:8" x14ac:dyDescent="0.3">
      <c r="A268">
        <v>34</v>
      </c>
      <c r="B268" t="s">
        <v>8</v>
      </c>
      <c r="C268" t="s">
        <v>9</v>
      </c>
      <c r="D268" t="s">
        <v>14</v>
      </c>
      <c r="E268" t="s">
        <v>11</v>
      </c>
      <c r="F268">
        <v>1659</v>
      </c>
      <c r="G268">
        <v>4</v>
      </c>
      <c r="H268" s="2">
        <v>45008</v>
      </c>
    </row>
    <row r="269" spans="1:8" x14ac:dyDescent="0.3">
      <c r="A269">
        <v>32</v>
      </c>
      <c r="B269" t="s">
        <v>8</v>
      </c>
      <c r="C269" t="s">
        <v>9</v>
      </c>
      <c r="D269" t="s">
        <v>10</v>
      </c>
      <c r="E269" t="s">
        <v>22</v>
      </c>
      <c r="F269">
        <v>1062</v>
      </c>
      <c r="G269">
        <v>12</v>
      </c>
      <c r="H269" s="2">
        <v>45458</v>
      </c>
    </row>
    <row r="270" spans="1:8" x14ac:dyDescent="0.3">
      <c r="A270">
        <v>68</v>
      </c>
      <c r="B270" t="s">
        <v>8</v>
      </c>
      <c r="C270" t="s">
        <v>9</v>
      </c>
      <c r="D270" t="s">
        <v>20</v>
      </c>
      <c r="E270" t="s">
        <v>11</v>
      </c>
      <c r="F270">
        <v>447</v>
      </c>
      <c r="G270">
        <v>6</v>
      </c>
      <c r="H270" s="2">
        <v>45188</v>
      </c>
    </row>
    <row r="271" spans="1:8" x14ac:dyDescent="0.3">
      <c r="A271">
        <v>73</v>
      </c>
      <c r="B271" t="s">
        <v>8</v>
      </c>
      <c r="C271" t="s">
        <v>15</v>
      </c>
      <c r="D271" t="s">
        <v>24</v>
      </c>
      <c r="E271" t="s">
        <v>18</v>
      </c>
      <c r="F271">
        <v>1015</v>
      </c>
      <c r="G271">
        <v>19</v>
      </c>
      <c r="H271" s="2">
        <v>45118</v>
      </c>
    </row>
    <row r="272" spans="1:8" x14ac:dyDescent="0.3">
      <c r="A272">
        <v>65</v>
      </c>
      <c r="B272" t="s">
        <v>12</v>
      </c>
      <c r="C272" t="s">
        <v>23</v>
      </c>
      <c r="D272" t="s">
        <v>24</v>
      </c>
      <c r="E272" t="s">
        <v>11</v>
      </c>
      <c r="F272">
        <v>1124</v>
      </c>
      <c r="G272">
        <v>4</v>
      </c>
      <c r="H272" s="2">
        <v>45000</v>
      </c>
    </row>
    <row r="273" spans="1:8" x14ac:dyDescent="0.3">
      <c r="A273">
        <v>52</v>
      </c>
      <c r="B273" t="s">
        <v>8</v>
      </c>
      <c r="C273" t="s">
        <v>15</v>
      </c>
      <c r="D273" t="s">
        <v>10</v>
      </c>
      <c r="E273" t="s">
        <v>11</v>
      </c>
      <c r="F273">
        <v>1046</v>
      </c>
      <c r="G273">
        <v>15</v>
      </c>
      <c r="H273" s="2">
        <v>45363</v>
      </c>
    </row>
    <row r="274" spans="1:8" x14ac:dyDescent="0.3">
      <c r="A274">
        <v>23</v>
      </c>
      <c r="B274" t="s">
        <v>12</v>
      </c>
      <c r="C274" t="s">
        <v>15</v>
      </c>
      <c r="D274" t="s">
        <v>16</v>
      </c>
      <c r="E274" t="s">
        <v>11</v>
      </c>
      <c r="F274">
        <v>762</v>
      </c>
      <c r="G274">
        <v>9</v>
      </c>
      <c r="H274" s="2">
        <v>45325</v>
      </c>
    </row>
    <row r="275" spans="1:8" x14ac:dyDescent="0.3">
      <c r="A275">
        <v>8</v>
      </c>
      <c r="B275" t="s">
        <v>8</v>
      </c>
      <c r="C275" t="s">
        <v>15</v>
      </c>
      <c r="D275" t="s">
        <v>16</v>
      </c>
      <c r="E275" t="s">
        <v>22</v>
      </c>
      <c r="F275">
        <v>993</v>
      </c>
      <c r="G275">
        <v>5</v>
      </c>
      <c r="H275" s="2">
        <v>45552</v>
      </c>
    </row>
    <row r="276" spans="1:8" x14ac:dyDescent="0.3">
      <c r="A276">
        <v>39</v>
      </c>
      <c r="B276" t="s">
        <v>8</v>
      </c>
      <c r="C276" t="s">
        <v>15</v>
      </c>
      <c r="D276" t="s">
        <v>20</v>
      </c>
      <c r="E276" t="s">
        <v>22</v>
      </c>
      <c r="F276">
        <v>412</v>
      </c>
      <c r="G276">
        <v>13</v>
      </c>
      <c r="H276" s="2">
        <v>44988</v>
      </c>
    </row>
    <row r="277" spans="1:8" x14ac:dyDescent="0.3">
      <c r="A277">
        <v>68</v>
      </c>
      <c r="B277" t="s">
        <v>8</v>
      </c>
      <c r="C277" t="s">
        <v>9</v>
      </c>
      <c r="D277" t="s">
        <v>20</v>
      </c>
      <c r="E277" t="s">
        <v>11</v>
      </c>
      <c r="F277">
        <v>588</v>
      </c>
      <c r="G277">
        <v>18</v>
      </c>
      <c r="H277" s="2">
        <v>45249</v>
      </c>
    </row>
    <row r="278" spans="1:8" x14ac:dyDescent="0.3">
      <c r="A278">
        <v>53</v>
      </c>
      <c r="B278" t="s">
        <v>12</v>
      </c>
      <c r="C278" t="s">
        <v>19</v>
      </c>
      <c r="D278" t="s">
        <v>17</v>
      </c>
      <c r="E278" t="s">
        <v>11</v>
      </c>
      <c r="F278">
        <v>1386</v>
      </c>
      <c r="G278">
        <v>5</v>
      </c>
      <c r="H278" s="2">
        <v>45432</v>
      </c>
    </row>
    <row r="279" spans="1:8" x14ac:dyDescent="0.3">
      <c r="A279">
        <v>21</v>
      </c>
      <c r="B279" t="s">
        <v>8</v>
      </c>
      <c r="C279" t="s">
        <v>25</v>
      </c>
      <c r="D279" t="s">
        <v>10</v>
      </c>
      <c r="E279" t="s">
        <v>18</v>
      </c>
      <c r="F279">
        <v>1107</v>
      </c>
      <c r="G279">
        <v>16</v>
      </c>
      <c r="H279" s="2">
        <v>45173</v>
      </c>
    </row>
    <row r="280" spans="1:8" x14ac:dyDescent="0.3">
      <c r="A280">
        <v>48</v>
      </c>
      <c r="B280" t="s">
        <v>8</v>
      </c>
      <c r="C280" t="s">
        <v>15</v>
      </c>
      <c r="D280" t="s">
        <v>16</v>
      </c>
      <c r="E280" t="s">
        <v>11</v>
      </c>
      <c r="F280">
        <v>813</v>
      </c>
      <c r="G280">
        <v>19</v>
      </c>
      <c r="H280" s="2">
        <v>45141</v>
      </c>
    </row>
    <row r="281" spans="1:8" x14ac:dyDescent="0.3">
      <c r="A281">
        <v>34</v>
      </c>
      <c r="B281" t="s">
        <v>12</v>
      </c>
      <c r="C281" t="s">
        <v>13</v>
      </c>
      <c r="D281" t="s">
        <v>14</v>
      </c>
      <c r="E281" t="s">
        <v>11</v>
      </c>
      <c r="F281">
        <v>1421</v>
      </c>
      <c r="G281">
        <v>14</v>
      </c>
      <c r="H281" s="2">
        <v>45348</v>
      </c>
    </row>
    <row r="282" spans="1:8" x14ac:dyDescent="0.3">
      <c r="A282">
        <v>50</v>
      </c>
      <c r="B282" t="s">
        <v>12</v>
      </c>
      <c r="C282" t="s">
        <v>23</v>
      </c>
      <c r="D282" t="s">
        <v>24</v>
      </c>
      <c r="E282" t="s">
        <v>11</v>
      </c>
      <c r="F282">
        <v>1113</v>
      </c>
      <c r="G282">
        <v>16</v>
      </c>
      <c r="H282" s="2">
        <v>45367</v>
      </c>
    </row>
    <row r="283" spans="1:8" x14ac:dyDescent="0.3">
      <c r="A283">
        <v>10</v>
      </c>
      <c r="B283" t="s">
        <v>8</v>
      </c>
      <c r="C283" t="s">
        <v>9</v>
      </c>
      <c r="D283" t="s">
        <v>20</v>
      </c>
      <c r="E283" t="s">
        <v>11</v>
      </c>
      <c r="F283">
        <v>570</v>
      </c>
      <c r="G283">
        <v>15</v>
      </c>
      <c r="H283" s="2">
        <v>45334</v>
      </c>
    </row>
    <row r="284" spans="1:8" x14ac:dyDescent="0.3">
      <c r="A284">
        <v>41</v>
      </c>
      <c r="B284" t="s">
        <v>12</v>
      </c>
      <c r="C284" t="s">
        <v>21</v>
      </c>
      <c r="D284" t="s">
        <v>24</v>
      </c>
      <c r="E284" t="s">
        <v>22</v>
      </c>
      <c r="F284">
        <v>953</v>
      </c>
      <c r="G284">
        <v>4</v>
      </c>
      <c r="H284" s="2">
        <v>45146</v>
      </c>
    </row>
    <row r="285" spans="1:8" x14ac:dyDescent="0.3">
      <c r="A285">
        <v>28</v>
      </c>
      <c r="B285" t="s">
        <v>8</v>
      </c>
      <c r="C285" t="s">
        <v>26</v>
      </c>
      <c r="D285" t="s">
        <v>24</v>
      </c>
      <c r="E285" t="s">
        <v>11</v>
      </c>
      <c r="F285">
        <v>1197</v>
      </c>
      <c r="G285">
        <v>7</v>
      </c>
      <c r="H285" s="2">
        <v>45101</v>
      </c>
    </row>
    <row r="286" spans="1:8" x14ac:dyDescent="0.3">
      <c r="A286">
        <v>50</v>
      </c>
      <c r="B286" t="s">
        <v>12</v>
      </c>
      <c r="C286" t="s">
        <v>15</v>
      </c>
      <c r="D286" t="s">
        <v>17</v>
      </c>
      <c r="E286" t="s">
        <v>11</v>
      </c>
      <c r="F286">
        <v>1225</v>
      </c>
      <c r="G286">
        <v>16</v>
      </c>
      <c r="H286" s="2">
        <v>45094</v>
      </c>
    </row>
    <row r="287" spans="1:8" x14ac:dyDescent="0.3">
      <c r="A287">
        <v>57</v>
      </c>
      <c r="B287" t="s">
        <v>12</v>
      </c>
      <c r="C287" t="s">
        <v>9</v>
      </c>
      <c r="D287" t="s">
        <v>16</v>
      </c>
      <c r="E287" t="s">
        <v>11</v>
      </c>
      <c r="F287">
        <v>976</v>
      </c>
      <c r="G287">
        <v>8</v>
      </c>
      <c r="H287" s="2">
        <v>45267</v>
      </c>
    </row>
    <row r="288" spans="1:8" x14ac:dyDescent="0.3">
      <c r="A288">
        <v>64</v>
      </c>
      <c r="B288" t="s">
        <v>8</v>
      </c>
      <c r="C288" t="s">
        <v>21</v>
      </c>
      <c r="D288" t="s">
        <v>20</v>
      </c>
      <c r="E288" t="s">
        <v>18</v>
      </c>
      <c r="F288">
        <v>603</v>
      </c>
      <c r="G288">
        <v>17</v>
      </c>
      <c r="H288" s="2">
        <v>45180</v>
      </c>
    </row>
    <row r="289" spans="1:8" x14ac:dyDescent="0.3">
      <c r="A289">
        <v>67</v>
      </c>
      <c r="B289" t="s">
        <v>12</v>
      </c>
      <c r="C289" t="s">
        <v>23</v>
      </c>
      <c r="D289" t="s">
        <v>24</v>
      </c>
      <c r="E289" t="s">
        <v>11</v>
      </c>
      <c r="F289">
        <v>1093</v>
      </c>
      <c r="G289">
        <v>16</v>
      </c>
      <c r="H289" s="2">
        <v>45522</v>
      </c>
    </row>
    <row r="290" spans="1:8" x14ac:dyDescent="0.3">
      <c r="A290">
        <v>36</v>
      </c>
      <c r="B290" t="s">
        <v>8</v>
      </c>
      <c r="C290" t="s">
        <v>15</v>
      </c>
      <c r="D290" t="s">
        <v>20</v>
      </c>
      <c r="E290" t="s">
        <v>11</v>
      </c>
      <c r="F290">
        <v>568</v>
      </c>
      <c r="G290">
        <v>10</v>
      </c>
      <c r="H290" s="2">
        <v>45017</v>
      </c>
    </row>
    <row r="291" spans="1:8" x14ac:dyDescent="0.3">
      <c r="A291">
        <v>37</v>
      </c>
      <c r="B291" t="s">
        <v>12</v>
      </c>
      <c r="C291" t="s">
        <v>25</v>
      </c>
      <c r="D291" t="s">
        <v>14</v>
      </c>
      <c r="E291" t="s">
        <v>11</v>
      </c>
      <c r="F291">
        <v>1551</v>
      </c>
      <c r="G291">
        <v>10</v>
      </c>
      <c r="H291" s="2">
        <v>45263</v>
      </c>
    </row>
    <row r="292" spans="1:8" x14ac:dyDescent="0.3">
      <c r="A292">
        <v>71</v>
      </c>
      <c r="B292" t="s">
        <v>12</v>
      </c>
      <c r="C292" t="s">
        <v>25</v>
      </c>
      <c r="D292" t="s">
        <v>17</v>
      </c>
      <c r="E292" t="s">
        <v>18</v>
      </c>
      <c r="F292">
        <v>1134</v>
      </c>
      <c r="G292">
        <v>2</v>
      </c>
      <c r="H292" s="2">
        <v>45020</v>
      </c>
    </row>
    <row r="293" spans="1:8" x14ac:dyDescent="0.3">
      <c r="A293">
        <v>22</v>
      </c>
      <c r="B293" t="s">
        <v>8</v>
      </c>
      <c r="C293" t="s">
        <v>23</v>
      </c>
      <c r="D293" t="s">
        <v>14</v>
      </c>
      <c r="E293" t="s">
        <v>11</v>
      </c>
      <c r="F293">
        <v>1583</v>
      </c>
      <c r="G293">
        <v>9</v>
      </c>
      <c r="H293" s="2">
        <v>45548</v>
      </c>
    </row>
    <row r="294" spans="1:8" x14ac:dyDescent="0.3">
      <c r="A294">
        <v>29</v>
      </c>
      <c r="B294" t="s">
        <v>12</v>
      </c>
      <c r="C294" t="s">
        <v>25</v>
      </c>
      <c r="D294" t="s">
        <v>20</v>
      </c>
      <c r="E294" t="s">
        <v>11</v>
      </c>
      <c r="F294">
        <v>685</v>
      </c>
      <c r="G294">
        <v>17</v>
      </c>
      <c r="H294" s="2">
        <v>45297</v>
      </c>
    </row>
    <row r="295" spans="1:8" x14ac:dyDescent="0.3">
      <c r="A295">
        <v>58</v>
      </c>
      <c r="B295" t="s">
        <v>8</v>
      </c>
      <c r="C295" t="s">
        <v>25</v>
      </c>
      <c r="D295" t="s">
        <v>20</v>
      </c>
      <c r="E295" t="s">
        <v>11</v>
      </c>
      <c r="F295">
        <v>456</v>
      </c>
      <c r="G295">
        <v>11</v>
      </c>
      <c r="H295" s="2">
        <v>45348</v>
      </c>
    </row>
    <row r="296" spans="1:8" x14ac:dyDescent="0.3">
      <c r="A296">
        <v>62</v>
      </c>
      <c r="B296" t="s">
        <v>8</v>
      </c>
      <c r="C296" t="s">
        <v>15</v>
      </c>
      <c r="D296" t="s">
        <v>16</v>
      </c>
      <c r="E296" t="s">
        <v>11</v>
      </c>
      <c r="F296">
        <v>921</v>
      </c>
      <c r="G296">
        <v>10</v>
      </c>
      <c r="H296" s="2">
        <v>44971</v>
      </c>
    </row>
    <row r="297" spans="1:8" x14ac:dyDescent="0.3">
      <c r="A297">
        <v>71</v>
      </c>
      <c r="B297" t="s">
        <v>8</v>
      </c>
      <c r="C297" t="s">
        <v>15</v>
      </c>
      <c r="D297" t="s">
        <v>24</v>
      </c>
      <c r="E297" t="s">
        <v>11</v>
      </c>
      <c r="F297">
        <v>1062</v>
      </c>
      <c r="G297">
        <v>17</v>
      </c>
      <c r="H297" s="2">
        <v>45448</v>
      </c>
    </row>
    <row r="298" spans="1:8" x14ac:dyDescent="0.3">
      <c r="A298">
        <v>50</v>
      </c>
      <c r="B298" t="s">
        <v>12</v>
      </c>
      <c r="C298" t="s">
        <v>19</v>
      </c>
      <c r="D298" t="s">
        <v>24</v>
      </c>
      <c r="E298" t="s">
        <v>18</v>
      </c>
      <c r="F298">
        <v>918</v>
      </c>
      <c r="G298">
        <v>4</v>
      </c>
      <c r="H298" s="2">
        <v>45398</v>
      </c>
    </row>
    <row r="299" spans="1:8" x14ac:dyDescent="0.3">
      <c r="A299">
        <v>28</v>
      </c>
      <c r="B299" t="s">
        <v>12</v>
      </c>
      <c r="C299" t="s">
        <v>21</v>
      </c>
      <c r="D299" t="s">
        <v>14</v>
      </c>
      <c r="E299" t="s">
        <v>11</v>
      </c>
      <c r="F299">
        <v>1663</v>
      </c>
      <c r="G299">
        <v>16</v>
      </c>
      <c r="H299" s="2">
        <v>45611</v>
      </c>
    </row>
    <row r="300" spans="1:8" x14ac:dyDescent="0.3">
      <c r="A300">
        <v>36</v>
      </c>
      <c r="B300" t="s">
        <v>8</v>
      </c>
      <c r="C300" t="s">
        <v>15</v>
      </c>
      <c r="D300" t="s">
        <v>17</v>
      </c>
      <c r="E300" t="s">
        <v>18</v>
      </c>
      <c r="F300">
        <v>1381</v>
      </c>
      <c r="G300">
        <v>20</v>
      </c>
      <c r="H300" s="2">
        <v>45214</v>
      </c>
    </row>
    <row r="301" spans="1:8" x14ac:dyDescent="0.3">
      <c r="A301">
        <v>51</v>
      </c>
      <c r="B301" t="s">
        <v>8</v>
      </c>
      <c r="C301" t="s">
        <v>19</v>
      </c>
      <c r="D301" t="s">
        <v>10</v>
      </c>
      <c r="E301" t="s">
        <v>11</v>
      </c>
      <c r="F301">
        <v>1012</v>
      </c>
      <c r="G301">
        <v>15</v>
      </c>
      <c r="H301" s="2">
        <v>45355</v>
      </c>
    </row>
    <row r="302" spans="1:8" x14ac:dyDescent="0.3">
      <c r="A302">
        <v>27</v>
      </c>
      <c r="B302" t="s">
        <v>8</v>
      </c>
      <c r="C302" t="s">
        <v>23</v>
      </c>
      <c r="D302" t="s">
        <v>24</v>
      </c>
      <c r="E302" t="s">
        <v>18</v>
      </c>
      <c r="F302">
        <v>929</v>
      </c>
      <c r="G302">
        <v>5</v>
      </c>
      <c r="H302" s="2">
        <v>44993</v>
      </c>
    </row>
    <row r="303" spans="1:8" x14ac:dyDescent="0.3">
      <c r="A303">
        <v>70</v>
      </c>
      <c r="B303" t="s">
        <v>12</v>
      </c>
      <c r="C303" t="s">
        <v>9</v>
      </c>
      <c r="D303" t="s">
        <v>16</v>
      </c>
      <c r="E303" t="s">
        <v>11</v>
      </c>
      <c r="F303">
        <v>834</v>
      </c>
      <c r="G303">
        <v>6</v>
      </c>
      <c r="H303" s="2">
        <v>45012</v>
      </c>
    </row>
    <row r="304" spans="1:8" x14ac:dyDescent="0.3">
      <c r="A304">
        <v>31</v>
      </c>
      <c r="B304" t="s">
        <v>12</v>
      </c>
      <c r="C304" t="s">
        <v>23</v>
      </c>
      <c r="D304" t="s">
        <v>14</v>
      </c>
      <c r="E304" t="s">
        <v>11</v>
      </c>
      <c r="F304">
        <v>1466</v>
      </c>
      <c r="G304">
        <v>17</v>
      </c>
      <c r="H304" s="2">
        <v>45459</v>
      </c>
    </row>
    <row r="305" spans="1:8" x14ac:dyDescent="0.3">
      <c r="A305">
        <v>6</v>
      </c>
      <c r="B305" t="s">
        <v>8</v>
      </c>
      <c r="C305" t="s">
        <v>13</v>
      </c>
      <c r="D305" t="s">
        <v>14</v>
      </c>
      <c r="E305" t="s">
        <v>22</v>
      </c>
      <c r="F305">
        <v>1464</v>
      </c>
      <c r="G305">
        <v>1</v>
      </c>
      <c r="H305" s="2">
        <v>45154</v>
      </c>
    </row>
    <row r="306" spans="1:8" x14ac:dyDescent="0.3">
      <c r="A306">
        <v>21</v>
      </c>
      <c r="B306" t="s">
        <v>8</v>
      </c>
      <c r="C306" t="s">
        <v>19</v>
      </c>
      <c r="D306" t="s">
        <v>10</v>
      </c>
      <c r="E306" t="s">
        <v>18</v>
      </c>
      <c r="F306">
        <v>1191</v>
      </c>
      <c r="G306">
        <v>19</v>
      </c>
      <c r="H306" s="2">
        <v>45600</v>
      </c>
    </row>
    <row r="307" spans="1:8" x14ac:dyDescent="0.3">
      <c r="A307">
        <v>37</v>
      </c>
      <c r="B307" t="s">
        <v>8</v>
      </c>
      <c r="C307" t="s">
        <v>9</v>
      </c>
      <c r="D307" t="s">
        <v>16</v>
      </c>
      <c r="E307" t="s">
        <v>11</v>
      </c>
      <c r="F307">
        <v>724</v>
      </c>
      <c r="G307">
        <v>4</v>
      </c>
      <c r="H307" s="2">
        <v>45120</v>
      </c>
    </row>
    <row r="308" spans="1:8" x14ac:dyDescent="0.3">
      <c r="A308">
        <v>13</v>
      </c>
      <c r="B308" t="s">
        <v>8</v>
      </c>
      <c r="C308" t="s">
        <v>9</v>
      </c>
      <c r="D308" t="s">
        <v>17</v>
      </c>
      <c r="E308" t="s">
        <v>11</v>
      </c>
      <c r="F308">
        <v>1136</v>
      </c>
      <c r="G308">
        <v>17</v>
      </c>
      <c r="H308" s="2">
        <v>45408</v>
      </c>
    </row>
    <row r="309" spans="1:8" x14ac:dyDescent="0.3">
      <c r="A309">
        <v>47</v>
      </c>
      <c r="B309" t="s">
        <v>8</v>
      </c>
      <c r="C309" t="s">
        <v>19</v>
      </c>
      <c r="D309" t="s">
        <v>16</v>
      </c>
      <c r="E309" t="s">
        <v>18</v>
      </c>
      <c r="F309">
        <v>700</v>
      </c>
      <c r="G309">
        <v>9</v>
      </c>
      <c r="H309" s="2">
        <v>45609</v>
      </c>
    </row>
    <row r="310" spans="1:8" x14ac:dyDescent="0.3">
      <c r="A310">
        <v>52</v>
      </c>
      <c r="B310" t="s">
        <v>12</v>
      </c>
      <c r="C310" t="s">
        <v>9</v>
      </c>
      <c r="D310" t="s">
        <v>17</v>
      </c>
      <c r="E310" t="s">
        <v>11</v>
      </c>
      <c r="F310">
        <v>1136</v>
      </c>
      <c r="G310">
        <v>2</v>
      </c>
      <c r="H310" s="2">
        <v>45628</v>
      </c>
    </row>
    <row r="311" spans="1:8" x14ac:dyDescent="0.3">
      <c r="A311">
        <v>43</v>
      </c>
      <c r="B311" t="s">
        <v>12</v>
      </c>
      <c r="C311" t="s">
        <v>9</v>
      </c>
      <c r="D311" t="s">
        <v>16</v>
      </c>
      <c r="E311" t="s">
        <v>18</v>
      </c>
      <c r="F311">
        <v>840</v>
      </c>
      <c r="G311">
        <v>8</v>
      </c>
      <c r="H311" s="2">
        <v>45019</v>
      </c>
    </row>
    <row r="312" spans="1:8" x14ac:dyDescent="0.3">
      <c r="A312">
        <v>46</v>
      </c>
      <c r="B312" t="s">
        <v>12</v>
      </c>
      <c r="C312" t="s">
        <v>9</v>
      </c>
      <c r="D312" t="s">
        <v>16</v>
      </c>
      <c r="E312" t="s">
        <v>18</v>
      </c>
      <c r="F312">
        <v>931</v>
      </c>
      <c r="G312">
        <v>15</v>
      </c>
      <c r="H312" s="2">
        <v>45618</v>
      </c>
    </row>
    <row r="313" spans="1:8" x14ac:dyDescent="0.3">
      <c r="A313">
        <v>30</v>
      </c>
      <c r="B313" t="s">
        <v>12</v>
      </c>
      <c r="C313" t="s">
        <v>15</v>
      </c>
      <c r="D313" t="s">
        <v>20</v>
      </c>
      <c r="E313" t="s">
        <v>11</v>
      </c>
      <c r="F313">
        <v>535</v>
      </c>
      <c r="G313">
        <v>7</v>
      </c>
      <c r="H313" s="2">
        <v>45207</v>
      </c>
    </row>
    <row r="314" spans="1:8" x14ac:dyDescent="0.3">
      <c r="A314">
        <v>54</v>
      </c>
      <c r="B314" t="s">
        <v>8</v>
      </c>
      <c r="C314" t="s">
        <v>15</v>
      </c>
      <c r="D314" t="s">
        <v>14</v>
      </c>
      <c r="E314" t="s">
        <v>11</v>
      </c>
      <c r="F314">
        <v>1587</v>
      </c>
      <c r="G314">
        <v>6</v>
      </c>
      <c r="H314" s="2">
        <v>45620</v>
      </c>
    </row>
    <row r="315" spans="1:8" x14ac:dyDescent="0.3">
      <c r="A315">
        <v>29</v>
      </c>
      <c r="B315" t="s">
        <v>12</v>
      </c>
      <c r="C315" t="s">
        <v>9</v>
      </c>
      <c r="D315" t="s">
        <v>16</v>
      </c>
      <c r="E315" t="s">
        <v>11</v>
      </c>
      <c r="F315">
        <v>827</v>
      </c>
      <c r="G315">
        <v>1</v>
      </c>
      <c r="H315" s="2">
        <v>45245</v>
      </c>
    </row>
    <row r="316" spans="1:8" x14ac:dyDescent="0.3">
      <c r="A316">
        <v>28</v>
      </c>
      <c r="B316" t="s">
        <v>8</v>
      </c>
      <c r="C316" t="s">
        <v>9</v>
      </c>
      <c r="D316" t="s">
        <v>10</v>
      </c>
      <c r="E316" t="s">
        <v>11</v>
      </c>
      <c r="F316">
        <v>1100</v>
      </c>
      <c r="G316">
        <v>15</v>
      </c>
      <c r="H316" s="2">
        <v>45241</v>
      </c>
    </row>
    <row r="317" spans="1:8" x14ac:dyDescent="0.3">
      <c r="A317">
        <v>17</v>
      </c>
      <c r="B317" t="s">
        <v>12</v>
      </c>
      <c r="C317" t="s">
        <v>15</v>
      </c>
      <c r="D317" t="s">
        <v>16</v>
      </c>
      <c r="E317" t="s">
        <v>11</v>
      </c>
      <c r="F317">
        <v>826</v>
      </c>
      <c r="G317">
        <v>7</v>
      </c>
      <c r="H317" s="2">
        <v>45331</v>
      </c>
    </row>
    <row r="318" spans="1:8" x14ac:dyDescent="0.3">
      <c r="A318">
        <v>64</v>
      </c>
      <c r="B318" t="s">
        <v>12</v>
      </c>
      <c r="C318" t="s">
        <v>23</v>
      </c>
      <c r="D318" t="s">
        <v>24</v>
      </c>
      <c r="E318" t="s">
        <v>22</v>
      </c>
      <c r="F318">
        <v>1156</v>
      </c>
      <c r="G318">
        <v>17</v>
      </c>
      <c r="H318" s="2">
        <v>45298</v>
      </c>
    </row>
    <row r="319" spans="1:8" x14ac:dyDescent="0.3">
      <c r="A319">
        <v>11</v>
      </c>
      <c r="B319" t="s">
        <v>12</v>
      </c>
      <c r="C319" t="s">
        <v>23</v>
      </c>
      <c r="D319" t="s">
        <v>14</v>
      </c>
      <c r="E319" t="s">
        <v>11</v>
      </c>
      <c r="F319">
        <v>1563</v>
      </c>
      <c r="G319">
        <v>2</v>
      </c>
      <c r="H319" s="2">
        <v>45548</v>
      </c>
    </row>
    <row r="320" spans="1:8" x14ac:dyDescent="0.3">
      <c r="A320">
        <v>61</v>
      </c>
      <c r="B320" t="s">
        <v>12</v>
      </c>
      <c r="C320" t="s">
        <v>15</v>
      </c>
      <c r="D320" t="s">
        <v>24</v>
      </c>
      <c r="E320" t="s">
        <v>18</v>
      </c>
      <c r="F320">
        <v>934</v>
      </c>
      <c r="G320">
        <v>9</v>
      </c>
      <c r="H320" s="2">
        <v>45628</v>
      </c>
    </row>
    <row r="321" spans="1:8" x14ac:dyDescent="0.3">
      <c r="A321">
        <v>40</v>
      </c>
      <c r="B321" t="s">
        <v>8</v>
      </c>
      <c r="C321" t="s">
        <v>13</v>
      </c>
      <c r="D321" t="s">
        <v>14</v>
      </c>
      <c r="E321" t="s">
        <v>11</v>
      </c>
      <c r="F321">
        <v>1593</v>
      </c>
      <c r="G321">
        <v>9</v>
      </c>
      <c r="H321" s="2">
        <v>45634</v>
      </c>
    </row>
    <row r="322" spans="1:8" x14ac:dyDescent="0.3">
      <c r="A322">
        <v>49</v>
      </c>
      <c r="B322" t="s">
        <v>12</v>
      </c>
      <c r="C322" t="s">
        <v>9</v>
      </c>
      <c r="D322" t="s">
        <v>24</v>
      </c>
      <c r="E322" t="s">
        <v>11</v>
      </c>
      <c r="F322">
        <v>1090</v>
      </c>
      <c r="G322">
        <v>13</v>
      </c>
      <c r="H322" s="2">
        <v>44964</v>
      </c>
    </row>
    <row r="323" spans="1:8" x14ac:dyDescent="0.3">
      <c r="A323">
        <v>24</v>
      </c>
      <c r="B323" t="s">
        <v>8</v>
      </c>
      <c r="C323" t="s">
        <v>23</v>
      </c>
      <c r="D323" t="s">
        <v>16</v>
      </c>
      <c r="E323" t="s">
        <v>11</v>
      </c>
      <c r="F323">
        <v>803</v>
      </c>
      <c r="G323">
        <v>6</v>
      </c>
      <c r="H323" s="2">
        <v>45528</v>
      </c>
    </row>
    <row r="324" spans="1:8" x14ac:dyDescent="0.3">
      <c r="A324">
        <v>69</v>
      </c>
      <c r="B324" t="s">
        <v>12</v>
      </c>
      <c r="C324" t="s">
        <v>19</v>
      </c>
      <c r="D324" t="s">
        <v>16</v>
      </c>
      <c r="E324" t="s">
        <v>11</v>
      </c>
      <c r="F324">
        <v>722</v>
      </c>
      <c r="G324">
        <v>6</v>
      </c>
      <c r="H324" s="2">
        <v>45547</v>
      </c>
    </row>
    <row r="325" spans="1:8" x14ac:dyDescent="0.3">
      <c r="A325">
        <v>12</v>
      </c>
      <c r="B325" t="s">
        <v>12</v>
      </c>
      <c r="C325" t="s">
        <v>26</v>
      </c>
      <c r="D325" t="s">
        <v>20</v>
      </c>
      <c r="E325" t="s">
        <v>11</v>
      </c>
      <c r="F325">
        <v>664</v>
      </c>
      <c r="G325">
        <v>20</v>
      </c>
      <c r="H325" s="2">
        <v>45035</v>
      </c>
    </row>
    <row r="326" spans="1:8" x14ac:dyDescent="0.3">
      <c r="A326">
        <v>20</v>
      </c>
      <c r="B326" t="s">
        <v>12</v>
      </c>
      <c r="C326" t="s">
        <v>23</v>
      </c>
      <c r="D326" t="s">
        <v>10</v>
      </c>
      <c r="E326" t="s">
        <v>11</v>
      </c>
      <c r="F326">
        <v>1189</v>
      </c>
      <c r="G326">
        <v>20</v>
      </c>
      <c r="H326" s="2">
        <v>45511</v>
      </c>
    </row>
    <row r="327" spans="1:8" x14ac:dyDescent="0.3">
      <c r="A327">
        <v>18</v>
      </c>
      <c r="B327" t="s">
        <v>8</v>
      </c>
      <c r="C327" t="s">
        <v>23</v>
      </c>
      <c r="D327" t="s">
        <v>24</v>
      </c>
      <c r="E327" t="s">
        <v>18</v>
      </c>
      <c r="F327">
        <v>1159</v>
      </c>
      <c r="G327">
        <v>3</v>
      </c>
      <c r="H327" s="2">
        <v>45545</v>
      </c>
    </row>
    <row r="328" spans="1:8" x14ac:dyDescent="0.3">
      <c r="A328">
        <v>19</v>
      </c>
      <c r="B328" t="s">
        <v>8</v>
      </c>
      <c r="C328" t="s">
        <v>25</v>
      </c>
      <c r="D328" t="s">
        <v>17</v>
      </c>
      <c r="E328" t="s">
        <v>11</v>
      </c>
      <c r="F328">
        <v>1174</v>
      </c>
      <c r="G328">
        <v>17</v>
      </c>
      <c r="H328" s="2">
        <v>45224</v>
      </c>
    </row>
    <row r="329" spans="1:8" x14ac:dyDescent="0.3">
      <c r="A329">
        <v>70</v>
      </c>
      <c r="B329" t="s">
        <v>12</v>
      </c>
      <c r="C329" t="s">
        <v>15</v>
      </c>
      <c r="D329" t="s">
        <v>20</v>
      </c>
      <c r="E329" t="s">
        <v>11</v>
      </c>
      <c r="F329">
        <v>471</v>
      </c>
      <c r="G329">
        <v>17</v>
      </c>
      <c r="H329" s="2">
        <v>45581</v>
      </c>
    </row>
    <row r="330" spans="1:8" x14ac:dyDescent="0.3">
      <c r="A330">
        <v>36</v>
      </c>
      <c r="B330" t="s">
        <v>12</v>
      </c>
      <c r="C330" t="s">
        <v>15</v>
      </c>
      <c r="D330" t="s">
        <v>24</v>
      </c>
      <c r="E330" t="s">
        <v>11</v>
      </c>
      <c r="F330">
        <v>1158</v>
      </c>
      <c r="G330">
        <v>12</v>
      </c>
      <c r="H330" s="2">
        <v>45415</v>
      </c>
    </row>
    <row r="331" spans="1:8" x14ac:dyDescent="0.3">
      <c r="A331">
        <v>67</v>
      </c>
      <c r="B331" t="s">
        <v>8</v>
      </c>
      <c r="C331" t="s">
        <v>23</v>
      </c>
      <c r="D331" t="s">
        <v>24</v>
      </c>
      <c r="E331" t="s">
        <v>11</v>
      </c>
      <c r="F331">
        <v>1087</v>
      </c>
      <c r="G331">
        <v>16</v>
      </c>
      <c r="H331" s="2">
        <v>45483</v>
      </c>
    </row>
    <row r="332" spans="1:8" x14ac:dyDescent="0.3">
      <c r="A332">
        <v>55</v>
      </c>
      <c r="B332" t="s">
        <v>12</v>
      </c>
      <c r="C332" t="s">
        <v>9</v>
      </c>
      <c r="D332" t="s">
        <v>20</v>
      </c>
      <c r="E332" t="s">
        <v>11</v>
      </c>
      <c r="F332">
        <v>572</v>
      </c>
      <c r="G332">
        <v>15</v>
      </c>
      <c r="H332" s="2">
        <v>45205</v>
      </c>
    </row>
    <row r="333" spans="1:8" x14ac:dyDescent="0.3">
      <c r="A333">
        <v>29</v>
      </c>
      <c r="B333" t="s">
        <v>12</v>
      </c>
      <c r="C333" t="s">
        <v>23</v>
      </c>
      <c r="D333" t="s">
        <v>16</v>
      </c>
      <c r="E333" t="s">
        <v>11</v>
      </c>
      <c r="F333">
        <v>989</v>
      </c>
      <c r="G333">
        <v>13</v>
      </c>
      <c r="H333" s="2">
        <v>45400</v>
      </c>
    </row>
    <row r="334" spans="1:8" x14ac:dyDescent="0.3">
      <c r="A334">
        <v>62</v>
      </c>
      <c r="B334" t="s">
        <v>8</v>
      </c>
      <c r="C334" t="s">
        <v>15</v>
      </c>
      <c r="D334" t="s">
        <v>24</v>
      </c>
      <c r="E334" t="s">
        <v>11</v>
      </c>
      <c r="F334">
        <v>944</v>
      </c>
      <c r="G334">
        <v>1</v>
      </c>
      <c r="H334" s="2">
        <v>44944</v>
      </c>
    </row>
    <row r="335" spans="1:8" x14ac:dyDescent="0.3">
      <c r="A335">
        <v>67</v>
      </c>
      <c r="B335" t="s">
        <v>8</v>
      </c>
      <c r="C335" t="s">
        <v>9</v>
      </c>
      <c r="D335" t="s">
        <v>16</v>
      </c>
      <c r="E335" t="s">
        <v>11</v>
      </c>
      <c r="F335">
        <v>760</v>
      </c>
      <c r="G335">
        <v>17</v>
      </c>
      <c r="H335" s="2">
        <v>45356</v>
      </c>
    </row>
    <row r="336" spans="1:8" x14ac:dyDescent="0.3">
      <c r="A336">
        <v>66</v>
      </c>
      <c r="B336" t="s">
        <v>12</v>
      </c>
      <c r="C336" t="s">
        <v>9</v>
      </c>
      <c r="D336" t="s">
        <v>20</v>
      </c>
      <c r="E336" t="s">
        <v>11</v>
      </c>
      <c r="F336">
        <v>482</v>
      </c>
      <c r="G336">
        <v>3</v>
      </c>
      <c r="H336" s="2">
        <v>45067</v>
      </c>
    </row>
    <row r="337" spans="1:8" x14ac:dyDescent="0.3">
      <c r="A337">
        <v>26</v>
      </c>
      <c r="B337" t="s">
        <v>8</v>
      </c>
      <c r="C337" t="s">
        <v>9</v>
      </c>
      <c r="D337" t="s">
        <v>16</v>
      </c>
      <c r="E337" t="s">
        <v>18</v>
      </c>
      <c r="F337">
        <v>822</v>
      </c>
      <c r="G337">
        <v>15</v>
      </c>
      <c r="H337" s="2">
        <v>45358</v>
      </c>
    </row>
    <row r="338" spans="1:8" x14ac:dyDescent="0.3">
      <c r="A338">
        <v>62</v>
      </c>
      <c r="B338" t="s">
        <v>8</v>
      </c>
      <c r="C338" t="s">
        <v>19</v>
      </c>
      <c r="D338" t="s">
        <v>14</v>
      </c>
      <c r="E338" t="s">
        <v>11</v>
      </c>
      <c r="F338">
        <v>1415</v>
      </c>
      <c r="G338">
        <v>4</v>
      </c>
      <c r="H338" s="2">
        <v>45262</v>
      </c>
    </row>
    <row r="339" spans="1:8" x14ac:dyDescent="0.3">
      <c r="A339">
        <v>62</v>
      </c>
      <c r="B339" t="s">
        <v>12</v>
      </c>
      <c r="C339" t="s">
        <v>9</v>
      </c>
      <c r="D339" t="s">
        <v>17</v>
      </c>
      <c r="E339" t="s">
        <v>11</v>
      </c>
      <c r="F339">
        <v>1165</v>
      </c>
      <c r="G339">
        <v>4</v>
      </c>
      <c r="H339" s="2">
        <v>45241</v>
      </c>
    </row>
    <row r="340" spans="1:8" x14ac:dyDescent="0.3">
      <c r="A340">
        <v>53</v>
      </c>
      <c r="B340" t="s">
        <v>8</v>
      </c>
      <c r="C340" t="s">
        <v>9</v>
      </c>
      <c r="D340" t="s">
        <v>24</v>
      </c>
      <c r="E340" t="s">
        <v>11</v>
      </c>
      <c r="F340">
        <v>1044</v>
      </c>
      <c r="G340">
        <v>18</v>
      </c>
      <c r="H340" s="2">
        <v>45120</v>
      </c>
    </row>
    <row r="341" spans="1:8" x14ac:dyDescent="0.3">
      <c r="A341">
        <v>56</v>
      </c>
      <c r="B341" t="s">
        <v>8</v>
      </c>
      <c r="C341" t="s">
        <v>9</v>
      </c>
      <c r="D341" t="s">
        <v>10</v>
      </c>
      <c r="E341" t="s">
        <v>11</v>
      </c>
      <c r="F341">
        <v>1061</v>
      </c>
      <c r="G341">
        <v>17</v>
      </c>
      <c r="H341" s="2">
        <v>45283</v>
      </c>
    </row>
    <row r="342" spans="1:8" x14ac:dyDescent="0.3">
      <c r="A342">
        <v>46</v>
      </c>
      <c r="B342" t="s">
        <v>12</v>
      </c>
      <c r="C342" t="s">
        <v>9</v>
      </c>
      <c r="D342" t="s">
        <v>17</v>
      </c>
      <c r="E342" t="s">
        <v>22</v>
      </c>
      <c r="F342">
        <v>1333</v>
      </c>
      <c r="G342">
        <v>19</v>
      </c>
      <c r="H342" s="2">
        <v>45174</v>
      </c>
    </row>
    <row r="343" spans="1:8" x14ac:dyDescent="0.3">
      <c r="A343">
        <v>74</v>
      </c>
      <c r="B343" t="s">
        <v>12</v>
      </c>
      <c r="C343" t="s">
        <v>25</v>
      </c>
      <c r="D343" t="s">
        <v>16</v>
      </c>
      <c r="E343" t="s">
        <v>11</v>
      </c>
      <c r="F343">
        <v>843</v>
      </c>
      <c r="G343">
        <v>11</v>
      </c>
      <c r="H343" s="2">
        <v>45266</v>
      </c>
    </row>
    <row r="344" spans="1:8" x14ac:dyDescent="0.3">
      <c r="A344">
        <v>19</v>
      </c>
      <c r="B344" t="s">
        <v>12</v>
      </c>
      <c r="C344" t="s">
        <v>15</v>
      </c>
      <c r="D344" t="s">
        <v>24</v>
      </c>
      <c r="E344" t="s">
        <v>11</v>
      </c>
      <c r="F344">
        <v>1087</v>
      </c>
      <c r="G344">
        <v>20</v>
      </c>
      <c r="H344" s="2">
        <v>45467</v>
      </c>
    </row>
    <row r="345" spans="1:8" x14ac:dyDescent="0.3">
      <c r="A345">
        <v>58</v>
      </c>
      <c r="B345" t="s">
        <v>8</v>
      </c>
      <c r="C345" t="s">
        <v>19</v>
      </c>
      <c r="D345" t="s">
        <v>16</v>
      </c>
      <c r="E345" t="s">
        <v>11</v>
      </c>
      <c r="F345">
        <v>712</v>
      </c>
      <c r="G345">
        <v>3</v>
      </c>
      <c r="H345" s="2">
        <v>45591</v>
      </c>
    </row>
    <row r="346" spans="1:8" x14ac:dyDescent="0.3">
      <c r="A346">
        <v>64</v>
      </c>
      <c r="B346" t="s">
        <v>12</v>
      </c>
      <c r="C346" t="s">
        <v>19</v>
      </c>
      <c r="D346" t="s">
        <v>14</v>
      </c>
      <c r="E346" t="s">
        <v>11</v>
      </c>
      <c r="F346">
        <v>1583</v>
      </c>
      <c r="G346">
        <v>8</v>
      </c>
      <c r="H346" s="2">
        <v>44940</v>
      </c>
    </row>
    <row r="347" spans="1:8" x14ac:dyDescent="0.3">
      <c r="A347">
        <v>12</v>
      </c>
      <c r="B347" t="s">
        <v>8</v>
      </c>
      <c r="C347" t="s">
        <v>23</v>
      </c>
      <c r="D347" t="s">
        <v>20</v>
      </c>
      <c r="E347" t="s">
        <v>11</v>
      </c>
      <c r="F347">
        <v>510</v>
      </c>
      <c r="G347">
        <v>14</v>
      </c>
      <c r="H347" s="2">
        <v>45119</v>
      </c>
    </row>
    <row r="348" spans="1:8" x14ac:dyDescent="0.3">
      <c r="A348">
        <v>57</v>
      </c>
      <c r="B348" t="s">
        <v>8</v>
      </c>
      <c r="C348" t="s">
        <v>19</v>
      </c>
      <c r="D348" t="s">
        <v>24</v>
      </c>
      <c r="E348" t="s">
        <v>11</v>
      </c>
      <c r="F348">
        <v>1189</v>
      </c>
      <c r="G348">
        <v>1</v>
      </c>
      <c r="H348" s="2">
        <v>44989</v>
      </c>
    </row>
    <row r="349" spans="1:8" x14ac:dyDescent="0.3">
      <c r="A349">
        <v>64</v>
      </c>
      <c r="B349" t="s">
        <v>12</v>
      </c>
      <c r="C349" t="s">
        <v>25</v>
      </c>
      <c r="D349" t="s">
        <v>14</v>
      </c>
      <c r="E349" t="s">
        <v>22</v>
      </c>
      <c r="F349">
        <v>1694</v>
      </c>
      <c r="G349">
        <v>14</v>
      </c>
      <c r="H349" s="2">
        <v>45069</v>
      </c>
    </row>
    <row r="350" spans="1:8" x14ac:dyDescent="0.3">
      <c r="A350">
        <v>9</v>
      </c>
      <c r="B350" t="s">
        <v>8</v>
      </c>
      <c r="C350" t="s">
        <v>26</v>
      </c>
      <c r="D350" t="s">
        <v>14</v>
      </c>
      <c r="E350" t="s">
        <v>11</v>
      </c>
      <c r="F350">
        <v>1614</v>
      </c>
      <c r="G350">
        <v>2</v>
      </c>
      <c r="H350" s="2">
        <v>45571</v>
      </c>
    </row>
    <row r="351" spans="1:8" x14ac:dyDescent="0.3">
      <c r="A351">
        <v>72</v>
      </c>
      <c r="B351" t="s">
        <v>12</v>
      </c>
      <c r="C351" t="s">
        <v>15</v>
      </c>
      <c r="D351" t="s">
        <v>24</v>
      </c>
      <c r="E351" t="s">
        <v>11</v>
      </c>
      <c r="F351">
        <v>1019</v>
      </c>
      <c r="G351">
        <v>4</v>
      </c>
      <c r="H351" s="2">
        <v>45026</v>
      </c>
    </row>
    <row r="352" spans="1:8" x14ac:dyDescent="0.3">
      <c r="A352">
        <v>10</v>
      </c>
      <c r="B352" t="s">
        <v>8</v>
      </c>
      <c r="C352" t="s">
        <v>15</v>
      </c>
      <c r="D352" t="s">
        <v>16</v>
      </c>
      <c r="E352" t="s">
        <v>11</v>
      </c>
      <c r="F352">
        <v>754</v>
      </c>
      <c r="G352">
        <v>19</v>
      </c>
      <c r="H352" s="2">
        <v>45583</v>
      </c>
    </row>
    <row r="353" spans="1:8" x14ac:dyDescent="0.3">
      <c r="A353">
        <v>51</v>
      </c>
      <c r="B353" t="s">
        <v>8</v>
      </c>
      <c r="C353" t="s">
        <v>9</v>
      </c>
      <c r="D353" t="s">
        <v>10</v>
      </c>
      <c r="E353" t="s">
        <v>11</v>
      </c>
      <c r="F353">
        <v>926</v>
      </c>
      <c r="G353">
        <v>6</v>
      </c>
      <c r="H353" s="2">
        <v>45427</v>
      </c>
    </row>
    <row r="354" spans="1:8" x14ac:dyDescent="0.3">
      <c r="A354">
        <v>59</v>
      </c>
      <c r="B354" t="s">
        <v>12</v>
      </c>
      <c r="C354" t="s">
        <v>15</v>
      </c>
      <c r="D354" t="s">
        <v>14</v>
      </c>
      <c r="E354" t="s">
        <v>11</v>
      </c>
      <c r="F354">
        <v>1517</v>
      </c>
      <c r="G354">
        <v>1</v>
      </c>
      <c r="H354" s="2">
        <v>45054</v>
      </c>
    </row>
    <row r="355" spans="1:8" x14ac:dyDescent="0.3">
      <c r="A355">
        <v>44</v>
      </c>
      <c r="B355" t="s">
        <v>12</v>
      </c>
      <c r="C355" t="s">
        <v>19</v>
      </c>
      <c r="D355" t="s">
        <v>17</v>
      </c>
      <c r="E355" t="s">
        <v>18</v>
      </c>
      <c r="F355">
        <v>1320</v>
      </c>
      <c r="G355">
        <v>17</v>
      </c>
      <c r="H355" s="2">
        <v>45103</v>
      </c>
    </row>
    <row r="356" spans="1:8" x14ac:dyDescent="0.3">
      <c r="A356">
        <v>56</v>
      </c>
      <c r="B356" t="s">
        <v>12</v>
      </c>
      <c r="C356" t="s">
        <v>21</v>
      </c>
      <c r="D356" t="s">
        <v>14</v>
      </c>
      <c r="E356" t="s">
        <v>18</v>
      </c>
      <c r="F356">
        <v>1630</v>
      </c>
      <c r="G356">
        <v>8</v>
      </c>
      <c r="H356" s="2">
        <v>45574</v>
      </c>
    </row>
    <row r="357" spans="1:8" x14ac:dyDescent="0.3">
      <c r="A357">
        <v>20</v>
      </c>
      <c r="B357" t="s">
        <v>12</v>
      </c>
      <c r="C357" t="s">
        <v>15</v>
      </c>
      <c r="D357" t="s">
        <v>10</v>
      </c>
      <c r="E357" t="s">
        <v>11</v>
      </c>
      <c r="F357">
        <v>952</v>
      </c>
      <c r="G357">
        <v>19</v>
      </c>
      <c r="H357" s="2">
        <v>45631</v>
      </c>
    </row>
    <row r="358" spans="1:8" x14ac:dyDescent="0.3">
      <c r="A358">
        <v>17</v>
      </c>
      <c r="B358" t="s">
        <v>12</v>
      </c>
      <c r="C358" t="s">
        <v>15</v>
      </c>
      <c r="D358" t="s">
        <v>16</v>
      </c>
      <c r="E358" t="s">
        <v>18</v>
      </c>
      <c r="F358">
        <v>994</v>
      </c>
      <c r="G358">
        <v>1</v>
      </c>
      <c r="H358" s="2">
        <v>45209</v>
      </c>
    </row>
    <row r="359" spans="1:8" x14ac:dyDescent="0.3">
      <c r="A359">
        <v>34</v>
      </c>
      <c r="B359" t="s">
        <v>12</v>
      </c>
      <c r="C359" t="s">
        <v>15</v>
      </c>
      <c r="D359" t="s">
        <v>16</v>
      </c>
      <c r="E359" t="s">
        <v>22</v>
      </c>
      <c r="F359">
        <v>932</v>
      </c>
      <c r="G359">
        <v>5</v>
      </c>
      <c r="H359" s="2">
        <v>45250</v>
      </c>
    </row>
    <row r="360" spans="1:8" x14ac:dyDescent="0.3">
      <c r="A360">
        <v>23</v>
      </c>
      <c r="B360" t="s">
        <v>8</v>
      </c>
      <c r="C360" t="s">
        <v>23</v>
      </c>
      <c r="D360" t="s">
        <v>17</v>
      </c>
      <c r="E360" t="s">
        <v>18</v>
      </c>
      <c r="F360">
        <v>1257</v>
      </c>
      <c r="G360">
        <v>16</v>
      </c>
      <c r="H360" s="2">
        <v>45083</v>
      </c>
    </row>
    <row r="361" spans="1:8" x14ac:dyDescent="0.3">
      <c r="A361">
        <v>21</v>
      </c>
      <c r="B361" t="s">
        <v>12</v>
      </c>
      <c r="C361" t="s">
        <v>19</v>
      </c>
      <c r="D361" t="s">
        <v>14</v>
      </c>
      <c r="E361" t="s">
        <v>11</v>
      </c>
      <c r="F361">
        <v>1668</v>
      </c>
      <c r="G361">
        <v>6</v>
      </c>
      <c r="H361" s="2">
        <v>45520</v>
      </c>
    </row>
    <row r="362" spans="1:8" x14ac:dyDescent="0.3">
      <c r="A362">
        <v>67</v>
      </c>
      <c r="B362" t="s">
        <v>12</v>
      </c>
      <c r="C362" t="s">
        <v>15</v>
      </c>
      <c r="D362" t="s">
        <v>16</v>
      </c>
      <c r="E362" t="s">
        <v>18</v>
      </c>
      <c r="F362">
        <v>720</v>
      </c>
      <c r="G362">
        <v>8</v>
      </c>
      <c r="H362" s="2">
        <v>45528</v>
      </c>
    </row>
    <row r="363" spans="1:8" x14ac:dyDescent="0.3">
      <c r="A363">
        <v>23</v>
      </c>
      <c r="B363" t="s">
        <v>8</v>
      </c>
      <c r="C363" t="s">
        <v>21</v>
      </c>
      <c r="D363" t="s">
        <v>10</v>
      </c>
      <c r="E363" t="s">
        <v>11</v>
      </c>
      <c r="F363">
        <v>952</v>
      </c>
      <c r="G363">
        <v>13</v>
      </c>
      <c r="H363" s="2">
        <v>45257</v>
      </c>
    </row>
    <row r="364" spans="1:8" x14ac:dyDescent="0.3">
      <c r="A364">
        <v>62</v>
      </c>
      <c r="B364" t="s">
        <v>12</v>
      </c>
      <c r="C364" t="s">
        <v>25</v>
      </c>
      <c r="D364" t="s">
        <v>24</v>
      </c>
      <c r="E364" t="s">
        <v>22</v>
      </c>
      <c r="F364">
        <v>1174</v>
      </c>
      <c r="G364">
        <v>16</v>
      </c>
      <c r="H364" s="2">
        <v>45538</v>
      </c>
    </row>
    <row r="365" spans="1:8" x14ac:dyDescent="0.3">
      <c r="A365">
        <v>59</v>
      </c>
      <c r="B365" t="s">
        <v>8</v>
      </c>
      <c r="C365" t="s">
        <v>15</v>
      </c>
      <c r="D365" t="s">
        <v>20</v>
      </c>
      <c r="E365" t="s">
        <v>11</v>
      </c>
      <c r="F365">
        <v>680</v>
      </c>
      <c r="G365">
        <v>3</v>
      </c>
      <c r="H365" s="2">
        <v>45514</v>
      </c>
    </row>
    <row r="366" spans="1:8" x14ac:dyDescent="0.3">
      <c r="A366">
        <v>66</v>
      </c>
      <c r="B366" t="s">
        <v>8</v>
      </c>
      <c r="C366" t="s">
        <v>19</v>
      </c>
      <c r="D366" t="s">
        <v>20</v>
      </c>
      <c r="E366" t="s">
        <v>11</v>
      </c>
      <c r="F366">
        <v>613</v>
      </c>
      <c r="G366">
        <v>19</v>
      </c>
      <c r="H366" s="2">
        <v>45241</v>
      </c>
    </row>
    <row r="367" spans="1:8" x14ac:dyDescent="0.3">
      <c r="A367">
        <v>27</v>
      </c>
      <c r="B367" t="s">
        <v>8</v>
      </c>
      <c r="C367" t="s">
        <v>25</v>
      </c>
      <c r="D367" t="s">
        <v>20</v>
      </c>
      <c r="E367" t="s">
        <v>18</v>
      </c>
      <c r="F367">
        <v>430</v>
      </c>
      <c r="G367">
        <v>12</v>
      </c>
      <c r="H367" s="2">
        <v>44968</v>
      </c>
    </row>
    <row r="368" spans="1:8" x14ac:dyDescent="0.3">
      <c r="A368">
        <v>13</v>
      </c>
      <c r="B368" t="s">
        <v>12</v>
      </c>
      <c r="C368" t="s">
        <v>9</v>
      </c>
      <c r="D368" t="s">
        <v>14</v>
      </c>
      <c r="E368" t="s">
        <v>11</v>
      </c>
      <c r="F368">
        <v>1582</v>
      </c>
      <c r="G368">
        <v>16</v>
      </c>
      <c r="H368" s="2">
        <v>45643</v>
      </c>
    </row>
    <row r="369" spans="1:8" x14ac:dyDescent="0.3">
      <c r="A369">
        <v>16</v>
      </c>
      <c r="B369" t="s">
        <v>12</v>
      </c>
      <c r="C369" t="s">
        <v>15</v>
      </c>
      <c r="D369" t="s">
        <v>17</v>
      </c>
      <c r="E369" t="s">
        <v>22</v>
      </c>
      <c r="F369">
        <v>1122</v>
      </c>
      <c r="G369">
        <v>11</v>
      </c>
      <c r="H369" s="2">
        <v>45569</v>
      </c>
    </row>
    <row r="370" spans="1:8" x14ac:dyDescent="0.3">
      <c r="A370">
        <v>5</v>
      </c>
      <c r="B370" t="s">
        <v>12</v>
      </c>
      <c r="C370" t="s">
        <v>15</v>
      </c>
      <c r="D370" t="s">
        <v>16</v>
      </c>
      <c r="E370" t="s">
        <v>22</v>
      </c>
      <c r="F370">
        <v>731</v>
      </c>
      <c r="G370">
        <v>10</v>
      </c>
      <c r="H370" s="2">
        <v>45264</v>
      </c>
    </row>
    <row r="371" spans="1:8" x14ac:dyDescent="0.3">
      <c r="A371">
        <v>62</v>
      </c>
      <c r="B371" t="s">
        <v>8</v>
      </c>
      <c r="C371" t="s">
        <v>15</v>
      </c>
      <c r="D371" t="s">
        <v>24</v>
      </c>
      <c r="E371" t="s">
        <v>11</v>
      </c>
      <c r="F371">
        <v>973</v>
      </c>
      <c r="G371">
        <v>20</v>
      </c>
      <c r="H371" s="2">
        <v>45247</v>
      </c>
    </row>
    <row r="372" spans="1:8" x14ac:dyDescent="0.3">
      <c r="A372">
        <v>5</v>
      </c>
      <c r="B372" t="s">
        <v>12</v>
      </c>
      <c r="C372" t="s">
        <v>25</v>
      </c>
      <c r="D372" t="s">
        <v>10</v>
      </c>
      <c r="E372" t="s">
        <v>11</v>
      </c>
      <c r="F372">
        <v>909</v>
      </c>
      <c r="G372">
        <v>4</v>
      </c>
      <c r="H372" s="2">
        <v>44935</v>
      </c>
    </row>
    <row r="373" spans="1:8" x14ac:dyDescent="0.3">
      <c r="A373">
        <v>38</v>
      </c>
      <c r="B373" t="s">
        <v>12</v>
      </c>
      <c r="C373" t="s">
        <v>21</v>
      </c>
      <c r="D373" t="s">
        <v>24</v>
      </c>
      <c r="E373" t="s">
        <v>11</v>
      </c>
      <c r="F373">
        <v>953</v>
      </c>
      <c r="G373">
        <v>12</v>
      </c>
      <c r="H373" s="2">
        <v>45218</v>
      </c>
    </row>
    <row r="374" spans="1:8" x14ac:dyDescent="0.3">
      <c r="A374">
        <v>52</v>
      </c>
      <c r="B374" t="s">
        <v>8</v>
      </c>
      <c r="C374" t="s">
        <v>15</v>
      </c>
      <c r="D374" t="s">
        <v>10</v>
      </c>
      <c r="E374" t="s">
        <v>11</v>
      </c>
      <c r="F374">
        <v>951</v>
      </c>
      <c r="G374">
        <v>2</v>
      </c>
      <c r="H374" s="2">
        <v>44962</v>
      </c>
    </row>
    <row r="375" spans="1:8" x14ac:dyDescent="0.3">
      <c r="A375">
        <v>5</v>
      </c>
      <c r="B375" t="s">
        <v>12</v>
      </c>
      <c r="C375" t="s">
        <v>15</v>
      </c>
      <c r="D375" t="s">
        <v>14</v>
      </c>
      <c r="E375" t="s">
        <v>11</v>
      </c>
      <c r="F375">
        <v>1547</v>
      </c>
      <c r="G375">
        <v>19</v>
      </c>
      <c r="H375" s="2">
        <v>45344</v>
      </c>
    </row>
    <row r="376" spans="1:8" x14ac:dyDescent="0.3">
      <c r="A376">
        <v>20</v>
      </c>
      <c r="B376" t="s">
        <v>12</v>
      </c>
      <c r="C376" t="s">
        <v>15</v>
      </c>
      <c r="D376" t="s">
        <v>20</v>
      </c>
      <c r="E376" t="s">
        <v>18</v>
      </c>
      <c r="F376">
        <v>559</v>
      </c>
      <c r="G376">
        <v>5</v>
      </c>
      <c r="H376" s="2">
        <v>45650</v>
      </c>
    </row>
    <row r="377" spans="1:8" x14ac:dyDescent="0.3">
      <c r="A377">
        <v>65</v>
      </c>
      <c r="B377" t="s">
        <v>12</v>
      </c>
      <c r="C377" t="s">
        <v>15</v>
      </c>
      <c r="D377" t="s">
        <v>14</v>
      </c>
      <c r="E377" t="s">
        <v>11</v>
      </c>
      <c r="F377">
        <v>1413</v>
      </c>
      <c r="G377">
        <v>8</v>
      </c>
      <c r="H377" s="2">
        <v>45357</v>
      </c>
    </row>
    <row r="378" spans="1:8" x14ac:dyDescent="0.3">
      <c r="A378">
        <v>68</v>
      </c>
      <c r="B378" t="s">
        <v>8</v>
      </c>
      <c r="C378" t="s">
        <v>25</v>
      </c>
      <c r="D378" t="s">
        <v>17</v>
      </c>
      <c r="E378" t="s">
        <v>11</v>
      </c>
      <c r="F378">
        <v>1277</v>
      </c>
      <c r="G378">
        <v>7</v>
      </c>
      <c r="H378" s="2">
        <v>45568</v>
      </c>
    </row>
    <row r="379" spans="1:8" x14ac:dyDescent="0.3">
      <c r="A379">
        <v>67</v>
      </c>
      <c r="B379" t="s">
        <v>12</v>
      </c>
      <c r="C379" t="s">
        <v>15</v>
      </c>
      <c r="D379" t="s">
        <v>17</v>
      </c>
      <c r="E379" t="s">
        <v>22</v>
      </c>
      <c r="F379">
        <v>1152</v>
      </c>
      <c r="G379">
        <v>14</v>
      </c>
      <c r="H379" s="2">
        <v>45129</v>
      </c>
    </row>
    <row r="380" spans="1:8" x14ac:dyDescent="0.3">
      <c r="A380">
        <v>73</v>
      </c>
      <c r="B380" t="s">
        <v>8</v>
      </c>
      <c r="C380" t="s">
        <v>15</v>
      </c>
      <c r="D380" t="s">
        <v>10</v>
      </c>
      <c r="E380" t="s">
        <v>11</v>
      </c>
      <c r="F380">
        <v>921</v>
      </c>
      <c r="G380">
        <v>3</v>
      </c>
      <c r="H380" s="2">
        <v>44958</v>
      </c>
    </row>
    <row r="381" spans="1:8" x14ac:dyDescent="0.3">
      <c r="A381">
        <v>26</v>
      </c>
      <c r="B381" t="s">
        <v>8</v>
      </c>
      <c r="C381" t="s">
        <v>15</v>
      </c>
      <c r="D381" t="s">
        <v>16</v>
      </c>
      <c r="E381" t="s">
        <v>11</v>
      </c>
      <c r="F381">
        <v>729</v>
      </c>
      <c r="G381">
        <v>18</v>
      </c>
      <c r="H381" s="2">
        <v>44946</v>
      </c>
    </row>
    <row r="382" spans="1:8" x14ac:dyDescent="0.3">
      <c r="A382">
        <v>71</v>
      </c>
      <c r="B382" t="s">
        <v>12</v>
      </c>
      <c r="C382" t="s">
        <v>19</v>
      </c>
      <c r="D382" t="s">
        <v>16</v>
      </c>
      <c r="E382" t="s">
        <v>22</v>
      </c>
      <c r="F382">
        <v>890</v>
      </c>
      <c r="G382">
        <v>16</v>
      </c>
      <c r="H382" s="2">
        <v>45465</v>
      </c>
    </row>
    <row r="383" spans="1:8" x14ac:dyDescent="0.3">
      <c r="A383">
        <v>30</v>
      </c>
      <c r="B383" t="s">
        <v>8</v>
      </c>
      <c r="C383" t="s">
        <v>9</v>
      </c>
      <c r="D383" t="s">
        <v>10</v>
      </c>
      <c r="E383" t="s">
        <v>11</v>
      </c>
      <c r="F383">
        <v>1159</v>
      </c>
      <c r="G383">
        <v>19</v>
      </c>
      <c r="H383" s="2">
        <v>45551</v>
      </c>
    </row>
    <row r="384" spans="1:8" x14ac:dyDescent="0.3">
      <c r="A384">
        <v>20</v>
      </c>
      <c r="B384" t="s">
        <v>12</v>
      </c>
      <c r="C384" t="s">
        <v>23</v>
      </c>
      <c r="D384" t="s">
        <v>17</v>
      </c>
      <c r="E384" t="s">
        <v>18</v>
      </c>
      <c r="F384">
        <v>1304</v>
      </c>
      <c r="G384">
        <v>19</v>
      </c>
      <c r="H384" s="2">
        <v>45374</v>
      </c>
    </row>
    <row r="385" spans="1:8" x14ac:dyDescent="0.3">
      <c r="A385">
        <v>55</v>
      </c>
      <c r="B385" t="s">
        <v>12</v>
      </c>
      <c r="C385" t="s">
        <v>15</v>
      </c>
      <c r="D385" t="s">
        <v>17</v>
      </c>
      <c r="E385" t="s">
        <v>22</v>
      </c>
      <c r="F385">
        <v>1158</v>
      </c>
      <c r="G385">
        <v>18</v>
      </c>
      <c r="H385" s="2">
        <v>45088</v>
      </c>
    </row>
    <row r="386" spans="1:8" x14ac:dyDescent="0.3">
      <c r="A386">
        <v>61</v>
      </c>
      <c r="B386" t="s">
        <v>8</v>
      </c>
      <c r="C386" t="s">
        <v>25</v>
      </c>
      <c r="D386" t="s">
        <v>17</v>
      </c>
      <c r="E386" t="s">
        <v>22</v>
      </c>
      <c r="F386">
        <v>1363</v>
      </c>
      <c r="G386">
        <v>20</v>
      </c>
      <c r="H386" s="2">
        <v>45364</v>
      </c>
    </row>
    <row r="387" spans="1:8" x14ac:dyDescent="0.3">
      <c r="A387">
        <v>33</v>
      </c>
      <c r="B387" t="s">
        <v>8</v>
      </c>
      <c r="C387" t="s">
        <v>19</v>
      </c>
      <c r="D387" t="s">
        <v>14</v>
      </c>
      <c r="E387" t="s">
        <v>11</v>
      </c>
      <c r="F387">
        <v>1411</v>
      </c>
      <c r="G387">
        <v>16</v>
      </c>
      <c r="H387" s="2">
        <v>44953</v>
      </c>
    </row>
    <row r="388" spans="1:8" x14ac:dyDescent="0.3">
      <c r="A388">
        <v>73</v>
      </c>
      <c r="B388" t="s">
        <v>8</v>
      </c>
      <c r="C388" t="s">
        <v>15</v>
      </c>
      <c r="D388" t="s">
        <v>17</v>
      </c>
      <c r="E388" t="s">
        <v>11</v>
      </c>
      <c r="F388">
        <v>1218</v>
      </c>
      <c r="G388">
        <v>8</v>
      </c>
      <c r="H388" s="2">
        <v>45270</v>
      </c>
    </row>
    <row r="389" spans="1:8" x14ac:dyDescent="0.3">
      <c r="A389">
        <v>51</v>
      </c>
      <c r="B389" t="s">
        <v>12</v>
      </c>
      <c r="C389" t="s">
        <v>9</v>
      </c>
      <c r="D389" t="s">
        <v>24</v>
      </c>
      <c r="E389" t="s">
        <v>11</v>
      </c>
      <c r="F389">
        <v>1189</v>
      </c>
      <c r="G389">
        <v>1</v>
      </c>
      <c r="H389" s="2">
        <v>45049</v>
      </c>
    </row>
    <row r="390" spans="1:8" x14ac:dyDescent="0.3">
      <c r="A390">
        <v>66</v>
      </c>
      <c r="B390" t="s">
        <v>12</v>
      </c>
      <c r="C390" t="s">
        <v>13</v>
      </c>
      <c r="D390" t="s">
        <v>20</v>
      </c>
      <c r="E390" t="s">
        <v>18</v>
      </c>
      <c r="F390">
        <v>647</v>
      </c>
      <c r="G390">
        <v>17</v>
      </c>
      <c r="H390" s="2">
        <v>45208</v>
      </c>
    </row>
    <row r="391" spans="1:8" x14ac:dyDescent="0.3">
      <c r="A391">
        <v>73</v>
      </c>
      <c r="B391" t="s">
        <v>12</v>
      </c>
      <c r="C391" t="s">
        <v>21</v>
      </c>
      <c r="D391" t="s">
        <v>17</v>
      </c>
      <c r="E391" t="s">
        <v>18</v>
      </c>
      <c r="F391">
        <v>1226</v>
      </c>
      <c r="G391">
        <v>12</v>
      </c>
      <c r="H391" s="2">
        <v>45242</v>
      </c>
    </row>
    <row r="392" spans="1:8" x14ac:dyDescent="0.3">
      <c r="A392">
        <v>20</v>
      </c>
      <c r="B392" t="s">
        <v>12</v>
      </c>
      <c r="C392" t="s">
        <v>9</v>
      </c>
      <c r="D392" t="s">
        <v>10</v>
      </c>
      <c r="E392" t="s">
        <v>11</v>
      </c>
      <c r="F392">
        <v>974</v>
      </c>
      <c r="G392">
        <v>11</v>
      </c>
      <c r="H392" s="2">
        <v>45039</v>
      </c>
    </row>
    <row r="393" spans="1:8" x14ac:dyDescent="0.3">
      <c r="A393">
        <v>52</v>
      </c>
      <c r="B393" t="s">
        <v>12</v>
      </c>
      <c r="C393" t="s">
        <v>9</v>
      </c>
      <c r="D393" t="s">
        <v>20</v>
      </c>
      <c r="E393" t="s">
        <v>11</v>
      </c>
      <c r="F393">
        <v>603</v>
      </c>
      <c r="G393">
        <v>5</v>
      </c>
      <c r="H393" s="2">
        <v>45487</v>
      </c>
    </row>
    <row r="394" spans="1:8" x14ac:dyDescent="0.3">
      <c r="A394">
        <v>43</v>
      </c>
      <c r="B394" t="s">
        <v>12</v>
      </c>
      <c r="C394" t="s">
        <v>21</v>
      </c>
      <c r="D394" t="s">
        <v>14</v>
      </c>
      <c r="E394" t="s">
        <v>11</v>
      </c>
      <c r="F394">
        <v>1448</v>
      </c>
      <c r="G394">
        <v>12</v>
      </c>
      <c r="H394" s="2">
        <v>45078</v>
      </c>
    </row>
    <row r="395" spans="1:8" x14ac:dyDescent="0.3">
      <c r="A395">
        <v>37</v>
      </c>
      <c r="B395" t="s">
        <v>12</v>
      </c>
      <c r="C395" t="s">
        <v>19</v>
      </c>
      <c r="D395" t="s">
        <v>10</v>
      </c>
      <c r="E395" t="s">
        <v>11</v>
      </c>
      <c r="F395">
        <v>978</v>
      </c>
      <c r="G395">
        <v>17</v>
      </c>
      <c r="H395" s="2">
        <v>45217</v>
      </c>
    </row>
    <row r="396" spans="1:8" x14ac:dyDescent="0.3">
      <c r="A396">
        <v>27</v>
      </c>
      <c r="B396" t="s">
        <v>12</v>
      </c>
      <c r="C396" t="s">
        <v>15</v>
      </c>
      <c r="D396" t="s">
        <v>20</v>
      </c>
      <c r="E396" t="s">
        <v>18</v>
      </c>
      <c r="F396">
        <v>640</v>
      </c>
      <c r="G396">
        <v>6</v>
      </c>
      <c r="H396" s="2">
        <v>45490</v>
      </c>
    </row>
    <row r="397" spans="1:8" x14ac:dyDescent="0.3">
      <c r="A397">
        <v>14</v>
      </c>
      <c r="B397" t="s">
        <v>12</v>
      </c>
      <c r="C397" t="s">
        <v>21</v>
      </c>
      <c r="D397" t="s">
        <v>10</v>
      </c>
      <c r="E397" t="s">
        <v>11</v>
      </c>
      <c r="F397">
        <v>1053</v>
      </c>
      <c r="G397">
        <v>1</v>
      </c>
      <c r="H397" s="2">
        <v>45073</v>
      </c>
    </row>
    <row r="398" spans="1:8" x14ac:dyDescent="0.3">
      <c r="A398">
        <v>73</v>
      </c>
      <c r="B398" t="s">
        <v>12</v>
      </c>
      <c r="C398" t="s">
        <v>15</v>
      </c>
      <c r="D398" t="s">
        <v>14</v>
      </c>
      <c r="E398" t="s">
        <v>22</v>
      </c>
      <c r="F398">
        <v>1673</v>
      </c>
      <c r="G398">
        <v>5</v>
      </c>
      <c r="H398" s="2">
        <v>45391</v>
      </c>
    </row>
    <row r="399" spans="1:8" x14ac:dyDescent="0.3">
      <c r="A399">
        <v>38</v>
      </c>
      <c r="B399" t="s">
        <v>8</v>
      </c>
      <c r="C399" t="s">
        <v>19</v>
      </c>
      <c r="D399" t="s">
        <v>24</v>
      </c>
      <c r="E399" t="s">
        <v>18</v>
      </c>
      <c r="F399">
        <v>995</v>
      </c>
      <c r="G399">
        <v>14</v>
      </c>
      <c r="H399" s="2">
        <v>45482</v>
      </c>
    </row>
    <row r="400" spans="1:8" x14ac:dyDescent="0.3">
      <c r="A400">
        <v>56</v>
      </c>
      <c r="B400" t="s">
        <v>12</v>
      </c>
      <c r="C400" t="s">
        <v>15</v>
      </c>
      <c r="D400" t="s">
        <v>14</v>
      </c>
      <c r="E400" t="s">
        <v>11</v>
      </c>
      <c r="F400">
        <v>1613</v>
      </c>
      <c r="G400">
        <v>5</v>
      </c>
      <c r="H400" s="2">
        <v>45496</v>
      </c>
    </row>
    <row r="401" spans="1:8" x14ac:dyDescent="0.3">
      <c r="A401">
        <v>14</v>
      </c>
      <c r="B401" t="s">
        <v>8</v>
      </c>
      <c r="C401" t="s">
        <v>15</v>
      </c>
      <c r="D401" t="s">
        <v>14</v>
      </c>
      <c r="E401" t="s">
        <v>11</v>
      </c>
      <c r="F401">
        <v>1693</v>
      </c>
      <c r="G401">
        <v>1</v>
      </c>
      <c r="H401" s="2">
        <v>45087</v>
      </c>
    </row>
    <row r="402" spans="1:8" x14ac:dyDescent="0.3">
      <c r="A402">
        <v>23</v>
      </c>
      <c r="B402" t="s">
        <v>8</v>
      </c>
      <c r="C402" t="s">
        <v>15</v>
      </c>
      <c r="D402" t="s">
        <v>10</v>
      </c>
      <c r="E402" t="s">
        <v>11</v>
      </c>
      <c r="F402">
        <v>1108</v>
      </c>
      <c r="G402">
        <v>18</v>
      </c>
      <c r="H402" s="2">
        <v>45157</v>
      </c>
    </row>
    <row r="403" spans="1:8" x14ac:dyDescent="0.3">
      <c r="A403">
        <v>62</v>
      </c>
      <c r="B403" t="s">
        <v>12</v>
      </c>
      <c r="C403" t="s">
        <v>25</v>
      </c>
      <c r="D403" t="s">
        <v>16</v>
      </c>
      <c r="E403" t="s">
        <v>11</v>
      </c>
      <c r="F403">
        <v>787</v>
      </c>
      <c r="G403">
        <v>16</v>
      </c>
      <c r="H403" s="2">
        <v>45397</v>
      </c>
    </row>
    <row r="404" spans="1:8" x14ac:dyDescent="0.3">
      <c r="A404">
        <v>5</v>
      </c>
      <c r="B404" t="s">
        <v>8</v>
      </c>
      <c r="C404" t="s">
        <v>15</v>
      </c>
      <c r="D404" t="s">
        <v>17</v>
      </c>
      <c r="E404" t="s">
        <v>18</v>
      </c>
      <c r="F404">
        <v>1363</v>
      </c>
      <c r="G404">
        <v>9</v>
      </c>
      <c r="H404" s="2">
        <v>45204</v>
      </c>
    </row>
    <row r="405" spans="1:8" x14ac:dyDescent="0.3">
      <c r="A405">
        <v>73</v>
      </c>
      <c r="B405" t="s">
        <v>8</v>
      </c>
      <c r="C405" t="s">
        <v>15</v>
      </c>
      <c r="D405" t="s">
        <v>17</v>
      </c>
      <c r="E405" t="s">
        <v>18</v>
      </c>
      <c r="F405">
        <v>1256</v>
      </c>
      <c r="G405">
        <v>19</v>
      </c>
      <c r="H405" s="2">
        <v>45061</v>
      </c>
    </row>
    <row r="406" spans="1:8" x14ac:dyDescent="0.3">
      <c r="A406">
        <v>8</v>
      </c>
      <c r="B406" t="s">
        <v>8</v>
      </c>
      <c r="C406" t="s">
        <v>15</v>
      </c>
      <c r="D406" t="s">
        <v>24</v>
      </c>
      <c r="E406" t="s">
        <v>18</v>
      </c>
      <c r="F406">
        <v>1055</v>
      </c>
      <c r="G406">
        <v>5</v>
      </c>
      <c r="H406" s="2">
        <v>45402</v>
      </c>
    </row>
    <row r="407" spans="1:8" x14ac:dyDescent="0.3">
      <c r="A407">
        <v>20</v>
      </c>
      <c r="B407" t="s">
        <v>12</v>
      </c>
      <c r="C407" t="s">
        <v>9</v>
      </c>
      <c r="D407" t="s">
        <v>24</v>
      </c>
      <c r="E407" t="s">
        <v>11</v>
      </c>
      <c r="F407">
        <v>1038</v>
      </c>
      <c r="G407">
        <v>2</v>
      </c>
      <c r="H407" s="2">
        <v>45649</v>
      </c>
    </row>
    <row r="408" spans="1:8" x14ac:dyDescent="0.3">
      <c r="A408">
        <v>28</v>
      </c>
      <c r="B408" t="s">
        <v>12</v>
      </c>
      <c r="C408" t="s">
        <v>26</v>
      </c>
      <c r="D408" t="s">
        <v>17</v>
      </c>
      <c r="E408" t="s">
        <v>11</v>
      </c>
      <c r="F408">
        <v>1220</v>
      </c>
      <c r="G408">
        <v>15</v>
      </c>
      <c r="H408" s="2">
        <v>44951</v>
      </c>
    </row>
    <row r="409" spans="1:8" x14ac:dyDescent="0.3">
      <c r="A409">
        <v>6</v>
      </c>
      <c r="B409" t="s">
        <v>12</v>
      </c>
      <c r="C409" t="s">
        <v>9</v>
      </c>
      <c r="D409" t="s">
        <v>16</v>
      </c>
      <c r="E409" t="s">
        <v>18</v>
      </c>
      <c r="F409">
        <v>764</v>
      </c>
      <c r="G409">
        <v>7</v>
      </c>
      <c r="H409" s="2">
        <v>45628</v>
      </c>
    </row>
    <row r="410" spans="1:8" x14ac:dyDescent="0.3">
      <c r="A410">
        <v>36</v>
      </c>
      <c r="B410" t="s">
        <v>8</v>
      </c>
      <c r="C410" t="s">
        <v>19</v>
      </c>
      <c r="D410" t="s">
        <v>17</v>
      </c>
      <c r="E410" t="s">
        <v>11</v>
      </c>
      <c r="F410">
        <v>1206</v>
      </c>
      <c r="G410">
        <v>4</v>
      </c>
      <c r="H410" s="2">
        <v>45517</v>
      </c>
    </row>
    <row r="411" spans="1:8" x14ac:dyDescent="0.3">
      <c r="A411">
        <v>28</v>
      </c>
      <c r="B411" t="s">
        <v>8</v>
      </c>
      <c r="C411" t="s">
        <v>13</v>
      </c>
      <c r="D411" t="s">
        <v>16</v>
      </c>
      <c r="E411" t="s">
        <v>11</v>
      </c>
      <c r="F411">
        <v>846</v>
      </c>
      <c r="G411">
        <v>1</v>
      </c>
      <c r="H411" s="2">
        <v>45315</v>
      </c>
    </row>
    <row r="412" spans="1:8" x14ac:dyDescent="0.3">
      <c r="A412">
        <v>16</v>
      </c>
      <c r="B412" t="s">
        <v>8</v>
      </c>
      <c r="C412" t="s">
        <v>9</v>
      </c>
      <c r="D412" t="s">
        <v>24</v>
      </c>
      <c r="E412" t="s">
        <v>11</v>
      </c>
      <c r="F412">
        <v>1036</v>
      </c>
      <c r="G412">
        <v>13</v>
      </c>
      <c r="H412" s="2">
        <v>45062</v>
      </c>
    </row>
    <row r="413" spans="1:8" x14ac:dyDescent="0.3">
      <c r="A413">
        <v>54</v>
      </c>
      <c r="B413" t="s">
        <v>8</v>
      </c>
      <c r="C413" t="s">
        <v>15</v>
      </c>
      <c r="D413" t="s">
        <v>20</v>
      </c>
      <c r="E413" t="s">
        <v>11</v>
      </c>
      <c r="F413">
        <v>561</v>
      </c>
      <c r="G413">
        <v>20</v>
      </c>
      <c r="H413" s="2">
        <v>45092</v>
      </c>
    </row>
    <row r="414" spans="1:8" x14ac:dyDescent="0.3">
      <c r="A414">
        <v>39</v>
      </c>
      <c r="B414" t="s">
        <v>8</v>
      </c>
      <c r="C414" t="s">
        <v>15</v>
      </c>
      <c r="D414" t="s">
        <v>10</v>
      </c>
      <c r="E414" t="s">
        <v>11</v>
      </c>
      <c r="F414">
        <v>999</v>
      </c>
      <c r="G414">
        <v>7</v>
      </c>
      <c r="H414" s="2">
        <v>45102</v>
      </c>
    </row>
    <row r="415" spans="1:8" x14ac:dyDescent="0.3">
      <c r="A415">
        <v>37</v>
      </c>
      <c r="B415" t="s">
        <v>12</v>
      </c>
      <c r="C415" t="s">
        <v>15</v>
      </c>
      <c r="D415" t="s">
        <v>24</v>
      </c>
      <c r="E415" t="s">
        <v>11</v>
      </c>
      <c r="F415">
        <v>1040</v>
      </c>
      <c r="G415">
        <v>15</v>
      </c>
      <c r="H415" s="2">
        <v>45422</v>
      </c>
    </row>
    <row r="416" spans="1:8" x14ac:dyDescent="0.3">
      <c r="A416">
        <v>37</v>
      </c>
      <c r="B416" t="s">
        <v>12</v>
      </c>
      <c r="C416" t="s">
        <v>9</v>
      </c>
      <c r="D416" t="s">
        <v>24</v>
      </c>
      <c r="E416" t="s">
        <v>22</v>
      </c>
      <c r="F416">
        <v>982</v>
      </c>
      <c r="G416">
        <v>14</v>
      </c>
      <c r="H416" s="2">
        <v>44999</v>
      </c>
    </row>
    <row r="417" spans="1:8" x14ac:dyDescent="0.3">
      <c r="A417">
        <v>65</v>
      </c>
      <c r="B417" t="s">
        <v>8</v>
      </c>
      <c r="C417" t="s">
        <v>9</v>
      </c>
      <c r="D417" t="s">
        <v>14</v>
      </c>
      <c r="E417" t="s">
        <v>11</v>
      </c>
      <c r="F417">
        <v>1576</v>
      </c>
      <c r="G417">
        <v>19</v>
      </c>
      <c r="H417" s="2">
        <v>45422</v>
      </c>
    </row>
    <row r="418" spans="1:8" x14ac:dyDescent="0.3">
      <c r="A418">
        <v>55</v>
      </c>
      <c r="B418" t="s">
        <v>12</v>
      </c>
      <c r="C418" t="s">
        <v>25</v>
      </c>
      <c r="D418" t="s">
        <v>14</v>
      </c>
      <c r="E418" t="s">
        <v>11</v>
      </c>
      <c r="F418">
        <v>1597</v>
      </c>
      <c r="G418">
        <v>20</v>
      </c>
      <c r="H418" s="2">
        <v>45285</v>
      </c>
    </row>
    <row r="419" spans="1:8" x14ac:dyDescent="0.3">
      <c r="A419">
        <v>47</v>
      </c>
      <c r="B419" t="s">
        <v>12</v>
      </c>
      <c r="C419" t="s">
        <v>15</v>
      </c>
      <c r="D419" t="s">
        <v>14</v>
      </c>
      <c r="E419" t="s">
        <v>11</v>
      </c>
      <c r="F419">
        <v>1511</v>
      </c>
      <c r="G419">
        <v>18</v>
      </c>
      <c r="H419" s="2">
        <v>45152</v>
      </c>
    </row>
    <row r="420" spans="1:8" x14ac:dyDescent="0.3">
      <c r="A420">
        <v>16</v>
      </c>
      <c r="B420" t="s">
        <v>12</v>
      </c>
      <c r="C420" t="s">
        <v>9</v>
      </c>
      <c r="D420" t="s">
        <v>10</v>
      </c>
      <c r="E420" t="s">
        <v>18</v>
      </c>
      <c r="F420">
        <v>955</v>
      </c>
      <c r="G420">
        <v>10</v>
      </c>
      <c r="H420" s="2">
        <v>45348</v>
      </c>
    </row>
    <row r="421" spans="1:8" x14ac:dyDescent="0.3">
      <c r="A421">
        <v>71</v>
      </c>
      <c r="B421" t="s">
        <v>12</v>
      </c>
      <c r="C421" t="s">
        <v>19</v>
      </c>
      <c r="D421" t="s">
        <v>14</v>
      </c>
      <c r="E421" t="s">
        <v>11</v>
      </c>
      <c r="F421">
        <v>1578</v>
      </c>
      <c r="G421">
        <v>9</v>
      </c>
      <c r="H421" s="2">
        <v>45100</v>
      </c>
    </row>
    <row r="422" spans="1:8" x14ac:dyDescent="0.3">
      <c r="A422">
        <v>69</v>
      </c>
      <c r="B422" t="s">
        <v>8</v>
      </c>
      <c r="C422" t="s">
        <v>9</v>
      </c>
      <c r="D422" t="s">
        <v>16</v>
      </c>
      <c r="E422" t="s">
        <v>11</v>
      </c>
      <c r="F422">
        <v>885</v>
      </c>
      <c r="G422">
        <v>8</v>
      </c>
      <c r="H422" s="2">
        <v>45544</v>
      </c>
    </row>
    <row r="423" spans="1:8" x14ac:dyDescent="0.3">
      <c r="A423">
        <v>37</v>
      </c>
      <c r="B423" t="s">
        <v>8</v>
      </c>
      <c r="C423" t="s">
        <v>25</v>
      </c>
      <c r="D423" t="s">
        <v>17</v>
      </c>
      <c r="E423" t="s">
        <v>11</v>
      </c>
      <c r="F423">
        <v>1317</v>
      </c>
      <c r="G423">
        <v>10</v>
      </c>
      <c r="H423" s="2">
        <v>45163</v>
      </c>
    </row>
    <row r="424" spans="1:8" x14ac:dyDescent="0.3">
      <c r="A424">
        <v>44</v>
      </c>
      <c r="B424" t="s">
        <v>8</v>
      </c>
      <c r="C424" t="s">
        <v>19</v>
      </c>
      <c r="D424" t="s">
        <v>20</v>
      </c>
      <c r="E424" t="s">
        <v>18</v>
      </c>
      <c r="F424">
        <v>616</v>
      </c>
      <c r="G424">
        <v>17</v>
      </c>
      <c r="H424" s="2">
        <v>45244</v>
      </c>
    </row>
    <row r="425" spans="1:8" x14ac:dyDescent="0.3">
      <c r="A425">
        <v>78</v>
      </c>
      <c r="B425" t="s">
        <v>8</v>
      </c>
      <c r="C425" t="s">
        <v>15</v>
      </c>
      <c r="D425" t="s">
        <v>24</v>
      </c>
      <c r="E425" t="s">
        <v>11</v>
      </c>
      <c r="F425">
        <v>1019</v>
      </c>
      <c r="G425">
        <v>2</v>
      </c>
      <c r="H425" s="2">
        <v>45507</v>
      </c>
    </row>
    <row r="426" spans="1:8" x14ac:dyDescent="0.3">
      <c r="A426">
        <v>47</v>
      </c>
      <c r="B426" t="s">
        <v>12</v>
      </c>
      <c r="C426" t="s">
        <v>23</v>
      </c>
      <c r="D426" t="s">
        <v>16</v>
      </c>
      <c r="E426" t="s">
        <v>18</v>
      </c>
      <c r="F426">
        <v>874</v>
      </c>
      <c r="G426">
        <v>6</v>
      </c>
      <c r="H426" s="2">
        <v>45524</v>
      </c>
    </row>
    <row r="427" spans="1:8" x14ac:dyDescent="0.3">
      <c r="A427">
        <v>48</v>
      </c>
      <c r="B427" t="s">
        <v>12</v>
      </c>
      <c r="C427" t="s">
        <v>9</v>
      </c>
      <c r="D427" t="s">
        <v>20</v>
      </c>
      <c r="E427" t="s">
        <v>22</v>
      </c>
      <c r="F427">
        <v>422</v>
      </c>
      <c r="G427">
        <v>5</v>
      </c>
      <c r="H427" s="2">
        <v>45489</v>
      </c>
    </row>
    <row r="428" spans="1:8" x14ac:dyDescent="0.3">
      <c r="A428">
        <v>33</v>
      </c>
      <c r="B428" t="s">
        <v>8</v>
      </c>
      <c r="C428" t="s">
        <v>9</v>
      </c>
      <c r="D428" t="s">
        <v>16</v>
      </c>
      <c r="E428" t="s">
        <v>11</v>
      </c>
      <c r="F428">
        <v>912</v>
      </c>
      <c r="G428">
        <v>9</v>
      </c>
      <c r="H428" s="2">
        <v>45140</v>
      </c>
    </row>
    <row r="429" spans="1:8" x14ac:dyDescent="0.3">
      <c r="A429">
        <v>17</v>
      </c>
      <c r="B429" t="s">
        <v>12</v>
      </c>
      <c r="C429" t="s">
        <v>9</v>
      </c>
      <c r="D429" t="s">
        <v>16</v>
      </c>
      <c r="E429" t="s">
        <v>18</v>
      </c>
      <c r="F429">
        <v>934</v>
      </c>
      <c r="G429">
        <v>5</v>
      </c>
      <c r="H429" s="2">
        <v>45087</v>
      </c>
    </row>
    <row r="430" spans="1:8" x14ac:dyDescent="0.3">
      <c r="A430">
        <v>16</v>
      </c>
      <c r="B430" t="s">
        <v>8</v>
      </c>
      <c r="C430" t="s">
        <v>9</v>
      </c>
      <c r="D430" t="s">
        <v>24</v>
      </c>
      <c r="E430" t="s">
        <v>11</v>
      </c>
      <c r="F430">
        <v>912</v>
      </c>
      <c r="G430">
        <v>18</v>
      </c>
      <c r="H430" s="2">
        <v>44960</v>
      </c>
    </row>
    <row r="431" spans="1:8" x14ac:dyDescent="0.3">
      <c r="A431">
        <v>50</v>
      </c>
      <c r="B431" t="s">
        <v>8</v>
      </c>
      <c r="C431" t="s">
        <v>23</v>
      </c>
      <c r="D431" t="s">
        <v>17</v>
      </c>
      <c r="E431" t="s">
        <v>22</v>
      </c>
      <c r="F431">
        <v>1200</v>
      </c>
      <c r="G431">
        <v>20</v>
      </c>
      <c r="H431" s="2">
        <v>45333</v>
      </c>
    </row>
    <row r="432" spans="1:8" x14ac:dyDescent="0.3">
      <c r="A432">
        <v>6</v>
      </c>
      <c r="B432" t="s">
        <v>12</v>
      </c>
      <c r="C432" t="s">
        <v>15</v>
      </c>
      <c r="D432" t="s">
        <v>14</v>
      </c>
      <c r="E432" t="s">
        <v>11</v>
      </c>
      <c r="F432">
        <v>1423</v>
      </c>
      <c r="G432">
        <v>9</v>
      </c>
      <c r="H432" s="2">
        <v>45515</v>
      </c>
    </row>
    <row r="433" spans="1:8" x14ac:dyDescent="0.3">
      <c r="A433">
        <v>39</v>
      </c>
      <c r="B433" t="s">
        <v>8</v>
      </c>
      <c r="C433" t="s">
        <v>15</v>
      </c>
      <c r="D433" t="s">
        <v>10</v>
      </c>
      <c r="E433" t="s">
        <v>18</v>
      </c>
      <c r="F433">
        <v>910</v>
      </c>
      <c r="G433">
        <v>17</v>
      </c>
      <c r="H433" s="2">
        <v>45617</v>
      </c>
    </row>
    <row r="434" spans="1:8" x14ac:dyDescent="0.3">
      <c r="A434">
        <v>12</v>
      </c>
      <c r="B434" t="s">
        <v>8</v>
      </c>
      <c r="C434" t="s">
        <v>15</v>
      </c>
      <c r="D434" t="s">
        <v>17</v>
      </c>
      <c r="E434" t="s">
        <v>11</v>
      </c>
      <c r="F434">
        <v>1372</v>
      </c>
      <c r="G434">
        <v>17</v>
      </c>
      <c r="H434" s="2">
        <v>44947</v>
      </c>
    </row>
    <row r="435" spans="1:8" x14ac:dyDescent="0.3">
      <c r="A435">
        <v>30</v>
      </c>
      <c r="B435" t="s">
        <v>8</v>
      </c>
      <c r="C435" t="s">
        <v>23</v>
      </c>
      <c r="D435" t="s">
        <v>10</v>
      </c>
      <c r="E435" t="s">
        <v>11</v>
      </c>
      <c r="F435">
        <v>1180</v>
      </c>
      <c r="G435">
        <v>12</v>
      </c>
      <c r="H435" s="2">
        <v>45099</v>
      </c>
    </row>
    <row r="436" spans="1:8" x14ac:dyDescent="0.3">
      <c r="A436">
        <v>78</v>
      </c>
      <c r="B436" t="s">
        <v>12</v>
      </c>
      <c r="C436" t="s">
        <v>15</v>
      </c>
      <c r="D436" t="s">
        <v>24</v>
      </c>
      <c r="E436" t="s">
        <v>11</v>
      </c>
      <c r="F436">
        <v>993</v>
      </c>
      <c r="G436">
        <v>7</v>
      </c>
      <c r="H436" s="2">
        <v>45456</v>
      </c>
    </row>
    <row r="437" spans="1:8" x14ac:dyDescent="0.3">
      <c r="A437">
        <v>38</v>
      </c>
      <c r="B437" t="s">
        <v>12</v>
      </c>
      <c r="C437" t="s">
        <v>13</v>
      </c>
      <c r="D437" t="s">
        <v>24</v>
      </c>
      <c r="E437" t="s">
        <v>11</v>
      </c>
      <c r="F437">
        <v>1100</v>
      </c>
      <c r="G437">
        <v>3</v>
      </c>
      <c r="H437" s="2">
        <v>45237</v>
      </c>
    </row>
    <row r="438" spans="1:8" x14ac:dyDescent="0.3">
      <c r="A438">
        <v>11</v>
      </c>
      <c r="B438" t="s">
        <v>12</v>
      </c>
      <c r="C438" t="s">
        <v>9</v>
      </c>
      <c r="D438" t="s">
        <v>24</v>
      </c>
      <c r="E438" t="s">
        <v>11</v>
      </c>
      <c r="F438">
        <v>920</v>
      </c>
      <c r="G438">
        <v>10</v>
      </c>
      <c r="H438" s="2">
        <v>45405</v>
      </c>
    </row>
    <row r="439" spans="1:8" x14ac:dyDescent="0.3">
      <c r="A439">
        <v>72</v>
      </c>
      <c r="B439" t="s">
        <v>12</v>
      </c>
      <c r="C439" t="s">
        <v>25</v>
      </c>
      <c r="D439" t="s">
        <v>20</v>
      </c>
      <c r="E439" t="s">
        <v>11</v>
      </c>
      <c r="F439">
        <v>610</v>
      </c>
      <c r="G439">
        <v>2</v>
      </c>
      <c r="H439" s="2">
        <v>45277</v>
      </c>
    </row>
    <row r="440" spans="1:8" x14ac:dyDescent="0.3">
      <c r="A440">
        <v>62</v>
      </c>
      <c r="B440" t="s">
        <v>12</v>
      </c>
      <c r="C440" t="s">
        <v>26</v>
      </c>
      <c r="D440" t="s">
        <v>10</v>
      </c>
      <c r="E440" t="s">
        <v>11</v>
      </c>
      <c r="F440">
        <v>1039</v>
      </c>
      <c r="G440">
        <v>3</v>
      </c>
      <c r="H440" s="2">
        <v>45232</v>
      </c>
    </row>
    <row r="441" spans="1:8" x14ac:dyDescent="0.3">
      <c r="A441">
        <v>79</v>
      </c>
      <c r="B441" t="s">
        <v>8</v>
      </c>
      <c r="C441" t="s">
        <v>25</v>
      </c>
      <c r="D441" t="s">
        <v>17</v>
      </c>
      <c r="E441" t="s">
        <v>11</v>
      </c>
      <c r="F441">
        <v>1392</v>
      </c>
      <c r="G441">
        <v>16</v>
      </c>
      <c r="H441" s="2">
        <v>45608</v>
      </c>
    </row>
    <row r="442" spans="1:8" x14ac:dyDescent="0.3">
      <c r="A442">
        <v>33</v>
      </c>
      <c r="B442" t="s">
        <v>12</v>
      </c>
      <c r="C442" t="s">
        <v>13</v>
      </c>
      <c r="D442" t="s">
        <v>17</v>
      </c>
      <c r="E442" t="s">
        <v>18</v>
      </c>
      <c r="F442">
        <v>1397</v>
      </c>
      <c r="G442">
        <v>2</v>
      </c>
      <c r="H442" s="2">
        <v>45224</v>
      </c>
    </row>
    <row r="443" spans="1:8" x14ac:dyDescent="0.3">
      <c r="A443">
        <v>40</v>
      </c>
      <c r="B443" t="s">
        <v>8</v>
      </c>
      <c r="C443" t="s">
        <v>9</v>
      </c>
      <c r="D443" t="s">
        <v>16</v>
      </c>
      <c r="E443" t="s">
        <v>11</v>
      </c>
      <c r="F443">
        <v>800</v>
      </c>
      <c r="G443">
        <v>10</v>
      </c>
      <c r="H443" s="2">
        <v>44995</v>
      </c>
    </row>
    <row r="444" spans="1:8" x14ac:dyDescent="0.3">
      <c r="A444">
        <v>25</v>
      </c>
      <c r="B444" t="s">
        <v>8</v>
      </c>
      <c r="C444" t="s">
        <v>19</v>
      </c>
      <c r="D444" t="s">
        <v>16</v>
      </c>
      <c r="E444" t="s">
        <v>11</v>
      </c>
      <c r="F444">
        <v>727</v>
      </c>
      <c r="G444">
        <v>6</v>
      </c>
      <c r="H444" s="2">
        <v>45614</v>
      </c>
    </row>
    <row r="445" spans="1:8" x14ac:dyDescent="0.3">
      <c r="A445">
        <v>40</v>
      </c>
      <c r="B445" t="s">
        <v>8</v>
      </c>
      <c r="C445" t="s">
        <v>15</v>
      </c>
      <c r="D445" t="s">
        <v>16</v>
      </c>
      <c r="E445" t="s">
        <v>11</v>
      </c>
      <c r="F445">
        <v>740</v>
      </c>
      <c r="G445">
        <v>11</v>
      </c>
      <c r="H445" s="2">
        <v>45373</v>
      </c>
    </row>
    <row r="446" spans="1:8" x14ac:dyDescent="0.3">
      <c r="A446">
        <v>14</v>
      </c>
      <c r="B446" t="s">
        <v>12</v>
      </c>
      <c r="C446" t="s">
        <v>15</v>
      </c>
      <c r="D446" t="s">
        <v>24</v>
      </c>
      <c r="E446" t="s">
        <v>11</v>
      </c>
      <c r="F446">
        <v>1045</v>
      </c>
      <c r="G446">
        <v>7</v>
      </c>
      <c r="H446" s="2">
        <v>44953</v>
      </c>
    </row>
    <row r="447" spans="1:8" x14ac:dyDescent="0.3">
      <c r="A447">
        <v>77</v>
      </c>
      <c r="B447" t="s">
        <v>8</v>
      </c>
      <c r="C447" t="s">
        <v>9</v>
      </c>
      <c r="D447" t="s">
        <v>17</v>
      </c>
      <c r="E447" t="s">
        <v>22</v>
      </c>
      <c r="F447">
        <v>1355</v>
      </c>
      <c r="G447">
        <v>15</v>
      </c>
      <c r="H447" s="2">
        <v>45362</v>
      </c>
    </row>
    <row r="448" spans="1:8" x14ac:dyDescent="0.3">
      <c r="A448">
        <v>28</v>
      </c>
      <c r="B448" t="s">
        <v>12</v>
      </c>
      <c r="C448" t="s">
        <v>19</v>
      </c>
      <c r="D448" t="s">
        <v>10</v>
      </c>
      <c r="E448" t="s">
        <v>11</v>
      </c>
      <c r="F448">
        <v>1126</v>
      </c>
      <c r="G448">
        <v>6</v>
      </c>
      <c r="H448" s="2">
        <v>45032</v>
      </c>
    </row>
    <row r="449" spans="1:8" x14ac:dyDescent="0.3">
      <c r="A449">
        <v>68</v>
      </c>
      <c r="B449" t="s">
        <v>12</v>
      </c>
      <c r="C449" t="s">
        <v>15</v>
      </c>
      <c r="D449" t="s">
        <v>24</v>
      </c>
      <c r="E449" t="s">
        <v>18</v>
      </c>
      <c r="F449">
        <v>1135</v>
      </c>
      <c r="G449">
        <v>20</v>
      </c>
      <c r="H449" s="2">
        <v>45613</v>
      </c>
    </row>
    <row r="450" spans="1:8" x14ac:dyDescent="0.3">
      <c r="A450">
        <v>53</v>
      </c>
      <c r="B450" t="s">
        <v>8</v>
      </c>
      <c r="C450" t="s">
        <v>19</v>
      </c>
      <c r="D450" t="s">
        <v>20</v>
      </c>
      <c r="E450" t="s">
        <v>22</v>
      </c>
      <c r="F450">
        <v>412</v>
      </c>
      <c r="G450">
        <v>9</v>
      </c>
      <c r="H450" s="2">
        <v>45249</v>
      </c>
    </row>
    <row r="451" spans="1:8" x14ac:dyDescent="0.3">
      <c r="A451">
        <v>40</v>
      </c>
      <c r="B451" t="s">
        <v>12</v>
      </c>
      <c r="C451" t="s">
        <v>13</v>
      </c>
      <c r="D451" t="s">
        <v>16</v>
      </c>
      <c r="E451" t="s">
        <v>18</v>
      </c>
      <c r="F451">
        <v>909</v>
      </c>
      <c r="G451">
        <v>20</v>
      </c>
      <c r="H451" s="2">
        <v>45064</v>
      </c>
    </row>
    <row r="452" spans="1:8" x14ac:dyDescent="0.3">
      <c r="A452">
        <v>28</v>
      </c>
      <c r="B452" t="s">
        <v>12</v>
      </c>
      <c r="C452" t="s">
        <v>19</v>
      </c>
      <c r="D452" t="s">
        <v>24</v>
      </c>
      <c r="E452" t="s">
        <v>11</v>
      </c>
      <c r="F452">
        <v>1128</v>
      </c>
      <c r="G452">
        <v>12</v>
      </c>
      <c r="H452" s="2">
        <v>45354</v>
      </c>
    </row>
    <row r="453" spans="1:8" x14ac:dyDescent="0.3">
      <c r="A453">
        <v>27</v>
      </c>
      <c r="B453" t="s">
        <v>8</v>
      </c>
      <c r="C453" t="s">
        <v>23</v>
      </c>
      <c r="D453" t="s">
        <v>24</v>
      </c>
      <c r="E453" t="s">
        <v>18</v>
      </c>
      <c r="F453">
        <v>999</v>
      </c>
      <c r="G453">
        <v>19</v>
      </c>
      <c r="H453" s="2">
        <v>45098</v>
      </c>
    </row>
    <row r="454" spans="1:8" x14ac:dyDescent="0.3">
      <c r="A454">
        <v>66</v>
      </c>
      <c r="B454" t="s">
        <v>12</v>
      </c>
      <c r="C454" t="s">
        <v>25</v>
      </c>
      <c r="D454" t="s">
        <v>20</v>
      </c>
      <c r="E454" t="s">
        <v>22</v>
      </c>
      <c r="F454">
        <v>430</v>
      </c>
      <c r="G454">
        <v>20</v>
      </c>
      <c r="H454" s="2">
        <v>45257</v>
      </c>
    </row>
    <row r="455" spans="1:8" x14ac:dyDescent="0.3">
      <c r="A455">
        <v>41</v>
      </c>
      <c r="B455" t="s">
        <v>12</v>
      </c>
      <c r="C455" t="s">
        <v>26</v>
      </c>
      <c r="D455" t="s">
        <v>14</v>
      </c>
      <c r="E455" t="s">
        <v>11</v>
      </c>
      <c r="F455">
        <v>1415</v>
      </c>
      <c r="G455">
        <v>3</v>
      </c>
      <c r="H455" s="2">
        <v>45652</v>
      </c>
    </row>
    <row r="456" spans="1:8" x14ac:dyDescent="0.3">
      <c r="A456">
        <v>16</v>
      </c>
      <c r="B456" t="s">
        <v>12</v>
      </c>
      <c r="C456" t="s">
        <v>19</v>
      </c>
      <c r="D456" t="s">
        <v>17</v>
      </c>
      <c r="E456" t="s">
        <v>11</v>
      </c>
      <c r="F456">
        <v>1236</v>
      </c>
      <c r="G456">
        <v>15</v>
      </c>
      <c r="H456" s="2">
        <v>45428</v>
      </c>
    </row>
    <row r="457" spans="1:8" x14ac:dyDescent="0.3">
      <c r="A457">
        <v>59</v>
      </c>
      <c r="B457" t="s">
        <v>8</v>
      </c>
      <c r="C457" t="s">
        <v>25</v>
      </c>
      <c r="D457" t="s">
        <v>10</v>
      </c>
      <c r="E457" t="s">
        <v>11</v>
      </c>
      <c r="F457">
        <v>1065</v>
      </c>
      <c r="G457">
        <v>2</v>
      </c>
      <c r="H457" s="2">
        <v>44991</v>
      </c>
    </row>
    <row r="458" spans="1:8" x14ac:dyDescent="0.3">
      <c r="A458">
        <v>17</v>
      </c>
      <c r="B458" t="s">
        <v>8</v>
      </c>
      <c r="C458" t="s">
        <v>26</v>
      </c>
      <c r="D458" t="s">
        <v>14</v>
      </c>
      <c r="E458" t="s">
        <v>11</v>
      </c>
      <c r="F458">
        <v>1499</v>
      </c>
      <c r="G458">
        <v>2</v>
      </c>
      <c r="H458" s="2">
        <v>45468</v>
      </c>
    </row>
    <row r="459" spans="1:8" x14ac:dyDescent="0.3">
      <c r="A459">
        <v>27</v>
      </c>
      <c r="B459" t="s">
        <v>12</v>
      </c>
      <c r="C459" t="s">
        <v>21</v>
      </c>
      <c r="D459" t="s">
        <v>16</v>
      </c>
      <c r="E459" t="s">
        <v>11</v>
      </c>
      <c r="F459">
        <v>808</v>
      </c>
      <c r="G459">
        <v>3</v>
      </c>
      <c r="H459" s="2">
        <v>45455</v>
      </c>
    </row>
    <row r="460" spans="1:8" x14ac:dyDescent="0.3">
      <c r="A460">
        <v>34</v>
      </c>
      <c r="B460" t="s">
        <v>12</v>
      </c>
      <c r="C460" t="s">
        <v>15</v>
      </c>
      <c r="D460" t="s">
        <v>24</v>
      </c>
      <c r="E460" t="s">
        <v>11</v>
      </c>
      <c r="F460">
        <v>1072</v>
      </c>
      <c r="G460">
        <v>6</v>
      </c>
      <c r="H460" s="2">
        <v>45149</v>
      </c>
    </row>
    <row r="461" spans="1:8" x14ac:dyDescent="0.3">
      <c r="A461">
        <v>21</v>
      </c>
      <c r="B461" t="s">
        <v>12</v>
      </c>
      <c r="C461" t="s">
        <v>9</v>
      </c>
      <c r="D461" t="s">
        <v>20</v>
      </c>
      <c r="E461" t="s">
        <v>11</v>
      </c>
      <c r="F461">
        <v>636</v>
      </c>
      <c r="G461">
        <v>15</v>
      </c>
      <c r="H461" s="2">
        <v>44972</v>
      </c>
    </row>
    <row r="462" spans="1:8" x14ac:dyDescent="0.3">
      <c r="A462">
        <v>66</v>
      </c>
      <c r="B462" t="s">
        <v>12</v>
      </c>
      <c r="C462" t="s">
        <v>15</v>
      </c>
      <c r="D462" t="s">
        <v>20</v>
      </c>
      <c r="E462" t="s">
        <v>11</v>
      </c>
      <c r="F462">
        <v>561</v>
      </c>
      <c r="G462">
        <v>10</v>
      </c>
      <c r="H462" s="2">
        <v>45306</v>
      </c>
    </row>
    <row r="463" spans="1:8" x14ac:dyDescent="0.3">
      <c r="A463">
        <v>17</v>
      </c>
      <c r="B463" t="s">
        <v>8</v>
      </c>
      <c r="C463" t="s">
        <v>15</v>
      </c>
      <c r="D463" t="s">
        <v>17</v>
      </c>
      <c r="E463" t="s">
        <v>11</v>
      </c>
      <c r="F463">
        <v>1315</v>
      </c>
      <c r="G463">
        <v>9</v>
      </c>
      <c r="H463" s="2">
        <v>45398</v>
      </c>
    </row>
    <row r="464" spans="1:8" x14ac:dyDescent="0.3">
      <c r="A464">
        <v>63</v>
      </c>
      <c r="B464" t="s">
        <v>12</v>
      </c>
      <c r="C464" t="s">
        <v>19</v>
      </c>
      <c r="D464" t="s">
        <v>14</v>
      </c>
      <c r="E464" t="s">
        <v>11</v>
      </c>
      <c r="F464">
        <v>1663</v>
      </c>
      <c r="G464">
        <v>1</v>
      </c>
      <c r="H464" s="2">
        <v>45483</v>
      </c>
    </row>
    <row r="465" spans="1:8" x14ac:dyDescent="0.3">
      <c r="A465">
        <v>23</v>
      </c>
      <c r="B465" t="s">
        <v>12</v>
      </c>
      <c r="C465" t="s">
        <v>23</v>
      </c>
      <c r="D465" t="s">
        <v>17</v>
      </c>
      <c r="E465" t="s">
        <v>11</v>
      </c>
      <c r="F465">
        <v>1362</v>
      </c>
      <c r="G465">
        <v>16</v>
      </c>
      <c r="H465" s="2">
        <v>45242</v>
      </c>
    </row>
    <row r="466" spans="1:8" x14ac:dyDescent="0.3">
      <c r="A466">
        <v>53</v>
      </c>
      <c r="B466" t="s">
        <v>8</v>
      </c>
      <c r="C466" t="s">
        <v>25</v>
      </c>
      <c r="D466" t="s">
        <v>24</v>
      </c>
      <c r="E466" t="s">
        <v>11</v>
      </c>
      <c r="F466">
        <v>1191</v>
      </c>
      <c r="G466">
        <v>6</v>
      </c>
      <c r="H466" s="2">
        <v>45212</v>
      </c>
    </row>
    <row r="467" spans="1:8" x14ac:dyDescent="0.3">
      <c r="A467">
        <v>16</v>
      </c>
      <c r="B467" t="s">
        <v>8</v>
      </c>
      <c r="C467" t="s">
        <v>15</v>
      </c>
      <c r="D467" t="s">
        <v>17</v>
      </c>
      <c r="E467" t="s">
        <v>11</v>
      </c>
      <c r="F467">
        <v>1373</v>
      </c>
      <c r="G467">
        <v>9</v>
      </c>
      <c r="H467" s="2">
        <v>44989</v>
      </c>
    </row>
    <row r="468" spans="1:8" x14ac:dyDescent="0.3">
      <c r="A468">
        <v>65</v>
      </c>
      <c r="B468" t="s">
        <v>8</v>
      </c>
      <c r="C468" t="s">
        <v>13</v>
      </c>
      <c r="D468" t="s">
        <v>10</v>
      </c>
      <c r="E468" t="s">
        <v>18</v>
      </c>
      <c r="F468">
        <v>902</v>
      </c>
      <c r="G468">
        <v>4</v>
      </c>
      <c r="H468" s="2">
        <v>44992</v>
      </c>
    </row>
    <row r="469" spans="1:8" x14ac:dyDescent="0.3">
      <c r="A469">
        <v>23</v>
      </c>
      <c r="B469" t="s">
        <v>12</v>
      </c>
      <c r="C469" t="s">
        <v>19</v>
      </c>
      <c r="D469" t="s">
        <v>20</v>
      </c>
      <c r="E469" t="s">
        <v>11</v>
      </c>
      <c r="F469">
        <v>427</v>
      </c>
      <c r="G469">
        <v>2</v>
      </c>
      <c r="H469" s="2">
        <v>45068</v>
      </c>
    </row>
    <row r="470" spans="1:8" x14ac:dyDescent="0.3">
      <c r="A470">
        <v>13</v>
      </c>
      <c r="B470" t="s">
        <v>12</v>
      </c>
      <c r="C470" t="s">
        <v>23</v>
      </c>
      <c r="D470" t="s">
        <v>20</v>
      </c>
      <c r="E470" t="s">
        <v>11</v>
      </c>
      <c r="F470">
        <v>548</v>
      </c>
      <c r="G470">
        <v>4</v>
      </c>
      <c r="H470" s="2">
        <v>45048</v>
      </c>
    </row>
    <row r="471" spans="1:8" x14ac:dyDescent="0.3">
      <c r="A471">
        <v>75</v>
      </c>
      <c r="B471" t="s">
        <v>12</v>
      </c>
      <c r="C471" t="s">
        <v>21</v>
      </c>
      <c r="D471" t="s">
        <v>16</v>
      </c>
      <c r="E471" t="s">
        <v>18</v>
      </c>
      <c r="F471">
        <v>727</v>
      </c>
      <c r="G471">
        <v>1</v>
      </c>
      <c r="H471" s="2">
        <v>45225</v>
      </c>
    </row>
    <row r="472" spans="1:8" x14ac:dyDescent="0.3">
      <c r="A472">
        <v>32</v>
      </c>
      <c r="B472" t="s">
        <v>12</v>
      </c>
      <c r="C472" t="s">
        <v>19</v>
      </c>
      <c r="D472" t="s">
        <v>16</v>
      </c>
      <c r="E472" t="s">
        <v>11</v>
      </c>
      <c r="F472">
        <v>764</v>
      </c>
      <c r="G472">
        <v>19</v>
      </c>
      <c r="H472" s="2">
        <v>45378</v>
      </c>
    </row>
    <row r="473" spans="1:8" x14ac:dyDescent="0.3">
      <c r="A473">
        <v>56</v>
      </c>
      <c r="B473" t="s">
        <v>8</v>
      </c>
      <c r="C473" t="s">
        <v>15</v>
      </c>
      <c r="D473" t="s">
        <v>24</v>
      </c>
      <c r="E473" t="s">
        <v>11</v>
      </c>
      <c r="F473">
        <v>920</v>
      </c>
      <c r="G473">
        <v>10</v>
      </c>
      <c r="H473" s="2">
        <v>45562</v>
      </c>
    </row>
    <row r="474" spans="1:8" x14ac:dyDescent="0.3">
      <c r="A474">
        <v>20</v>
      </c>
      <c r="B474" t="s">
        <v>8</v>
      </c>
      <c r="C474" t="s">
        <v>25</v>
      </c>
      <c r="D474" t="s">
        <v>10</v>
      </c>
      <c r="E474" t="s">
        <v>18</v>
      </c>
      <c r="F474">
        <v>1151</v>
      </c>
      <c r="G474">
        <v>15</v>
      </c>
      <c r="H474" s="2">
        <v>45043</v>
      </c>
    </row>
    <row r="475" spans="1:8" x14ac:dyDescent="0.3">
      <c r="A475">
        <v>73</v>
      </c>
      <c r="B475" t="s">
        <v>8</v>
      </c>
      <c r="C475" t="s">
        <v>9</v>
      </c>
      <c r="D475" t="s">
        <v>14</v>
      </c>
      <c r="E475" t="s">
        <v>18</v>
      </c>
      <c r="F475">
        <v>1634</v>
      </c>
      <c r="G475">
        <v>19</v>
      </c>
      <c r="H475" s="2">
        <v>45000</v>
      </c>
    </row>
    <row r="476" spans="1:8" x14ac:dyDescent="0.3">
      <c r="A476">
        <v>16</v>
      </c>
      <c r="B476" t="s">
        <v>8</v>
      </c>
      <c r="C476" t="s">
        <v>15</v>
      </c>
      <c r="D476" t="s">
        <v>17</v>
      </c>
      <c r="E476" t="s">
        <v>11</v>
      </c>
      <c r="F476">
        <v>1326</v>
      </c>
      <c r="G476">
        <v>16</v>
      </c>
      <c r="H476" s="2">
        <v>45238</v>
      </c>
    </row>
    <row r="477" spans="1:8" x14ac:dyDescent="0.3">
      <c r="A477">
        <v>29</v>
      </c>
      <c r="B477" t="s">
        <v>12</v>
      </c>
      <c r="C477" t="s">
        <v>25</v>
      </c>
      <c r="D477" t="s">
        <v>24</v>
      </c>
      <c r="E477" t="s">
        <v>11</v>
      </c>
      <c r="F477">
        <v>912</v>
      </c>
      <c r="G477">
        <v>4</v>
      </c>
      <c r="H477" s="2">
        <v>45329</v>
      </c>
    </row>
    <row r="478" spans="1:8" x14ac:dyDescent="0.3">
      <c r="A478">
        <v>56</v>
      </c>
      <c r="B478" t="s">
        <v>8</v>
      </c>
      <c r="C478" t="s">
        <v>15</v>
      </c>
      <c r="D478" t="s">
        <v>16</v>
      </c>
      <c r="E478" t="s">
        <v>22</v>
      </c>
      <c r="F478">
        <v>748</v>
      </c>
      <c r="G478">
        <v>2</v>
      </c>
      <c r="H478" s="2">
        <v>45214</v>
      </c>
    </row>
    <row r="479" spans="1:8" x14ac:dyDescent="0.3">
      <c r="A479">
        <v>57</v>
      </c>
      <c r="B479" t="s">
        <v>12</v>
      </c>
      <c r="C479" t="s">
        <v>25</v>
      </c>
      <c r="D479" t="s">
        <v>17</v>
      </c>
      <c r="E479" t="s">
        <v>11</v>
      </c>
      <c r="F479">
        <v>1217</v>
      </c>
      <c r="G479">
        <v>13</v>
      </c>
      <c r="H479" s="2">
        <v>45619</v>
      </c>
    </row>
    <row r="480" spans="1:8" x14ac:dyDescent="0.3">
      <c r="A480">
        <v>27</v>
      </c>
      <c r="B480" t="s">
        <v>8</v>
      </c>
      <c r="C480" t="s">
        <v>9</v>
      </c>
      <c r="D480" t="s">
        <v>16</v>
      </c>
      <c r="E480" t="s">
        <v>11</v>
      </c>
      <c r="F480">
        <v>753</v>
      </c>
      <c r="G480">
        <v>1</v>
      </c>
      <c r="H480" s="2">
        <v>45549</v>
      </c>
    </row>
    <row r="481" spans="1:8" x14ac:dyDescent="0.3">
      <c r="A481">
        <v>20</v>
      </c>
      <c r="B481" t="s">
        <v>12</v>
      </c>
      <c r="C481" t="s">
        <v>13</v>
      </c>
      <c r="D481" t="s">
        <v>17</v>
      </c>
      <c r="E481" t="s">
        <v>18</v>
      </c>
      <c r="F481">
        <v>1237</v>
      </c>
      <c r="G481">
        <v>17</v>
      </c>
      <c r="H481" s="2">
        <v>45390</v>
      </c>
    </row>
    <row r="482" spans="1:8" x14ac:dyDescent="0.3">
      <c r="A482">
        <v>61</v>
      </c>
      <c r="B482" t="s">
        <v>12</v>
      </c>
      <c r="C482" t="s">
        <v>15</v>
      </c>
      <c r="D482" t="s">
        <v>14</v>
      </c>
      <c r="E482" t="s">
        <v>11</v>
      </c>
      <c r="F482">
        <v>1452</v>
      </c>
      <c r="G482">
        <v>13</v>
      </c>
      <c r="H482" s="2">
        <v>45363</v>
      </c>
    </row>
    <row r="483" spans="1:8" x14ac:dyDescent="0.3">
      <c r="A483">
        <v>43</v>
      </c>
      <c r="B483" t="s">
        <v>12</v>
      </c>
      <c r="C483" t="s">
        <v>26</v>
      </c>
      <c r="D483" t="s">
        <v>24</v>
      </c>
      <c r="E483" t="s">
        <v>11</v>
      </c>
      <c r="F483">
        <v>943</v>
      </c>
      <c r="G483">
        <v>4</v>
      </c>
      <c r="H483" s="2">
        <v>45486</v>
      </c>
    </row>
    <row r="484" spans="1:8" x14ac:dyDescent="0.3">
      <c r="A484">
        <v>57</v>
      </c>
      <c r="B484" t="s">
        <v>8</v>
      </c>
      <c r="C484" t="s">
        <v>25</v>
      </c>
      <c r="D484" t="s">
        <v>17</v>
      </c>
      <c r="E484" t="s">
        <v>11</v>
      </c>
      <c r="F484">
        <v>1152</v>
      </c>
      <c r="G484">
        <v>7</v>
      </c>
      <c r="H484" s="2">
        <v>45149</v>
      </c>
    </row>
    <row r="485" spans="1:8" x14ac:dyDescent="0.3">
      <c r="A485">
        <v>46</v>
      </c>
      <c r="B485" t="s">
        <v>12</v>
      </c>
      <c r="C485" t="s">
        <v>15</v>
      </c>
      <c r="D485" t="s">
        <v>10</v>
      </c>
      <c r="E485" t="s">
        <v>18</v>
      </c>
      <c r="F485">
        <v>973</v>
      </c>
      <c r="G485">
        <v>17</v>
      </c>
      <c r="H485" s="2">
        <v>45247</v>
      </c>
    </row>
    <row r="486" spans="1:8" x14ac:dyDescent="0.3">
      <c r="A486">
        <v>62</v>
      </c>
      <c r="B486" t="s">
        <v>12</v>
      </c>
      <c r="C486" t="s">
        <v>19</v>
      </c>
      <c r="D486" t="s">
        <v>20</v>
      </c>
      <c r="E486" t="s">
        <v>11</v>
      </c>
      <c r="F486">
        <v>445</v>
      </c>
      <c r="G486">
        <v>9</v>
      </c>
      <c r="H486" s="2">
        <v>45339</v>
      </c>
    </row>
    <row r="487" spans="1:8" x14ac:dyDescent="0.3">
      <c r="A487">
        <v>43</v>
      </c>
      <c r="B487" t="s">
        <v>12</v>
      </c>
      <c r="C487" t="s">
        <v>26</v>
      </c>
      <c r="D487" t="s">
        <v>10</v>
      </c>
      <c r="E487" t="s">
        <v>11</v>
      </c>
      <c r="F487">
        <v>912</v>
      </c>
      <c r="G487">
        <v>4</v>
      </c>
      <c r="H487" s="2">
        <v>45131</v>
      </c>
    </row>
    <row r="488" spans="1:8" x14ac:dyDescent="0.3">
      <c r="A488">
        <v>18</v>
      </c>
      <c r="B488" t="s">
        <v>8</v>
      </c>
      <c r="C488" t="s">
        <v>9</v>
      </c>
      <c r="D488" t="s">
        <v>10</v>
      </c>
      <c r="E488" t="s">
        <v>11</v>
      </c>
      <c r="F488">
        <v>1064</v>
      </c>
      <c r="G488">
        <v>19</v>
      </c>
      <c r="H488" s="2">
        <v>45630</v>
      </c>
    </row>
    <row r="489" spans="1:8" x14ac:dyDescent="0.3">
      <c r="A489">
        <v>9</v>
      </c>
      <c r="B489" t="s">
        <v>8</v>
      </c>
      <c r="C489" t="s">
        <v>15</v>
      </c>
      <c r="D489" t="s">
        <v>20</v>
      </c>
      <c r="E489" t="s">
        <v>11</v>
      </c>
      <c r="F489">
        <v>501</v>
      </c>
      <c r="G489">
        <v>1</v>
      </c>
      <c r="H489" s="2">
        <v>45433</v>
      </c>
    </row>
    <row r="490" spans="1:8" x14ac:dyDescent="0.3">
      <c r="A490">
        <v>39</v>
      </c>
      <c r="B490" t="s">
        <v>8</v>
      </c>
      <c r="C490" t="s">
        <v>9</v>
      </c>
      <c r="D490" t="s">
        <v>10</v>
      </c>
      <c r="E490" t="s">
        <v>11</v>
      </c>
      <c r="F490">
        <v>1179</v>
      </c>
      <c r="G490">
        <v>10</v>
      </c>
      <c r="H490" s="2">
        <v>45238</v>
      </c>
    </row>
    <row r="491" spans="1:8" x14ac:dyDescent="0.3">
      <c r="A491">
        <v>79</v>
      </c>
      <c r="B491" t="s">
        <v>12</v>
      </c>
      <c r="C491" t="s">
        <v>9</v>
      </c>
      <c r="D491" t="s">
        <v>17</v>
      </c>
      <c r="E491" t="s">
        <v>18</v>
      </c>
      <c r="F491">
        <v>1357</v>
      </c>
      <c r="G491">
        <v>4</v>
      </c>
      <c r="H491" s="2">
        <v>45051</v>
      </c>
    </row>
    <row r="492" spans="1:8" x14ac:dyDescent="0.3">
      <c r="A492">
        <v>22</v>
      </c>
      <c r="B492" t="s">
        <v>8</v>
      </c>
      <c r="C492" t="s">
        <v>23</v>
      </c>
      <c r="D492" t="s">
        <v>17</v>
      </c>
      <c r="E492" t="s">
        <v>11</v>
      </c>
      <c r="F492">
        <v>1237</v>
      </c>
      <c r="G492">
        <v>9</v>
      </c>
      <c r="H492" s="2">
        <v>45011</v>
      </c>
    </row>
    <row r="493" spans="1:8" x14ac:dyDescent="0.3">
      <c r="A493">
        <v>13</v>
      </c>
      <c r="B493" t="s">
        <v>12</v>
      </c>
      <c r="C493" t="s">
        <v>23</v>
      </c>
      <c r="D493" t="s">
        <v>17</v>
      </c>
      <c r="E493" t="s">
        <v>11</v>
      </c>
      <c r="F493">
        <v>1262</v>
      </c>
      <c r="G493">
        <v>13</v>
      </c>
      <c r="H493" s="2">
        <v>45062</v>
      </c>
    </row>
    <row r="494" spans="1:8" x14ac:dyDescent="0.3">
      <c r="A494">
        <v>78</v>
      </c>
      <c r="B494" t="s">
        <v>8</v>
      </c>
      <c r="C494" t="s">
        <v>9</v>
      </c>
      <c r="D494" t="s">
        <v>20</v>
      </c>
      <c r="E494" t="s">
        <v>18</v>
      </c>
      <c r="F494">
        <v>510</v>
      </c>
      <c r="G494">
        <v>14</v>
      </c>
      <c r="H494" s="2">
        <v>45264</v>
      </c>
    </row>
    <row r="495" spans="1:8" x14ac:dyDescent="0.3">
      <c r="A495">
        <v>62</v>
      </c>
      <c r="B495" t="s">
        <v>8</v>
      </c>
      <c r="C495" t="s">
        <v>15</v>
      </c>
      <c r="D495" t="s">
        <v>10</v>
      </c>
      <c r="E495" t="s">
        <v>11</v>
      </c>
      <c r="F495">
        <v>1001</v>
      </c>
      <c r="G495">
        <v>10</v>
      </c>
      <c r="H495" s="2">
        <v>45344</v>
      </c>
    </row>
    <row r="496" spans="1:8" x14ac:dyDescent="0.3">
      <c r="A496">
        <v>21</v>
      </c>
      <c r="B496" t="s">
        <v>12</v>
      </c>
      <c r="C496" t="s">
        <v>19</v>
      </c>
      <c r="D496" t="s">
        <v>20</v>
      </c>
      <c r="E496" t="s">
        <v>22</v>
      </c>
      <c r="F496">
        <v>416</v>
      </c>
      <c r="G496">
        <v>6</v>
      </c>
      <c r="H496" s="2">
        <v>45031</v>
      </c>
    </row>
    <row r="497" spans="1:8" x14ac:dyDescent="0.3">
      <c r="A497">
        <v>11</v>
      </c>
      <c r="B497" t="s">
        <v>12</v>
      </c>
      <c r="C497" t="s">
        <v>9</v>
      </c>
      <c r="D497" t="s">
        <v>17</v>
      </c>
      <c r="E497" t="s">
        <v>11</v>
      </c>
      <c r="F497">
        <v>1367</v>
      </c>
      <c r="G497">
        <v>16</v>
      </c>
      <c r="H497" s="2">
        <v>45089</v>
      </c>
    </row>
    <row r="498" spans="1:8" x14ac:dyDescent="0.3">
      <c r="A498">
        <v>50</v>
      </c>
      <c r="B498" t="s">
        <v>12</v>
      </c>
      <c r="C498" t="s">
        <v>15</v>
      </c>
      <c r="D498" t="s">
        <v>10</v>
      </c>
      <c r="E498" t="s">
        <v>11</v>
      </c>
      <c r="F498">
        <v>1081</v>
      </c>
      <c r="G498">
        <v>6</v>
      </c>
      <c r="H498" s="2">
        <v>44931</v>
      </c>
    </row>
    <row r="499" spans="1:8" x14ac:dyDescent="0.3">
      <c r="A499">
        <v>17</v>
      </c>
      <c r="B499" t="s">
        <v>12</v>
      </c>
      <c r="C499" t="s">
        <v>21</v>
      </c>
      <c r="D499" t="s">
        <v>10</v>
      </c>
      <c r="E499" t="s">
        <v>11</v>
      </c>
      <c r="F499">
        <v>923</v>
      </c>
      <c r="G499">
        <v>17</v>
      </c>
      <c r="H499" s="2">
        <v>45588</v>
      </c>
    </row>
    <row r="500" spans="1:8" x14ac:dyDescent="0.3">
      <c r="A500">
        <v>44</v>
      </c>
      <c r="B500" t="s">
        <v>12</v>
      </c>
      <c r="C500" t="s">
        <v>23</v>
      </c>
      <c r="D500" t="s">
        <v>16</v>
      </c>
      <c r="E500" t="s">
        <v>22</v>
      </c>
      <c r="F500">
        <v>728</v>
      </c>
      <c r="G500">
        <v>10</v>
      </c>
      <c r="H500" s="2">
        <v>45032</v>
      </c>
    </row>
    <row r="501" spans="1:8" x14ac:dyDescent="0.3">
      <c r="A501">
        <v>46</v>
      </c>
      <c r="B501" t="s">
        <v>8</v>
      </c>
      <c r="C501" t="s">
        <v>23</v>
      </c>
      <c r="D501" t="s">
        <v>16</v>
      </c>
      <c r="E501" t="s">
        <v>11</v>
      </c>
      <c r="F501">
        <v>870</v>
      </c>
      <c r="G501">
        <v>18</v>
      </c>
      <c r="H501" s="2">
        <v>45457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B804F-E3C6-45F0-8D4F-1067C1CF8B6E}">
  <dimension ref="A1:N70"/>
  <sheetViews>
    <sheetView topLeftCell="A13" workbookViewId="0">
      <selection activeCell="H18" sqref="H18"/>
    </sheetView>
  </sheetViews>
  <sheetFormatPr defaultRowHeight="14.4" x14ac:dyDescent="0.3"/>
  <cols>
    <col min="1" max="1" width="20.33203125" bestFit="1" customWidth="1"/>
    <col min="2" max="2" width="26.109375" bestFit="1" customWidth="1"/>
    <col min="3" max="3" width="26.33203125" bestFit="1" customWidth="1"/>
    <col min="4" max="4" width="17" bestFit="1" customWidth="1"/>
    <col min="5" max="5" width="15.5546875" bestFit="1" customWidth="1"/>
    <col min="6" max="6" width="20.5546875" customWidth="1"/>
    <col min="7" max="7" width="10.77734375" bestFit="1" customWidth="1"/>
    <col min="8" max="8" width="19.109375" bestFit="1" customWidth="1"/>
    <col min="9" max="9" width="17.88671875" bestFit="1" customWidth="1"/>
    <col min="10" max="10" width="10.77734375" bestFit="1" customWidth="1"/>
    <col min="11" max="11" width="17.88671875" bestFit="1" customWidth="1"/>
    <col min="12" max="12" width="14.109375" bestFit="1" customWidth="1"/>
    <col min="13" max="13" width="15.33203125" bestFit="1" customWidth="1"/>
    <col min="14" max="14" width="15.44140625" bestFit="1" customWidth="1"/>
  </cols>
  <sheetData>
    <row r="1" spans="1:14" x14ac:dyDescent="0.3">
      <c r="C1" s="6" t="s">
        <v>32</v>
      </c>
      <c r="D1" t="s">
        <v>22</v>
      </c>
    </row>
    <row r="3" spans="1:14" x14ac:dyDescent="0.3">
      <c r="A3" t="s">
        <v>57</v>
      </c>
      <c r="C3" t="s">
        <v>65</v>
      </c>
      <c r="E3" s="8"/>
      <c r="F3" s="9" t="s">
        <v>59</v>
      </c>
      <c r="H3" t="s">
        <v>60</v>
      </c>
      <c r="J3" t="s">
        <v>61</v>
      </c>
      <c r="L3" t="s">
        <v>68</v>
      </c>
      <c r="N3" t="s">
        <v>63</v>
      </c>
    </row>
    <row r="4" spans="1:14" x14ac:dyDescent="0.3">
      <c r="A4" s="7">
        <v>92</v>
      </c>
      <c r="C4" s="7">
        <v>14</v>
      </c>
      <c r="E4" s="7"/>
      <c r="F4" s="15">
        <f>(C4/A4)</f>
        <v>0.15217391304347827</v>
      </c>
      <c r="H4" s="16">
        <v>9.2934782608695645</v>
      </c>
      <c r="J4" s="7">
        <v>20</v>
      </c>
      <c r="L4" s="7">
        <v>855</v>
      </c>
      <c r="N4" s="7">
        <v>1</v>
      </c>
    </row>
    <row r="8" spans="1:14" x14ac:dyDescent="0.3">
      <c r="A8" s="6" t="s">
        <v>32</v>
      </c>
      <c r="B8" t="s">
        <v>58</v>
      </c>
      <c r="D8" s="6" t="s">
        <v>28</v>
      </c>
      <c r="E8" t="s">
        <v>60</v>
      </c>
      <c r="G8" s="6" t="s">
        <v>62</v>
      </c>
      <c r="H8" t="s">
        <v>60</v>
      </c>
      <c r="J8" s="6" t="s">
        <v>29</v>
      </c>
      <c r="K8" t="s">
        <v>60</v>
      </c>
    </row>
    <row r="9" spans="1:14" x14ac:dyDescent="0.3">
      <c r="A9" s="10" t="s">
        <v>18</v>
      </c>
      <c r="B9" s="7">
        <v>15</v>
      </c>
      <c r="D9" s="10" t="s">
        <v>25</v>
      </c>
      <c r="E9" s="11">
        <v>11.5</v>
      </c>
      <c r="G9" s="10" t="s">
        <v>16</v>
      </c>
      <c r="H9" s="11">
        <v>9.2934782608695645</v>
      </c>
      <c r="J9" s="10" t="s">
        <v>46</v>
      </c>
      <c r="K9" s="11">
        <v>10.75</v>
      </c>
    </row>
    <row r="10" spans="1:14" x14ac:dyDescent="0.3">
      <c r="A10" s="10" t="s">
        <v>11</v>
      </c>
      <c r="B10" s="7">
        <v>63</v>
      </c>
      <c r="D10" s="10" t="s">
        <v>19</v>
      </c>
      <c r="E10" s="11">
        <v>11.111111111111111</v>
      </c>
      <c r="G10" s="10" t="s">
        <v>31</v>
      </c>
      <c r="H10" s="11">
        <v>9.2934782608695645</v>
      </c>
      <c r="J10" s="10" t="s">
        <v>47</v>
      </c>
      <c r="K10" s="11">
        <v>9.1304347826086953</v>
      </c>
    </row>
    <row r="11" spans="1:14" x14ac:dyDescent="0.3">
      <c r="A11" s="10" t="s">
        <v>22</v>
      </c>
      <c r="B11" s="7">
        <v>14</v>
      </c>
      <c r="D11" s="10" t="s">
        <v>15</v>
      </c>
      <c r="E11" s="11">
        <v>10.071428571428571</v>
      </c>
      <c r="J11" s="10" t="s">
        <v>45</v>
      </c>
      <c r="K11" s="11">
        <v>8.7741935483870961</v>
      </c>
    </row>
    <row r="12" spans="1:14" x14ac:dyDescent="0.3">
      <c r="A12" s="10" t="s">
        <v>31</v>
      </c>
      <c r="B12" s="7">
        <v>92</v>
      </c>
      <c r="D12" s="10" t="s">
        <v>23</v>
      </c>
      <c r="E12" s="11">
        <v>9.0833333333333339</v>
      </c>
      <c r="J12" s="10" t="s">
        <v>48</v>
      </c>
      <c r="K12" s="11">
        <v>8.2142857142857135</v>
      </c>
    </row>
    <row r="13" spans="1:14" x14ac:dyDescent="0.3">
      <c r="D13" s="10" t="s">
        <v>13</v>
      </c>
      <c r="E13" s="11">
        <v>8.8000000000000007</v>
      </c>
      <c r="J13" s="10" t="s">
        <v>31</v>
      </c>
      <c r="K13" s="11">
        <v>9.2934782608695645</v>
      </c>
    </row>
    <row r="14" spans="1:14" x14ac:dyDescent="0.3">
      <c r="D14" s="10" t="s">
        <v>9</v>
      </c>
      <c r="E14" s="11">
        <v>8.4642857142857135</v>
      </c>
    </row>
    <row r="15" spans="1:14" x14ac:dyDescent="0.3">
      <c r="A15" s="6" t="s">
        <v>28</v>
      </c>
      <c r="B15" t="s">
        <v>30</v>
      </c>
      <c r="D15" s="10" t="s">
        <v>26</v>
      </c>
      <c r="E15" s="11">
        <v>7.666666666666667</v>
      </c>
    </row>
    <row r="16" spans="1:14" x14ac:dyDescent="0.3">
      <c r="A16" s="10" t="s">
        <v>15</v>
      </c>
      <c r="B16" s="12">
        <v>282</v>
      </c>
      <c r="D16" s="10" t="s">
        <v>21</v>
      </c>
      <c r="E16" s="11">
        <v>4.666666666666667</v>
      </c>
      <c r="J16" s="6" t="s">
        <v>29</v>
      </c>
      <c r="K16" t="s">
        <v>30</v>
      </c>
    </row>
    <row r="17" spans="1:11" x14ac:dyDescent="0.3">
      <c r="A17" s="10" t="s">
        <v>9</v>
      </c>
      <c r="B17" s="12">
        <v>237</v>
      </c>
      <c r="D17" s="10" t="s">
        <v>31</v>
      </c>
      <c r="E17" s="11">
        <v>9.2934782608695645</v>
      </c>
      <c r="J17" s="10" t="s">
        <v>45</v>
      </c>
      <c r="K17" s="12">
        <v>272</v>
      </c>
    </row>
    <row r="18" spans="1:11" x14ac:dyDescent="0.3">
      <c r="A18" s="10" t="s">
        <v>23</v>
      </c>
      <c r="B18" s="12">
        <v>109</v>
      </c>
      <c r="G18" s="6" t="s">
        <v>62</v>
      </c>
      <c r="H18" t="s">
        <v>67</v>
      </c>
      <c r="J18" s="10" t="s">
        <v>46</v>
      </c>
      <c r="K18" s="12">
        <v>258</v>
      </c>
    </row>
    <row r="19" spans="1:11" x14ac:dyDescent="0.3">
      <c r="A19" s="10" t="s">
        <v>19</v>
      </c>
      <c r="B19" s="12">
        <v>100</v>
      </c>
      <c r="G19" s="10" t="s">
        <v>16</v>
      </c>
      <c r="H19" s="13">
        <v>0.15217391304347827</v>
      </c>
      <c r="J19" s="10" t="s">
        <v>47</v>
      </c>
      <c r="K19" s="12">
        <v>210</v>
      </c>
    </row>
    <row r="20" spans="1:11" x14ac:dyDescent="0.3">
      <c r="A20" s="10" t="s">
        <v>25</v>
      </c>
      <c r="B20" s="12">
        <v>46</v>
      </c>
      <c r="D20" s="6" t="s">
        <v>28</v>
      </c>
      <c r="E20" t="s">
        <v>66</v>
      </c>
      <c r="G20" s="10" t="s">
        <v>31</v>
      </c>
      <c r="H20" s="13">
        <v>0.15217391304347827</v>
      </c>
      <c r="J20" s="10" t="s">
        <v>48</v>
      </c>
      <c r="K20" s="12">
        <v>115</v>
      </c>
    </row>
    <row r="21" spans="1:11" x14ac:dyDescent="0.3">
      <c r="A21" s="10" t="s">
        <v>13</v>
      </c>
      <c r="B21" s="12">
        <v>44</v>
      </c>
      <c r="D21" s="10" t="s">
        <v>19</v>
      </c>
      <c r="E21" s="13">
        <v>0.33333333333333331</v>
      </c>
      <c r="J21" s="10" t="s">
        <v>31</v>
      </c>
      <c r="K21" s="12">
        <v>855</v>
      </c>
    </row>
    <row r="22" spans="1:11" x14ac:dyDescent="0.3">
      <c r="A22" s="10" t="s">
        <v>26</v>
      </c>
      <c r="B22" s="12">
        <v>23</v>
      </c>
      <c r="D22" s="10" t="s">
        <v>15</v>
      </c>
      <c r="E22" s="13">
        <v>0.25</v>
      </c>
    </row>
    <row r="23" spans="1:11" x14ac:dyDescent="0.3">
      <c r="A23" s="10" t="s">
        <v>21</v>
      </c>
      <c r="B23" s="12">
        <v>14</v>
      </c>
      <c r="D23" s="10" t="s">
        <v>9</v>
      </c>
      <c r="E23" s="13">
        <v>0.10714285714285714</v>
      </c>
    </row>
    <row r="24" spans="1:11" x14ac:dyDescent="0.3">
      <c r="A24" s="10" t="s">
        <v>31</v>
      </c>
      <c r="B24" s="12">
        <v>855</v>
      </c>
      <c r="D24" s="10" t="s">
        <v>23</v>
      </c>
      <c r="E24" s="13">
        <v>8.3333333333333329E-2</v>
      </c>
      <c r="J24" s="6" t="s">
        <v>55</v>
      </c>
      <c r="K24" s="12" t="s">
        <v>57</v>
      </c>
    </row>
    <row r="25" spans="1:11" x14ac:dyDescent="0.3">
      <c r="D25" s="10" t="s">
        <v>25</v>
      </c>
      <c r="E25" s="13">
        <v>0</v>
      </c>
      <c r="J25" s="10" t="s">
        <v>33</v>
      </c>
      <c r="K25" s="12">
        <v>9</v>
      </c>
    </row>
    <row r="26" spans="1:11" x14ac:dyDescent="0.3">
      <c r="D26" s="10" t="s">
        <v>26</v>
      </c>
      <c r="E26" s="13">
        <v>0</v>
      </c>
      <c r="J26" s="10" t="s">
        <v>34</v>
      </c>
      <c r="K26" s="12">
        <v>8</v>
      </c>
    </row>
    <row r="27" spans="1:11" x14ac:dyDescent="0.3">
      <c r="A27" s="6" t="s">
        <v>55</v>
      </c>
      <c r="B27" t="s">
        <v>60</v>
      </c>
      <c r="D27" s="10" t="s">
        <v>21</v>
      </c>
      <c r="E27" s="13">
        <v>0</v>
      </c>
      <c r="J27" s="10" t="s">
        <v>35</v>
      </c>
      <c r="K27" s="12">
        <v>10</v>
      </c>
    </row>
    <row r="28" spans="1:11" x14ac:dyDescent="0.3">
      <c r="A28" s="10" t="s">
        <v>33</v>
      </c>
      <c r="B28" s="11">
        <v>7.5555555555555554</v>
      </c>
      <c r="D28" s="10" t="s">
        <v>13</v>
      </c>
      <c r="E28" s="13">
        <v>0</v>
      </c>
      <c r="G28" s="6" t="s">
        <v>55</v>
      </c>
      <c r="H28" t="s">
        <v>67</v>
      </c>
      <c r="J28" s="10" t="s">
        <v>36</v>
      </c>
      <c r="K28" s="12">
        <v>7</v>
      </c>
    </row>
    <row r="29" spans="1:11" x14ac:dyDescent="0.3">
      <c r="A29" s="10" t="s">
        <v>34</v>
      </c>
      <c r="B29" s="11">
        <v>8.625</v>
      </c>
      <c r="D29" s="10" t="s">
        <v>31</v>
      </c>
      <c r="E29" s="13">
        <v>0.15217391304347827</v>
      </c>
      <c r="G29" s="10" t="s">
        <v>33</v>
      </c>
      <c r="H29" s="13">
        <v>0</v>
      </c>
      <c r="J29" s="10" t="s">
        <v>37</v>
      </c>
      <c r="K29" s="12">
        <v>3</v>
      </c>
    </row>
    <row r="30" spans="1:11" x14ac:dyDescent="0.3">
      <c r="A30" s="10" t="s">
        <v>35</v>
      </c>
      <c r="B30" s="11">
        <v>11.8</v>
      </c>
      <c r="G30" s="10" t="s">
        <v>34</v>
      </c>
      <c r="H30" s="13">
        <v>0.125</v>
      </c>
      <c r="J30" s="10" t="s">
        <v>38</v>
      </c>
      <c r="K30" s="12">
        <v>8</v>
      </c>
    </row>
    <row r="31" spans="1:11" x14ac:dyDescent="0.3">
      <c r="A31" s="10" t="s">
        <v>36</v>
      </c>
      <c r="B31" s="11">
        <v>9</v>
      </c>
      <c r="G31" s="10" t="s">
        <v>35</v>
      </c>
      <c r="H31" s="13">
        <v>0</v>
      </c>
      <c r="J31" s="10" t="s">
        <v>39</v>
      </c>
      <c r="K31" s="12">
        <v>7</v>
      </c>
    </row>
    <row r="32" spans="1:11" x14ac:dyDescent="0.3">
      <c r="A32" s="10" t="s">
        <v>37</v>
      </c>
      <c r="B32" s="11">
        <v>15.333333333333334</v>
      </c>
      <c r="D32" s="6" t="s">
        <v>62</v>
      </c>
      <c r="E32" t="s">
        <v>30</v>
      </c>
      <c r="G32" s="10" t="s">
        <v>36</v>
      </c>
      <c r="H32" s="13">
        <v>0.14285714285714285</v>
      </c>
      <c r="J32" s="10" t="s">
        <v>40</v>
      </c>
      <c r="K32" s="12">
        <v>8</v>
      </c>
    </row>
    <row r="33" spans="1:12" x14ac:dyDescent="0.3">
      <c r="A33" s="10" t="s">
        <v>38</v>
      </c>
      <c r="B33" s="11">
        <v>10.25</v>
      </c>
      <c r="D33" s="10" t="s">
        <v>16</v>
      </c>
      <c r="E33" s="12">
        <v>855</v>
      </c>
      <c r="G33" s="10" t="s">
        <v>37</v>
      </c>
      <c r="H33" s="13">
        <v>0.66666666666666663</v>
      </c>
      <c r="J33" s="10" t="s">
        <v>41</v>
      </c>
      <c r="K33" s="12">
        <v>8</v>
      </c>
    </row>
    <row r="34" spans="1:12" x14ac:dyDescent="0.3">
      <c r="A34" s="10" t="s">
        <v>39</v>
      </c>
      <c r="B34" s="11">
        <v>10</v>
      </c>
      <c r="D34" s="10" t="s">
        <v>31</v>
      </c>
      <c r="E34" s="12">
        <v>855</v>
      </c>
      <c r="G34" s="10" t="s">
        <v>38</v>
      </c>
      <c r="H34" s="13">
        <v>0.125</v>
      </c>
      <c r="J34" s="10" t="s">
        <v>42</v>
      </c>
      <c r="K34" s="12">
        <v>7</v>
      </c>
    </row>
    <row r="35" spans="1:12" x14ac:dyDescent="0.3">
      <c r="A35" s="10" t="s">
        <v>40</v>
      </c>
      <c r="B35" s="11">
        <v>10.625</v>
      </c>
      <c r="G35" s="10" t="s">
        <v>39</v>
      </c>
      <c r="H35" s="13">
        <v>0</v>
      </c>
      <c r="J35" s="10" t="s">
        <v>43</v>
      </c>
      <c r="K35" s="12">
        <v>8</v>
      </c>
    </row>
    <row r="36" spans="1:12" x14ac:dyDescent="0.3">
      <c r="A36" s="10" t="s">
        <v>41</v>
      </c>
      <c r="B36" s="11">
        <v>6.625</v>
      </c>
      <c r="G36" s="10" t="s">
        <v>40</v>
      </c>
      <c r="H36" s="13">
        <v>0.125</v>
      </c>
      <c r="J36" s="10" t="s">
        <v>44</v>
      </c>
      <c r="K36" s="12">
        <v>9</v>
      </c>
    </row>
    <row r="37" spans="1:12" x14ac:dyDescent="0.3">
      <c r="A37" s="10" t="s">
        <v>42</v>
      </c>
      <c r="B37" s="11">
        <v>6.8571428571428568</v>
      </c>
      <c r="G37" s="10" t="s">
        <v>41</v>
      </c>
      <c r="H37" s="13">
        <v>0.375</v>
      </c>
      <c r="J37" s="10" t="s">
        <v>31</v>
      </c>
      <c r="K37" s="12">
        <v>92</v>
      </c>
    </row>
    <row r="38" spans="1:12" x14ac:dyDescent="0.3">
      <c r="A38" s="10" t="s">
        <v>43</v>
      </c>
      <c r="B38" s="11">
        <v>10</v>
      </c>
      <c r="G38" s="10" t="s">
        <v>42</v>
      </c>
      <c r="H38" s="13">
        <v>0.14285714285714285</v>
      </c>
      <c r="L38" s="14"/>
    </row>
    <row r="39" spans="1:12" x14ac:dyDescent="0.3">
      <c r="A39" s="10" t="s">
        <v>44</v>
      </c>
      <c r="B39" s="11">
        <v>8.1111111111111107</v>
      </c>
      <c r="G39" s="10" t="s">
        <v>43</v>
      </c>
      <c r="H39" s="13">
        <v>0.25</v>
      </c>
      <c r="L39" s="14"/>
    </row>
    <row r="40" spans="1:12" x14ac:dyDescent="0.3">
      <c r="A40" s="10" t="s">
        <v>31</v>
      </c>
      <c r="B40" s="11">
        <v>9.2934782608695645</v>
      </c>
      <c r="G40" s="10" t="s">
        <v>44</v>
      </c>
      <c r="H40" s="13">
        <v>0.22222222222222221</v>
      </c>
      <c r="L40" s="14"/>
    </row>
    <row r="41" spans="1:12" x14ac:dyDescent="0.3">
      <c r="G41" s="10" t="s">
        <v>31</v>
      </c>
      <c r="H41" s="13">
        <v>0.15217391304347827</v>
      </c>
      <c r="L41" s="14"/>
    </row>
    <row r="42" spans="1:12" x14ac:dyDescent="0.3">
      <c r="D42" s="6" t="s">
        <v>29</v>
      </c>
      <c r="E42" t="s">
        <v>67</v>
      </c>
      <c r="L42" s="14"/>
    </row>
    <row r="43" spans="1:12" x14ac:dyDescent="0.3">
      <c r="D43" s="10" t="s">
        <v>45</v>
      </c>
      <c r="E43" s="13">
        <v>0.22580645161290322</v>
      </c>
    </row>
    <row r="44" spans="1:12" x14ac:dyDescent="0.3">
      <c r="A44" s="6" t="s">
        <v>55</v>
      </c>
      <c r="B44" t="s">
        <v>30</v>
      </c>
      <c r="D44" s="10" t="s">
        <v>48</v>
      </c>
      <c r="E44" s="13">
        <v>0.21428571428571427</v>
      </c>
    </row>
    <row r="45" spans="1:12" x14ac:dyDescent="0.3">
      <c r="A45" s="10" t="s">
        <v>33</v>
      </c>
      <c r="B45" s="12">
        <v>68</v>
      </c>
      <c r="D45" s="10" t="s">
        <v>46</v>
      </c>
      <c r="E45" s="13">
        <v>0.125</v>
      </c>
    </row>
    <row r="46" spans="1:12" x14ac:dyDescent="0.3">
      <c r="A46" s="10" t="s">
        <v>34</v>
      </c>
      <c r="B46" s="12">
        <v>69</v>
      </c>
      <c r="D46" s="10" t="s">
        <v>47</v>
      </c>
      <c r="E46" s="13">
        <v>4.3478260869565216E-2</v>
      </c>
    </row>
    <row r="47" spans="1:12" x14ac:dyDescent="0.3">
      <c r="A47" s="10" t="s">
        <v>35</v>
      </c>
      <c r="B47" s="12">
        <v>118</v>
      </c>
      <c r="D47" s="10" t="s">
        <v>31</v>
      </c>
      <c r="E47" s="13">
        <v>0.15217391304347827</v>
      </c>
      <c r="L47" s="9"/>
    </row>
    <row r="48" spans="1:12" x14ac:dyDescent="0.3">
      <c r="A48" s="10" t="s">
        <v>36</v>
      </c>
      <c r="B48" s="12">
        <v>63</v>
      </c>
      <c r="L48" s="14"/>
    </row>
    <row r="49" spans="1:12" x14ac:dyDescent="0.3">
      <c r="A49" s="10" t="s">
        <v>37</v>
      </c>
      <c r="B49" s="12">
        <v>46</v>
      </c>
      <c r="L49" s="14"/>
    </row>
    <row r="50" spans="1:12" x14ac:dyDescent="0.3">
      <c r="A50" s="10" t="s">
        <v>38</v>
      </c>
      <c r="B50" s="12">
        <v>82</v>
      </c>
      <c r="L50" s="14"/>
    </row>
    <row r="51" spans="1:12" x14ac:dyDescent="0.3">
      <c r="A51" s="10" t="s">
        <v>39</v>
      </c>
      <c r="B51" s="12">
        <v>70</v>
      </c>
      <c r="L51" s="14"/>
    </row>
    <row r="52" spans="1:12" x14ac:dyDescent="0.3">
      <c r="A52" s="10" t="s">
        <v>40</v>
      </c>
      <c r="B52" s="12">
        <v>85</v>
      </c>
      <c r="L52" s="14"/>
    </row>
    <row r="53" spans="1:12" x14ac:dyDescent="0.3">
      <c r="A53" s="10" t="s">
        <v>41</v>
      </c>
      <c r="B53" s="12">
        <v>53</v>
      </c>
      <c r="L53" s="14"/>
    </row>
    <row r="54" spans="1:12" x14ac:dyDescent="0.3">
      <c r="A54" s="10" t="s">
        <v>42</v>
      </c>
      <c r="B54" s="12">
        <v>48</v>
      </c>
    </row>
    <row r="55" spans="1:12" x14ac:dyDescent="0.3">
      <c r="A55" s="10" t="s">
        <v>43</v>
      </c>
      <c r="B55" s="12">
        <v>80</v>
      </c>
    </row>
    <row r="56" spans="1:12" x14ac:dyDescent="0.3">
      <c r="A56" s="10" t="s">
        <v>44</v>
      </c>
      <c r="B56" s="12">
        <v>73</v>
      </c>
    </row>
    <row r="57" spans="1:12" x14ac:dyDescent="0.3">
      <c r="A57" s="10" t="s">
        <v>31</v>
      </c>
      <c r="B57" s="12">
        <v>855</v>
      </c>
    </row>
    <row r="58" spans="1:12" x14ac:dyDescent="0.3">
      <c r="L58" s="9"/>
    </row>
    <row r="59" spans="1:12" x14ac:dyDescent="0.3">
      <c r="L59" s="14"/>
    </row>
    <row r="60" spans="1:12" x14ac:dyDescent="0.3">
      <c r="L60" s="14"/>
    </row>
    <row r="61" spans="1:12" x14ac:dyDescent="0.3">
      <c r="L61" s="14"/>
    </row>
    <row r="62" spans="1:12" x14ac:dyDescent="0.3">
      <c r="L62" s="14"/>
    </row>
    <row r="63" spans="1:12" x14ac:dyDescent="0.3">
      <c r="L63" s="14"/>
    </row>
    <row r="64" spans="1:12" x14ac:dyDescent="0.3">
      <c r="L64" s="14"/>
    </row>
    <row r="65" spans="12:12" x14ac:dyDescent="0.3">
      <c r="L65" s="14"/>
    </row>
    <row r="66" spans="12:12" x14ac:dyDescent="0.3">
      <c r="L66" s="14"/>
    </row>
    <row r="67" spans="12:12" x14ac:dyDescent="0.3">
      <c r="L67" s="14"/>
    </row>
    <row r="68" spans="12:12" x14ac:dyDescent="0.3">
      <c r="L68" s="14"/>
    </row>
    <row r="69" spans="12:12" x14ac:dyDescent="0.3">
      <c r="L69" s="14"/>
    </row>
    <row r="70" spans="12:12" x14ac:dyDescent="0.3">
      <c r="L70" s="14"/>
    </row>
  </sheetData>
  <pageMargins left="0.7" right="0.7" top="0.75" bottom="0.75" header="0.3" footer="0.3"/>
  <pageSetup orientation="portrait" r:id="rId21"/>
  <tableParts count="1">
    <tablePart r:id="rId2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F457-A1BD-4C64-A944-890D9C8EE438}">
  <dimension ref="A1"/>
  <sheetViews>
    <sheetView tabSelected="1" topLeftCell="A4" workbookViewId="0">
      <selection activeCell="L55" sqref="L5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5D1B-7791-4985-AF71-5593B0B3D550}">
  <dimension ref="A1"/>
  <sheetViews>
    <sheetView topLeftCell="A19"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1"/>
  <sheetViews>
    <sheetView workbookViewId="0">
      <selection activeCell="M4" sqref="M4"/>
    </sheetView>
  </sheetViews>
  <sheetFormatPr defaultRowHeight="14.4" x14ac:dyDescent="0.3"/>
  <cols>
    <col min="1" max="1" width="14.109375" bestFit="1" customWidth="1"/>
    <col min="2" max="2" width="17.33203125" bestFit="1" customWidth="1"/>
    <col min="3" max="3" width="12.44140625" bestFit="1" customWidth="1"/>
    <col min="4" max="4" width="18.33203125" bestFit="1" customWidth="1"/>
    <col min="5" max="6" width="15.6640625" customWidth="1"/>
    <col min="7" max="7" width="12.44140625" bestFit="1" customWidth="1"/>
    <col min="8" max="8" width="20.44140625" bestFit="1" customWidth="1"/>
    <col min="9" max="9" width="18.88671875" bestFit="1" customWidth="1"/>
    <col min="10" max="11" width="12.6640625" customWidth="1"/>
    <col min="12" max="12" width="15.44140625" customWidth="1"/>
    <col min="15" max="15" width="12.6640625" customWidth="1"/>
  </cols>
  <sheetData>
    <row r="1" spans="1:17" x14ac:dyDescent="0.3">
      <c r="A1" s="4" t="s">
        <v>50</v>
      </c>
      <c r="B1" s="4" t="s">
        <v>51</v>
      </c>
      <c r="C1" s="4" t="s">
        <v>28</v>
      </c>
      <c r="D1" s="4" t="s">
        <v>49</v>
      </c>
      <c r="E1" s="4" t="s">
        <v>32</v>
      </c>
      <c r="F1" s="4" t="s">
        <v>52</v>
      </c>
      <c r="G1" s="4" t="s">
        <v>53</v>
      </c>
      <c r="H1" s="5" t="s">
        <v>54</v>
      </c>
      <c r="I1" s="4" t="s">
        <v>29</v>
      </c>
      <c r="J1" s="4" t="s">
        <v>56</v>
      </c>
      <c r="K1" s="4" t="s">
        <v>27</v>
      </c>
      <c r="L1" s="4" t="s">
        <v>64</v>
      </c>
      <c r="O1" s="4"/>
      <c r="Q1" s="4"/>
    </row>
    <row r="2" spans="1:17" x14ac:dyDescent="0.3">
      <c r="A2">
        <v>56</v>
      </c>
      <c r="B2" t="s">
        <v>8</v>
      </c>
      <c r="C2" t="s">
        <v>9</v>
      </c>
      <c r="D2" t="s">
        <v>10</v>
      </c>
      <c r="E2" t="s">
        <v>11</v>
      </c>
      <c r="F2">
        <v>914</v>
      </c>
      <c r="G2">
        <v>4</v>
      </c>
      <c r="H2" s="3">
        <v>45249</v>
      </c>
      <c r="I2" t="s">
        <v>45</v>
      </c>
      <c r="J2" t="str">
        <f t="shared" ref="J2:J65" si="0">TEXT(H2,"dddd")</f>
        <v>Sunday</v>
      </c>
      <c r="K2" t="str">
        <f t="shared" ref="K2:K65" si="1">IF(WEEKDAY(H2,1)&gt;5,"Weekend","Weekday")</f>
        <v>Weekday</v>
      </c>
      <c r="L2" s="7">
        <f>IF(Bangladesh_Appointment_Trends[[#This Row],[Appointment Status]]="No-Show",1,0)</f>
        <v>0</v>
      </c>
      <c r="Q2" s="7"/>
    </row>
    <row r="3" spans="1:17" x14ac:dyDescent="0.3">
      <c r="A3">
        <v>19</v>
      </c>
      <c r="B3" t="s">
        <v>12</v>
      </c>
      <c r="C3" t="s">
        <v>13</v>
      </c>
      <c r="D3" t="s">
        <v>14</v>
      </c>
      <c r="E3" t="s">
        <v>11</v>
      </c>
      <c r="F3">
        <v>1546</v>
      </c>
      <c r="G3">
        <v>6</v>
      </c>
      <c r="H3" s="3">
        <v>45450</v>
      </c>
      <c r="I3" t="s">
        <v>47</v>
      </c>
      <c r="J3" t="str">
        <f t="shared" si="0"/>
        <v>Friday</v>
      </c>
      <c r="K3" t="str">
        <f t="shared" si="1"/>
        <v>Weekend</v>
      </c>
      <c r="L3" s="7">
        <f>IF(Bangladesh_Appointment_Trends[[#This Row],[Appointment Status]]="No-Show",1,0)</f>
        <v>0</v>
      </c>
      <c r="Q3" s="7"/>
    </row>
    <row r="4" spans="1:17" x14ac:dyDescent="0.3">
      <c r="A4">
        <v>76</v>
      </c>
      <c r="B4" t="s">
        <v>8</v>
      </c>
      <c r="C4" t="s">
        <v>15</v>
      </c>
      <c r="D4" t="s">
        <v>16</v>
      </c>
      <c r="E4" t="s">
        <v>11</v>
      </c>
      <c r="F4">
        <v>725</v>
      </c>
      <c r="G4">
        <v>1</v>
      </c>
      <c r="H4" s="3">
        <v>44984</v>
      </c>
      <c r="I4" t="s">
        <v>45</v>
      </c>
      <c r="J4" t="str">
        <f t="shared" si="0"/>
        <v>Monday</v>
      </c>
      <c r="K4" t="str">
        <f t="shared" si="1"/>
        <v>Weekday</v>
      </c>
      <c r="L4" s="7">
        <f>IF(Bangladesh_Appointment_Trends[[#This Row],[Appointment Status]]="No-Show",1,0)</f>
        <v>0</v>
      </c>
      <c r="Q4" s="7"/>
    </row>
    <row r="5" spans="1:17" x14ac:dyDescent="0.3">
      <c r="A5">
        <v>65</v>
      </c>
      <c r="B5" t="s">
        <v>12</v>
      </c>
      <c r="C5" t="s">
        <v>9</v>
      </c>
      <c r="D5" t="s">
        <v>14</v>
      </c>
      <c r="E5" t="s">
        <v>11</v>
      </c>
      <c r="F5">
        <v>1492</v>
      </c>
      <c r="G5">
        <v>20</v>
      </c>
      <c r="H5" s="3">
        <v>45368</v>
      </c>
      <c r="I5" t="s">
        <v>45</v>
      </c>
      <c r="J5" t="str">
        <f t="shared" si="0"/>
        <v>Sunday</v>
      </c>
      <c r="K5" t="str">
        <f t="shared" si="1"/>
        <v>Weekday</v>
      </c>
      <c r="L5" s="7">
        <f>IF(Bangladesh_Appointment_Trends[[#This Row],[Appointment Status]]="No-Show",1,0)</f>
        <v>0</v>
      </c>
      <c r="Q5" s="7"/>
    </row>
    <row r="6" spans="1:17" x14ac:dyDescent="0.3">
      <c r="A6">
        <v>25</v>
      </c>
      <c r="B6" t="s">
        <v>12</v>
      </c>
      <c r="C6" t="s">
        <v>15</v>
      </c>
      <c r="D6" t="s">
        <v>17</v>
      </c>
      <c r="E6" t="s">
        <v>18</v>
      </c>
      <c r="F6">
        <v>1331</v>
      </c>
      <c r="G6">
        <v>16</v>
      </c>
      <c r="H6" s="3">
        <v>45022</v>
      </c>
      <c r="I6" t="s">
        <v>47</v>
      </c>
      <c r="J6" t="str">
        <f t="shared" si="0"/>
        <v>Thursday</v>
      </c>
      <c r="K6" t="str">
        <f t="shared" si="1"/>
        <v>Weekday</v>
      </c>
      <c r="L6" s="7">
        <f>IF(Bangladesh_Appointment_Trends[[#This Row],[Appointment Status]]="No-Show",1,0)</f>
        <v>0</v>
      </c>
      <c r="Q6" s="7"/>
    </row>
    <row r="7" spans="1:17" x14ac:dyDescent="0.3">
      <c r="A7">
        <v>79</v>
      </c>
      <c r="B7" t="s">
        <v>8</v>
      </c>
      <c r="C7" t="s">
        <v>19</v>
      </c>
      <c r="D7" t="s">
        <v>20</v>
      </c>
      <c r="E7" t="s">
        <v>11</v>
      </c>
      <c r="F7">
        <v>420</v>
      </c>
      <c r="G7">
        <v>15</v>
      </c>
      <c r="H7" s="3">
        <v>45249</v>
      </c>
      <c r="I7" t="s">
        <v>45</v>
      </c>
      <c r="J7" t="str">
        <f t="shared" si="0"/>
        <v>Sunday</v>
      </c>
      <c r="K7" t="str">
        <f t="shared" si="1"/>
        <v>Weekday</v>
      </c>
      <c r="L7" s="7">
        <f>IF(Bangladesh_Appointment_Trends[[#This Row],[Appointment Status]]="No-Show",1,0)</f>
        <v>0</v>
      </c>
      <c r="Q7" s="7"/>
    </row>
    <row r="8" spans="1:17" x14ac:dyDescent="0.3">
      <c r="A8">
        <v>79</v>
      </c>
      <c r="B8" t="s">
        <v>12</v>
      </c>
      <c r="C8" t="s">
        <v>13</v>
      </c>
      <c r="D8" t="s">
        <v>10</v>
      </c>
      <c r="E8" t="s">
        <v>11</v>
      </c>
      <c r="F8">
        <v>937</v>
      </c>
      <c r="G8">
        <v>17</v>
      </c>
      <c r="H8" s="3">
        <v>45436</v>
      </c>
      <c r="I8" t="s">
        <v>45</v>
      </c>
      <c r="J8" t="str">
        <f t="shared" si="0"/>
        <v>Friday</v>
      </c>
      <c r="K8" t="str">
        <f t="shared" si="1"/>
        <v>Weekend</v>
      </c>
      <c r="L8" s="7">
        <f>IF(Bangladesh_Appointment_Trends[[#This Row],[Appointment Status]]="No-Show",1,0)</f>
        <v>0</v>
      </c>
      <c r="Q8" s="7"/>
    </row>
    <row r="9" spans="1:17" x14ac:dyDescent="0.3">
      <c r="A9">
        <v>28</v>
      </c>
      <c r="B9" t="s">
        <v>8</v>
      </c>
      <c r="C9" t="s">
        <v>13</v>
      </c>
      <c r="D9" t="s">
        <v>14</v>
      </c>
      <c r="E9" t="s">
        <v>18</v>
      </c>
      <c r="F9">
        <v>1675</v>
      </c>
      <c r="G9">
        <v>8</v>
      </c>
      <c r="H9" s="3">
        <v>45175</v>
      </c>
      <c r="I9" t="s">
        <v>47</v>
      </c>
      <c r="J9" t="str">
        <f t="shared" si="0"/>
        <v>Wednesday</v>
      </c>
      <c r="K9" t="str">
        <f t="shared" si="1"/>
        <v>Weekday</v>
      </c>
      <c r="L9" s="7">
        <f>IF(Bangladesh_Appointment_Trends[[#This Row],[Appointment Status]]="No-Show",1,0)</f>
        <v>0</v>
      </c>
      <c r="Q9" s="7"/>
    </row>
    <row r="10" spans="1:17" x14ac:dyDescent="0.3">
      <c r="A10">
        <v>7</v>
      </c>
      <c r="B10" t="s">
        <v>8</v>
      </c>
      <c r="C10" t="s">
        <v>15</v>
      </c>
      <c r="D10" t="s">
        <v>20</v>
      </c>
      <c r="E10" t="s">
        <v>11</v>
      </c>
      <c r="F10">
        <v>556</v>
      </c>
      <c r="G10">
        <v>12</v>
      </c>
      <c r="H10" s="3">
        <v>45262</v>
      </c>
      <c r="I10" t="s">
        <v>48</v>
      </c>
      <c r="J10" t="str">
        <f t="shared" si="0"/>
        <v>Saturday</v>
      </c>
      <c r="K10" t="str">
        <f t="shared" si="1"/>
        <v>Weekend</v>
      </c>
      <c r="L10" s="7">
        <f>IF(Bangladesh_Appointment_Trends[[#This Row],[Appointment Status]]="No-Show",1,0)</f>
        <v>0</v>
      </c>
      <c r="Q10" s="7"/>
    </row>
    <row r="11" spans="1:17" x14ac:dyDescent="0.3">
      <c r="A11">
        <v>26</v>
      </c>
      <c r="B11" t="s">
        <v>8</v>
      </c>
      <c r="C11" t="s">
        <v>21</v>
      </c>
      <c r="D11" t="s">
        <v>16</v>
      </c>
      <c r="E11" t="s">
        <v>18</v>
      </c>
      <c r="F11">
        <v>878</v>
      </c>
      <c r="G11">
        <v>10</v>
      </c>
      <c r="H11" s="3">
        <v>45388</v>
      </c>
      <c r="I11" t="s">
        <v>47</v>
      </c>
      <c r="J11" t="str">
        <f t="shared" si="0"/>
        <v>Saturday</v>
      </c>
      <c r="K11" t="str">
        <f t="shared" si="1"/>
        <v>Weekend</v>
      </c>
      <c r="L11" s="7">
        <f>IF(Bangladesh_Appointment_Trends[[#This Row],[Appointment Status]]="No-Show",1,0)</f>
        <v>0</v>
      </c>
      <c r="Q11" s="7"/>
    </row>
    <row r="12" spans="1:17" x14ac:dyDescent="0.3">
      <c r="A12">
        <v>57</v>
      </c>
      <c r="B12" t="s">
        <v>8</v>
      </c>
      <c r="C12" t="s">
        <v>19</v>
      </c>
      <c r="D12" t="s">
        <v>20</v>
      </c>
      <c r="E12" t="s">
        <v>11</v>
      </c>
      <c r="F12">
        <v>531</v>
      </c>
      <c r="G12">
        <v>15</v>
      </c>
      <c r="H12" s="3">
        <v>45619</v>
      </c>
      <c r="I12" t="s">
        <v>45</v>
      </c>
      <c r="J12" t="str">
        <f t="shared" si="0"/>
        <v>Saturday</v>
      </c>
      <c r="K12" t="str">
        <f t="shared" si="1"/>
        <v>Weekend</v>
      </c>
      <c r="L12" s="7">
        <f>IF(Bangladesh_Appointment_Trends[[#This Row],[Appointment Status]]="No-Show",1,0)</f>
        <v>0</v>
      </c>
      <c r="Q12" s="7"/>
    </row>
    <row r="13" spans="1:17" x14ac:dyDescent="0.3">
      <c r="A13">
        <v>6</v>
      </c>
      <c r="B13" t="s">
        <v>8</v>
      </c>
      <c r="C13" t="s">
        <v>9</v>
      </c>
      <c r="D13" t="s">
        <v>10</v>
      </c>
      <c r="E13" t="s">
        <v>22</v>
      </c>
      <c r="F13">
        <v>927</v>
      </c>
      <c r="G13">
        <v>9</v>
      </c>
      <c r="H13" s="3">
        <v>45540</v>
      </c>
      <c r="I13" t="s">
        <v>48</v>
      </c>
      <c r="J13" t="str">
        <f t="shared" si="0"/>
        <v>Thursday</v>
      </c>
      <c r="K13" t="str">
        <f t="shared" si="1"/>
        <v>Weekday</v>
      </c>
      <c r="L13" s="7">
        <f>IF(Bangladesh_Appointment_Trends[[#This Row],[Appointment Status]]="No-Show",1,0)</f>
        <v>1</v>
      </c>
      <c r="Q13" s="7"/>
    </row>
    <row r="14" spans="1:17" x14ac:dyDescent="0.3">
      <c r="A14">
        <v>34</v>
      </c>
      <c r="B14" t="s">
        <v>8</v>
      </c>
      <c r="C14" t="s">
        <v>23</v>
      </c>
      <c r="D14" t="s">
        <v>14</v>
      </c>
      <c r="E14" t="s">
        <v>11</v>
      </c>
      <c r="F14">
        <v>1659</v>
      </c>
      <c r="G14">
        <v>2</v>
      </c>
      <c r="H14" s="3">
        <v>45249</v>
      </c>
      <c r="I14" t="s">
        <v>47</v>
      </c>
      <c r="J14" t="str">
        <f t="shared" si="0"/>
        <v>Sunday</v>
      </c>
      <c r="K14" t="str">
        <f t="shared" si="1"/>
        <v>Weekday</v>
      </c>
      <c r="L14" s="7">
        <f>IF(Bangladesh_Appointment_Trends[[#This Row],[Appointment Status]]="No-Show",1,0)</f>
        <v>0</v>
      </c>
      <c r="Q14" s="7"/>
    </row>
    <row r="15" spans="1:17" x14ac:dyDescent="0.3">
      <c r="A15">
        <v>42</v>
      </c>
      <c r="B15" t="s">
        <v>8</v>
      </c>
      <c r="C15" t="s">
        <v>9</v>
      </c>
      <c r="D15" t="s">
        <v>17</v>
      </c>
      <c r="E15" t="s">
        <v>11</v>
      </c>
      <c r="F15">
        <v>1175</v>
      </c>
      <c r="G15">
        <v>5</v>
      </c>
      <c r="H15" s="3">
        <v>45219</v>
      </c>
      <c r="I15" t="s">
        <v>46</v>
      </c>
      <c r="J15" t="str">
        <f t="shared" si="0"/>
        <v>Friday</v>
      </c>
      <c r="K15" t="str">
        <f t="shared" si="1"/>
        <v>Weekend</v>
      </c>
      <c r="L15" s="7">
        <f>IF(Bangladesh_Appointment_Trends[[#This Row],[Appointment Status]]="No-Show",1,0)</f>
        <v>0</v>
      </c>
      <c r="Q15" s="7"/>
    </row>
    <row r="16" spans="1:17" x14ac:dyDescent="0.3">
      <c r="A16">
        <v>6</v>
      </c>
      <c r="B16" t="s">
        <v>8</v>
      </c>
      <c r="C16" t="s">
        <v>9</v>
      </c>
      <c r="D16" t="s">
        <v>16</v>
      </c>
      <c r="E16" t="s">
        <v>11</v>
      </c>
      <c r="F16">
        <v>766</v>
      </c>
      <c r="G16">
        <v>6</v>
      </c>
      <c r="H16" s="3">
        <v>44989</v>
      </c>
      <c r="I16" t="s">
        <v>48</v>
      </c>
      <c r="J16" t="str">
        <f t="shared" si="0"/>
        <v>Saturday</v>
      </c>
      <c r="K16" t="str">
        <f t="shared" si="1"/>
        <v>Weekend</v>
      </c>
      <c r="L16" s="7">
        <f>IF(Bangladesh_Appointment_Trends[[#This Row],[Appointment Status]]="No-Show",1,0)</f>
        <v>0</v>
      </c>
      <c r="Q16" s="7"/>
    </row>
    <row r="17" spans="1:17" x14ac:dyDescent="0.3">
      <c r="A17">
        <v>68</v>
      </c>
      <c r="B17" t="s">
        <v>12</v>
      </c>
      <c r="C17" t="s">
        <v>23</v>
      </c>
      <c r="D17" t="s">
        <v>14</v>
      </c>
      <c r="E17" t="s">
        <v>22</v>
      </c>
      <c r="F17">
        <v>1593</v>
      </c>
      <c r="G17">
        <v>7</v>
      </c>
      <c r="H17" s="3">
        <v>45526</v>
      </c>
      <c r="I17" t="s">
        <v>45</v>
      </c>
      <c r="J17" t="str">
        <f t="shared" si="0"/>
        <v>Thursday</v>
      </c>
      <c r="K17" t="str">
        <f t="shared" si="1"/>
        <v>Weekday</v>
      </c>
      <c r="L17" s="7">
        <f>IF(Bangladesh_Appointment_Trends[[#This Row],[Appointment Status]]="No-Show",1,0)</f>
        <v>1</v>
      </c>
      <c r="Q17" s="7"/>
    </row>
    <row r="18" spans="1:17" x14ac:dyDescent="0.3">
      <c r="A18">
        <v>64</v>
      </c>
      <c r="B18" t="s">
        <v>12</v>
      </c>
      <c r="C18" t="s">
        <v>15</v>
      </c>
      <c r="D18" t="s">
        <v>10</v>
      </c>
      <c r="E18" t="s">
        <v>18</v>
      </c>
      <c r="F18">
        <v>1061</v>
      </c>
      <c r="G18">
        <v>1</v>
      </c>
      <c r="H18" s="3">
        <v>45286</v>
      </c>
      <c r="I18" t="s">
        <v>45</v>
      </c>
      <c r="J18" t="str">
        <f t="shared" si="0"/>
        <v>Tuesday</v>
      </c>
      <c r="K18" t="str">
        <f t="shared" si="1"/>
        <v>Weekday</v>
      </c>
      <c r="L18" s="7">
        <f>IF(Bangladesh_Appointment_Trends[[#This Row],[Appointment Status]]="No-Show",1,0)</f>
        <v>0</v>
      </c>
      <c r="Q18" s="7"/>
    </row>
    <row r="19" spans="1:17" x14ac:dyDescent="0.3">
      <c r="A19">
        <v>25</v>
      </c>
      <c r="B19" t="s">
        <v>8</v>
      </c>
      <c r="C19" t="s">
        <v>15</v>
      </c>
      <c r="D19" t="s">
        <v>16</v>
      </c>
      <c r="E19" t="s">
        <v>11</v>
      </c>
      <c r="F19">
        <v>956</v>
      </c>
      <c r="G19">
        <v>7</v>
      </c>
      <c r="H19" s="3">
        <v>44943</v>
      </c>
      <c r="I19" t="s">
        <v>47</v>
      </c>
      <c r="J19" t="str">
        <f t="shared" si="0"/>
        <v>Tuesday</v>
      </c>
      <c r="K19" t="str">
        <f t="shared" si="1"/>
        <v>Weekday</v>
      </c>
      <c r="L19" s="7">
        <f>IF(Bangladesh_Appointment_Trends[[#This Row],[Appointment Status]]="No-Show",1,0)</f>
        <v>0</v>
      </c>
      <c r="Q19" s="7"/>
    </row>
    <row r="20" spans="1:17" x14ac:dyDescent="0.3">
      <c r="A20">
        <v>37</v>
      </c>
      <c r="B20" t="s">
        <v>12</v>
      </c>
      <c r="C20" t="s">
        <v>9</v>
      </c>
      <c r="D20" t="s">
        <v>24</v>
      </c>
      <c r="E20" t="s">
        <v>11</v>
      </c>
      <c r="F20">
        <v>971</v>
      </c>
      <c r="G20">
        <v>20</v>
      </c>
      <c r="H20" s="3">
        <v>45241</v>
      </c>
      <c r="I20" t="s">
        <v>46</v>
      </c>
      <c r="J20" t="str">
        <f t="shared" si="0"/>
        <v>Saturday</v>
      </c>
      <c r="K20" t="str">
        <f t="shared" si="1"/>
        <v>Weekend</v>
      </c>
      <c r="L20" s="7">
        <f>IF(Bangladesh_Appointment_Trends[[#This Row],[Appointment Status]]="No-Show",1,0)</f>
        <v>0</v>
      </c>
      <c r="Q20" s="7"/>
    </row>
    <row r="21" spans="1:17" x14ac:dyDescent="0.3">
      <c r="A21">
        <v>62</v>
      </c>
      <c r="B21" t="s">
        <v>12</v>
      </c>
      <c r="C21" t="s">
        <v>15</v>
      </c>
      <c r="D21" t="s">
        <v>20</v>
      </c>
      <c r="E21" t="s">
        <v>22</v>
      </c>
      <c r="F21">
        <v>486</v>
      </c>
      <c r="G21">
        <v>12</v>
      </c>
      <c r="H21" s="3">
        <v>45173</v>
      </c>
      <c r="I21" t="s">
        <v>45</v>
      </c>
      <c r="J21" t="str">
        <f t="shared" si="0"/>
        <v>Monday</v>
      </c>
      <c r="K21" t="str">
        <f t="shared" si="1"/>
        <v>Weekday</v>
      </c>
      <c r="L21" s="7">
        <f>IF(Bangladesh_Appointment_Trends[[#This Row],[Appointment Status]]="No-Show",1,0)</f>
        <v>1</v>
      </c>
      <c r="Q21" s="7"/>
    </row>
    <row r="22" spans="1:17" x14ac:dyDescent="0.3">
      <c r="A22">
        <v>26</v>
      </c>
      <c r="B22" t="s">
        <v>12</v>
      </c>
      <c r="C22" t="s">
        <v>9</v>
      </c>
      <c r="D22" t="s">
        <v>10</v>
      </c>
      <c r="E22" t="s">
        <v>11</v>
      </c>
      <c r="F22">
        <v>1161</v>
      </c>
      <c r="G22">
        <v>16</v>
      </c>
      <c r="H22" s="3">
        <v>45195</v>
      </c>
      <c r="I22" t="s">
        <v>47</v>
      </c>
      <c r="J22" t="str">
        <f t="shared" si="0"/>
        <v>Tuesday</v>
      </c>
      <c r="K22" t="str">
        <f t="shared" si="1"/>
        <v>Weekday</v>
      </c>
      <c r="L22" s="7">
        <f>IF(Bangladesh_Appointment_Trends[[#This Row],[Appointment Status]]="No-Show",1,0)</f>
        <v>0</v>
      </c>
      <c r="Q22" s="7"/>
    </row>
    <row r="23" spans="1:17" x14ac:dyDescent="0.3">
      <c r="A23">
        <v>53</v>
      </c>
      <c r="B23" t="s">
        <v>12</v>
      </c>
      <c r="C23" t="s">
        <v>19</v>
      </c>
      <c r="D23" t="s">
        <v>24</v>
      </c>
      <c r="E23" t="s">
        <v>18</v>
      </c>
      <c r="F23">
        <v>1113</v>
      </c>
      <c r="G23">
        <v>16</v>
      </c>
      <c r="H23" s="3">
        <v>45212</v>
      </c>
      <c r="I23" t="s">
        <v>46</v>
      </c>
      <c r="J23" t="str">
        <f t="shared" si="0"/>
        <v>Friday</v>
      </c>
      <c r="K23" t="str">
        <f t="shared" si="1"/>
        <v>Weekend</v>
      </c>
      <c r="L23" s="7">
        <f>IF(Bangladesh_Appointment_Trends[[#This Row],[Appointment Status]]="No-Show",1,0)</f>
        <v>0</v>
      </c>
      <c r="Q23" s="7"/>
    </row>
    <row r="24" spans="1:17" x14ac:dyDescent="0.3">
      <c r="A24">
        <v>63</v>
      </c>
      <c r="B24" t="s">
        <v>8</v>
      </c>
      <c r="C24" t="s">
        <v>23</v>
      </c>
      <c r="D24" t="s">
        <v>14</v>
      </c>
      <c r="E24" t="s">
        <v>18</v>
      </c>
      <c r="F24">
        <v>1552</v>
      </c>
      <c r="G24">
        <v>11</v>
      </c>
      <c r="H24" s="3">
        <v>44977</v>
      </c>
      <c r="I24" t="s">
        <v>45</v>
      </c>
      <c r="J24" t="str">
        <f t="shared" si="0"/>
        <v>Monday</v>
      </c>
      <c r="K24" t="str">
        <f t="shared" si="1"/>
        <v>Weekday</v>
      </c>
      <c r="L24" s="7">
        <f>IF(Bangladesh_Appointment_Trends[[#This Row],[Appointment Status]]="No-Show",1,0)</f>
        <v>0</v>
      </c>
      <c r="Q24" s="7"/>
    </row>
    <row r="25" spans="1:17" x14ac:dyDescent="0.3">
      <c r="A25">
        <v>46</v>
      </c>
      <c r="B25" t="s">
        <v>8</v>
      </c>
      <c r="C25" t="s">
        <v>23</v>
      </c>
      <c r="D25" t="s">
        <v>17</v>
      </c>
      <c r="E25" t="s">
        <v>11</v>
      </c>
      <c r="F25">
        <v>1309</v>
      </c>
      <c r="G25">
        <v>4</v>
      </c>
      <c r="H25" s="3">
        <v>45408</v>
      </c>
      <c r="I25" t="s">
        <v>46</v>
      </c>
      <c r="J25" t="str">
        <f t="shared" si="0"/>
        <v>Friday</v>
      </c>
      <c r="K25" t="str">
        <f t="shared" si="1"/>
        <v>Weekend</v>
      </c>
      <c r="L25" s="7">
        <f>IF(Bangladesh_Appointment_Trends[[#This Row],[Appointment Status]]="No-Show",1,0)</f>
        <v>0</v>
      </c>
      <c r="Q25" s="7"/>
    </row>
    <row r="26" spans="1:17" x14ac:dyDescent="0.3">
      <c r="A26">
        <v>64</v>
      </c>
      <c r="B26" t="s">
        <v>12</v>
      </c>
      <c r="C26" t="s">
        <v>25</v>
      </c>
      <c r="D26" t="s">
        <v>16</v>
      </c>
      <c r="E26" t="s">
        <v>11</v>
      </c>
      <c r="F26">
        <v>760</v>
      </c>
      <c r="G26">
        <v>13</v>
      </c>
      <c r="H26" s="3">
        <v>45521</v>
      </c>
      <c r="I26" t="s">
        <v>45</v>
      </c>
      <c r="J26" t="str">
        <f t="shared" si="0"/>
        <v>Saturday</v>
      </c>
      <c r="K26" t="str">
        <f t="shared" si="1"/>
        <v>Weekend</v>
      </c>
      <c r="L26" s="7">
        <f>IF(Bangladesh_Appointment_Trends[[#This Row],[Appointment Status]]="No-Show",1,0)</f>
        <v>0</v>
      </c>
      <c r="Q26" s="7"/>
    </row>
    <row r="27" spans="1:17" x14ac:dyDescent="0.3">
      <c r="A27">
        <v>19</v>
      </c>
      <c r="B27" t="s">
        <v>8</v>
      </c>
      <c r="C27" t="s">
        <v>23</v>
      </c>
      <c r="D27" t="s">
        <v>20</v>
      </c>
      <c r="E27" t="s">
        <v>11</v>
      </c>
      <c r="F27">
        <v>667</v>
      </c>
      <c r="G27">
        <v>7</v>
      </c>
      <c r="H27" s="3">
        <v>45482</v>
      </c>
      <c r="I27" t="s">
        <v>47</v>
      </c>
      <c r="J27" t="str">
        <f t="shared" si="0"/>
        <v>Tuesday</v>
      </c>
      <c r="K27" t="str">
        <f t="shared" si="1"/>
        <v>Weekday</v>
      </c>
      <c r="L27" s="7">
        <f>IF(Bangladesh_Appointment_Trends[[#This Row],[Appointment Status]]="No-Show",1,0)</f>
        <v>0</v>
      </c>
      <c r="Q27" s="7"/>
    </row>
    <row r="28" spans="1:17" x14ac:dyDescent="0.3">
      <c r="A28">
        <v>66</v>
      </c>
      <c r="B28" t="s">
        <v>8</v>
      </c>
      <c r="C28" t="s">
        <v>23</v>
      </c>
      <c r="D28" t="s">
        <v>16</v>
      </c>
      <c r="E28" t="s">
        <v>11</v>
      </c>
      <c r="F28">
        <v>961</v>
      </c>
      <c r="G28">
        <v>4</v>
      </c>
      <c r="H28" s="3">
        <v>44930</v>
      </c>
      <c r="I28" t="s">
        <v>45</v>
      </c>
      <c r="J28" t="str">
        <f t="shared" si="0"/>
        <v>Wednesday</v>
      </c>
      <c r="K28" t="str">
        <f t="shared" si="1"/>
        <v>Weekday</v>
      </c>
      <c r="L28" s="7">
        <f>IF(Bangladesh_Appointment_Trends[[#This Row],[Appointment Status]]="No-Show",1,0)</f>
        <v>0</v>
      </c>
      <c r="Q28" s="7"/>
    </row>
    <row r="29" spans="1:17" x14ac:dyDescent="0.3">
      <c r="A29">
        <v>66</v>
      </c>
      <c r="B29" t="s">
        <v>12</v>
      </c>
      <c r="C29" t="s">
        <v>15</v>
      </c>
      <c r="D29" t="s">
        <v>14</v>
      </c>
      <c r="E29" t="s">
        <v>22</v>
      </c>
      <c r="F29">
        <v>1617</v>
      </c>
      <c r="G29">
        <v>15</v>
      </c>
      <c r="H29" s="3">
        <v>45069</v>
      </c>
      <c r="I29" t="s">
        <v>45</v>
      </c>
      <c r="J29" t="str">
        <f t="shared" si="0"/>
        <v>Tuesday</v>
      </c>
      <c r="K29" t="str">
        <f t="shared" si="1"/>
        <v>Weekday</v>
      </c>
      <c r="L29" s="7">
        <f>IF(Bangladesh_Appointment_Trends[[#This Row],[Appointment Status]]="No-Show",1,0)</f>
        <v>1</v>
      </c>
      <c r="Q29" s="7"/>
    </row>
    <row r="30" spans="1:17" x14ac:dyDescent="0.3">
      <c r="A30">
        <v>51</v>
      </c>
      <c r="B30" t="s">
        <v>8</v>
      </c>
      <c r="C30" t="s">
        <v>9</v>
      </c>
      <c r="D30" t="s">
        <v>16</v>
      </c>
      <c r="E30" t="s">
        <v>11</v>
      </c>
      <c r="F30">
        <v>982</v>
      </c>
      <c r="G30">
        <v>19</v>
      </c>
      <c r="H30" s="3">
        <v>45487</v>
      </c>
      <c r="I30" t="s">
        <v>46</v>
      </c>
      <c r="J30" t="str">
        <f t="shared" si="0"/>
        <v>Sunday</v>
      </c>
      <c r="K30" t="str">
        <f t="shared" si="1"/>
        <v>Weekday</v>
      </c>
      <c r="L30" s="7">
        <f>IF(Bangladesh_Appointment_Trends[[#This Row],[Appointment Status]]="No-Show",1,0)</f>
        <v>0</v>
      </c>
      <c r="Q30" s="7"/>
    </row>
    <row r="31" spans="1:17" x14ac:dyDescent="0.3">
      <c r="A31">
        <v>66</v>
      </c>
      <c r="B31" t="s">
        <v>12</v>
      </c>
      <c r="C31" t="s">
        <v>9</v>
      </c>
      <c r="D31" t="s">
        <v>20</v>
      </c>
      <c r="E31" t="s">
        <v>22</v>
      </c>
      <c r="F31">
        <v>535</v>
      </c>
      <c r="G31">
        <v>9</v>
      </c>
      <c r="H31" s="3">
        <v>45035</v>
      </c>
      <c r="I31" t="s">
        <v>45</v>
      </c>
      <c r="J31" t="str">
        <f t="shared" si="0"/>
        <v>Wednesday</v>
      </c>
      <c r="K31" t="str">
        <f t="shared" si="1"/>
        <v>Weekday</v>
      </c>
      <c r="L31" s="7">
        <f>IF(Bangladesh_Appointment_Trends[[#This Row],[Appointment Status]]="No-Show",1,0)</f>
        <v>1</v>
      </c>
      <c r="Q31" s="7"/>
    </row>
    <row r="32" spans="1:17" x14ac:dyDescent="0.3">
      <c r="A32">
        <v>55</v>
      </c>
      <c r="B32" t="s">
        <v>12</v>
      </c>
      <c r="C32" t="s">
        <v>15</v>
      </c>
      <c r="D32" t="s">
        <v>14</v>
      </c>
      <c r="E32" t="s">
        <v>11</v>
      </c>
      <c r="F32">
        <v>1492</v>
      </c>
      <c r="G32">
        <v>11</v>
      </c>
      <c r="H32" s="3">
        <v>45317</v>
      </c>
      <c r="I32" t="s">
        <v>46</v>
      </c>
      <c r="J32" t="str">
        <f t="shared" si="0"/>
        <v>Friday</v>
      </c>
      <c r="K32" t="str">
        <f t="shared" si="1"/>
        <v>Weekend</v>
      </c>
      <c r="L32" s="7">
        <f>IF(Bangladesh_Appointment_Trends[[#This Row],[Appointment Status]]="No-Show",1,0)</f>
        <v>0</v>
      </c>
      <c r="Q32" s="7"/>
    </row>
    <row r="33" spans="1:17" x14ac:dyDescent="0.3">
      <c r="A33">
        <v>59</v>
      </c>
      <c r="B33" t="s">
        <v>8</v>
      </c>
      <c r="C33" t="s">
        <v>9</v>
      </c>
      <c r="D33" t="s">
        <v>16</v>
      </c>
      <c r="E33" t="s">
        <v>22</v>
      </c>
      <c r="F33">
        <v>808</v>
      </c>
      <c r="G33">
        <v>8</v>
      </c>
      <c r="H33" s="3">
        <v>45172</v>
      </c>
      <c r="I33" t="s">
        <v>45</v>
      </c>
      <c r="J33" t="str">
        <f t="shared" si="0"/>
        <v>Sunday</v>
      </c>
      <c r="K33" t="str">
        <f t="shared" si="1"/>
        <v>Weekday</v>
      </c>
      <c r="L33" s="7">
        <f>IF(Bangladesh_Appointment_Trends[[#This Row],[Appointment Status]]="No-Show",1,0)</f>
        <v>1</v>
      </c>
      <c r="Q33" s="7"/>
    </row>
    <row r="34" spans="1:17" x14ac:dyDescent="0.3">
      <c r="A34">
        <v>68</v>
      </c>
      <c r="B34" t="s">
        <v>12</v>
      </c>
      <c r="C34" t="s">
        <v>9</v>
      </c>
      <c r="D34" t="s">
        <v>17</v>
      </c>
      <c r="E34" t="s">
        <v>11</v>
      </c>
      <c r="F34">
        <v>1340</v>
      </c>
      <c r="G34">
        <v>1</v>
      </c>
      <c r="H34" s="3">
        <v>45060</v>
      </c>
      <c r="I34" t="s">
        <v>45</v>
      </c>
      <c r="J34" t="str">
        <f t="shared" si="0"/>
        <v>Sunday</v>
      </c>
      <c r="K34" t="str">
        <f t="shared" si="1"/>
        <v>Weekday</v>
      </c>
      <c r="L34" s="7">
        <f>IF(Bangladesh_Appointment_Trends[[#This Row],[Appointment Status]]="No-Show",1,0)</f>
        <v>0</v>
      </c>
      <c r="Q34" s="7"/>
    </row>
    <row r="35" spans="1:17" x14ac:dyDescent="0.3">
      <c r="A35">
        <v>7</v>
      </c>
      <c r="B35" t="s">
        <v>8</v>
      </c>
      <c r="C35" t="s">
        <v>25</v>
      </c>
      <c r="D35" t="s">
        <v>10</v>
      </c>
      <c r="E35" t="s">
        <v>11</v>
      </c>
      <c r="F35">
        <v>1041</v>
      </c>
      <c r="G35">
        <v>8</v>
      </c>
      <c r="H35" s="3">
        <v>45604</v>
      </c>
      <c r="I35" t="s">
        <v>48</v>
      </c>
      <c r="J35" t="str">
        <f t="shared" si="0"/>
        <v>Friday</v>
      </c>
      <c r="K35" t="str">
        <f t="shared" si="1"/>
        <v>Weekend</v>
      </c>
      <c r="L35" s="7">
        <f>IF(Bangladesh_Appointment_Trends[[#This Row],[Appointment Status]]="No-Show",1,0)</f>
        <v>0</v>
      </c>
      <c r="Q35" s="7"/>
    </row>
    <row r="36" spans="1:17" x14ac:dyDescent="0.3">
      <c r="A36">
        <v>55</v>
      </c>
      <c r="B36" t="s">
        <v>8</v>
      </c>
      <c r="C36" t="s">
        <v>26</v>
      </c>
      <c r="D36" t="s">
        <v>14</v>
      </c>
      <c r="E36" t="s">
        <v>11</v>
      </c>
      <c r="F36">
        <v>1690</v>
      </c>
      <c r="G36">
        <v>13</v>
      </c>
      <c r="H36" s="3">
        <v>45346</v>
      </c>
      <c r="I36" t="s">
        <v>46</v>
      </c>
      <c r="J36" t="str">
        <f t="shared" si="0"/>
        <v>Saturday</v>
      </c>
      <c r="K36" t="str">
        <f t="shared" si="1"/>
        <v>Weekend</v>
      </c>
      <c r="L36" s="7">
        <f>IF(Bangladesh_Appointment_Trends[[#This Row],[Appointment Status]]="No-Show",1,0)</f>
        <v>0</v>
      </c>
      <c r="Q36" s="7"/>
    </row>
    <row r="37" spans="1:17" x14ac:dyDescent="0.3">
      <c r="A37">
        <v>11</v>
      </c>
      <c r="B37" t="s">
        <v>12</v>
      </c>
      <c r="C37" t="s">
        <v>19</v>
      </c>
      <c r="D37" t="s">
        <v>10</v>
      </c>
      <c r="E37" t="s">
        <v>18</v>
      </c>
      <c r="F37">
        <v>1136</v>
      </c>
      <c r="G37">
        <v>4</v>
      </c>
      <c r="H37" s="3">
        <v>45531</v>
      </c>
      <c r="I37" t="s">
        <v>48</v>
      </c>
      <c r="J37" t="str">
        <f t="shared" si="0"/>
        <v>Tuesday</v>
      </c>
      <c r="K37" t="str">
        <f t="shared" si="1"/>
        <v>Weekday</v>
      </c>
      <c r="L37" s="7">
        <f>IF(Bangladesh_Appointment_Trends[[#This Row],[Appointment Status]]="No-Show",1,0)</f>
        <v>0</v>
      </c>
      <c r="Q37" s="7"/>
    </row>
    <row r="38" spans="1:17" x14ac:dyDescent="0.3">
      <c r="A38">
        <v>25</v>
      </c>
      <c r="B38" t="s">
        <v>8</v>
      </c>
      <c r="C38" t="s">
        <v>15</v>
      </c>
      <c r="D38" t="s">
        <v>14</v>
      </c>
      <c r="E38" t="s">
        <v>11</v>
      </c>
      <c r="F38">
        <v>1576</v>
      </c>
      <c r="G38">
        <v>8</v>
      </c>
      <c r="H38" s="3">
        <v>45597</v>
      </c>
      <c r="I38" t="s">
        <v>47</v>
      </c>
      <c r="J38" t="str">
        <f t="shared" si="0"/>
        <v>Friday</v>
      </c>
      <c r="K38" t="str">
        <f t="shared" si="1"/>
        <v>Weekend</v>
      </c>
      <c r="L38" s="7">
        <f>IF(Bangladesh_Appointment_Trends[[#This Row],[Appointment Status]]="No-Show",1,0)</f>
        <v>0</v>
      </c>
      <c r="Q38" s="7"/>
    </row>
    <row r="39" spans="1:17" x14ac:dyDescent="0.3">
      <c r="A39">
        <v>77</v>
      </c>
      <c r="B39" t="s">
        <v>8</v>
      </c>
      <c r="C39" t="s">
        <v>15</v>
      </c>
      <c r="D39" t="s">
        <v>17</v>
      </c>
      <c r="E39" t="s">
        <v>18</v>
      </c>
      <c r="F39">
        <v>1240</v>
      </c>
      <c r="G39">
        <v>3</v>
      </c>
      <c r="H39" s="3">
        <v>45332</v>
      </c>
      <c r="I39" t="s">
        <v>45</v>
      </c>
      <c r="J39" t="str">
        <f t="shared" si="0"/>
        <v>Saturday</v>
      </c>
      <c r="K39" t="str">
        <f t="shared" si="1"/>
        <v>Weekend</v>
      </c>
      <c r="L39" s="7">
        <f>IF(Bangladesh_Appointment_Trends[[#This Row],[Appointment Status]]="No-Show",1,0)</f>
        <v>0</v>
      </c>
      <c r="Q39" s="7"/>
    </row>
    <row r="40" spans="1:17" x14ac:dyDescent="0.3">
      <c r="A40">
        <v>43</v>
      </c>
      <c r="B40" t="s">
        <v>12</v>
      </c>
      <c r="C40" t="s">
        <v>21</v>
      </c>
      <c r="D40" t="s">
        <v>10</v>
      </c>
      <c r="E40" t="s">
        <v>11</v>
      </c>
      <c r="F40">
        <v>1088</v>
      </c>
      <c r="G40">
        <v>9</v>
      </c>
      <c r="H40" s="3">
        <v>45003</v>
      </c>
      <c r="I40" t="s">
        <v>46</v>
      </c>
      <c r="J40" t="str">
        <f t="shared" si="0"/>
        <v>Saturday</v>
      </c>
      <c r="K40" t="str">
        <f t="shared" si="1"/>
        <v>Weekend</v>
      </c>
      <c r="L40" s="7">
        <f>IF(Bangladesh_Appointment_Trends[[#This Row],[Appointment Status]]="No-Show",1,0)</f>
        <v>0</v>
      </c>
      <c r="Q40" s="7"/>
    </row>
    <row r="41" spans="1:17" x14ac:dyDescent="0.3">
      <c r="A41">
        <v>22</v>
      </c>
      <c r="B41" t="s">
        <v>8</v>
      </c>
      <c r="C41" t="s">
        <v>21</v>
      </c>
      <c r="D41" t="s">
        <v>24</v>
      </c>
      <c r="E41" t="s">
        <v>11</v>
      </c>
      <c r="F41">
        <v>948</v>
      </c>
      <c r="G41">
        <v>2</v>
      </c>
      <c r="H41" s="3">
        <v>45215</v>
      </c>
      <c r="I41" t="s">
        <v>47</v>
      </c>
      <c r="J41" t="str">
        <f t="shared" si="0"/>
        <v>Monday</v>
      </c>
      <c r="K41" t="str">
        <f t="shared" si="1"/>
        <v>Weekday</v>
      </c>
      <c r="L41" s="7">
        <f>IF(Bangladesh_Appointment_Trends[[#This Row],[Appointment Status]]="No-Show",1,0)</f>
        <v>0</v>
      </c>
      <c r="Q41" s="7"/>
    </row>
    <row r="42" spans="1:17" x14ac:dyDescent="0.3">
      <c r="A42">
        <v>8</v>
      </c>
      <c r="B42" t="s">
        <v>8</v>
      </c>
      <c r="C42" t="s">
        <v>15</v>
      </c>
      <c r="D42" t="s">
        <v>20</v>
      </c>
      <c r="E42" t="s">
        <v>11</v>
      </c>
      <c r="F42">
        <v>589</v>
      </c>
      <c r="G42">
        <v>2</v>
      </c>
      <c r="H42" s="3">
        <v>44934</v>
      </c>
      <c r="I42" t="s">
        <v>48</v>
      </c>
      <c r="J42" t="str">
        <f t="shared" si="0"/>
        <v>Sunday</v>
      </c>
      <c r="K42" t="str">
        <f t="shared" si="1"/>
        <v>Weekday</v>
      </c>
      <c r="L42" s="7">
        <f>IF(Bangladesh_Appointment_Trends[[#This Row],[Appointment Status]]="No-Show",1,0)</f>
        <v>0</v>
      </c>
      <c r="Q42" s="7"/>
    </row>
    <row r="43" spans="1:17" x14ac:dyDescent="0.3">
      <c r="A43">
        <v>64</v>
      </c>
      <c r="B43" t="s">
        <v>8</v>
      </c>
      <c r="C43" t="s">
        <v>23</v>
      </c>
      <c r="D43" t="s">
        <v>24</v>
      </c>
      <c r="E43" t="s">
        <v>11</v>
      </c>
      <c r="F43">
        <v>1035</v>
      </c>
      <c r="G43">
        <v>13</v>
      </c>
      <c r="H43" s="3">
        <v>45597</v>
      </c>
      <c r="I43" t="s">
        <v>45</v>
      </c>
      <c r="J43" t="str">
        <f t="shared" si="0"/>
        <v>Friday</v>
      </c>
      <c r="K43" t="str">
        <f t="shared" si="1"/>
        <v>Weekend</v>
      </c>
      <c r="L43" s="7">
        <f>IF(Bangladesh_Appointment_Trends[[#This Row],[Appointment Status]]="No-Show",1,0)</f>
        <v>0</v>
      </c>
      <c r="Q43" s="7"/>
    </row>
    <row r="44" spans="1:17" x14ac:dyDescent="0.3">
      <c r="A44">
        <v>18</v>
      </c>
      <c r="B44" t="s">
        <v>8</v>
      </c>
      <c r="C44" t="s">
        <v>15</v>
      </c>
      <c r="D44" t="s">
        <v>16</v>
      </c>
      <c r="E44" t="s">
        <v>11</v>
      </c>
      <c r="F44">
        <v>742</v>
      </c>
      <c r="G44">
        <v>15</v>
      </c>
      <c r="H44" s="3">
        <v>45334</v>
      </c>
      <c r="I44" t="s">
        <v>47</v>
      </c>
      <c r="J44" t="str">
        <f t="shared" si="0"/>
        <v>Monday</v>
      </c>
      <c r="K44" t="str">
        <f t="shared" si="1"/>
        <v>Weekday</v>
      </c>
      <c r="L44" s="7">
        <f>IF(Bangladesh_Appointment_Trends[[#This Row],[Appointment Status]]="No-Show",1,0)</f>
        <v>0</v>
      </c>
      <c r="Q44" s="7"/>
    </row>
    <row r="45" spans="1:17" x14ac:dyDescent="0.3">
      <c r="A45">
        <v>13</v>
      </c>
      <c r="B45" t="s">
        <v>12</v>
      </c>
      <c r="C45" t="s">
        <v>15</v>
      </c>
      <c r="D45" t="s">
        <v>17</v>
      </c>
      <c r="E45" t="s">
        <v>22</v>
      </c>
      <c r="F45">
        <v>1189</v>
      </c>
      <c r="G45">
        <v>12</v>
      </c>
      <c r="H45" s="3">
        <v>45481</v>
      </c>
      <c r="I45" t="s">
        <v>48</v>
      </c>
      <c r="J45" t="str">
        <f t="shared" si="0"/>
        <v>Monday</v>
      </c>
      <c r="K45" t="str">
        <f t="shared" si="1"/>
        <v>Weekday</v>
      </c>
      <c r="L45" s="7">
        <f>IF(Bangladesh_Appointment_Trends[[#This Row],[Appointment Status]]="No-Show",1,0)</f>
        <v>1</v>
      </c>
      <c r="Q45" s="7"/>
    </row>
    <row r="46" spans="1:17" x14ac:dyDescent="0.3">
      <c r="A46">
        <v>57</v>
      </c>
      <c r="B46" t="s">
        <v>8</v>
      </c>
      <c r="C46" t="s">
        <v>15</v>
      </c>
      <c r="D46" t="s">
        <v>24</v>
      </c>
      <c r="E46" t="s">
        <v>22</v>
      </c>
      <c r="F46">
        <v>1194</v>
      </c>
      <c r="G46">
        <v>4</v>
      </c>
      <c r="H46" s="3">
        <v>45589</v>
      </c>
      <c r="I46" t="s">
        <v>45</v>
      </c>
      <c r="J46" t="str">
        <f t="shared" si="0"/>
        <v>Thursday</v>
      </c>
      <c r="K46" t="str">
        <f t="shared" si="1"/>
        <v>Weekday</v>
      </c>
      <c r="L46" s="7">
        <f>IF(Bangladesh_Appointment_Trends[[#This Row],[Appointment Status]]="No-Show",1,0)</f>
        <v>1</v>
      </c>
      <c r="Q46" s="7"/>
    </row>
    <row r="47" spans="1:17" x14ac:dyDescent="0.3">
      <c r="A47">
        <v>6</v>
      </c>
      <c r="B47" t="s">
        <v>8</v>
      </c>
      <c r="C47" t="s">
        <v>15</v>
      </c>
      <c r="D47" t="s">
        <v>14</v>
      </c>
      <c r="E47" t="s">
        <v>22</v>
      </c>
      <c r="F47">
        <v>1644</v>
      </c>
      <c r="G47">
        <v>8</v>
      </c>
      <c r="H47" s="3">
        <v>45338</v>
      </c>
      <c r="I47" t="s">
        <v>48</v>
      </c>
      <c r="J47" t="str">
        <f t="shared" si="0"/>
        <v>Friday</v>
      </c>
      <c r="K47" t="str">
        <f t="shared" si="1"/>
        <v>Weekend</v>
      </c>
      <c r="L47" s="7">
        <f>IF(Bangladesh_Appointment_Trends[[#This Row],[Appointment Status]]="No-Show",1,0)</f>
        <v>1</v>
      </c>
      <c r="Q47" s="7"/>
    </row>
    <row r="48" spans="1:17" x14ac:dyDescent="0.3">
      <c r="A48">
        <v>64</v>
      </c>
      <c r="B48" t="s">
        <v>8</v>
      </c>
      <c r="C48" t="s">
        <v>26</v>
      </c>
      <c r="D48" t="s">
        <v>16</v>
      </c>
      <c r="E48" t="s">
        <v>18</v>
      </c>
      <c r="F48">
        <v>891</v>
      </c>
      <c r="G48">
        <v>9</v>
      </c>
      <c r="H48" s="3">
        <v>45461</v>
      </c>
      <c r="I48" t="s">
        <v>45</v>
      </c>
      <c r="J48" t="str">
        <f t="shared" si="0"/>
        <v>Tuesday</v>
      </c>
      <c r="K48" t="str">
        <f t="shared" si="1"/>
        <v>Weekday</v>
      </c>
      <c r="L48" s="7">
        <f>IF(Bangladesh_Appointment_Trends[[#This Row],[Appointment Status]]="No-Show",1,0)</f>
        <v>0</v>
      </c>
      <c r="Q48" s="7"/>
    </row>
    <row r="49" spans="1:17" x14ac:dyDescent="0.3">
      <c r="A49">
        <v>75</v>
      </c>
      <c r="B49" t="s">
        <v>8</v>
      </c>
      <c r="C49" t="s">
        <v>23</v>
      </c>
      <c r="D49" t="s">
        <v>16</v>
      </c>
      <c r="E49" t="s">
        <v>11</v>
      </c>
      <c r="F49">
        <v>805</v>
      </c>
      <c r="G49">
        <v>5</v>
      </c>
      <c r="H49" s="3">
        <v>44989</v>
      </c>
      <c r="I49" t="s">
        <v>45</v>
      </c>
      <c r="J49" t="str">
        <f t="shared" si="0"/>
        <v>Saturday</v>
      </c>
      <c r="K49" t="str">
        <f t="shared" si="1"/>
        <v>Weekend</v>
      </c>
      <c r="L49" s="7">
        <f>IF(Bangladesh_Appointment_Trends[[#This Row],[Appointment Status]]="No-Show",1,0)</f>
        <v>0</v>
      </c>
      <c r="Q49" s="7"/>
    </row>
    <row r="50" spans="1:17" x14ac:dyDescent="0.3">
      <c r="A50">
        <v>48</v>
      </c>
      <c r="B50" t="s">
        <v>8</v>
      </c>
      <c r="C50" t="s">
        <v>9</v>
      </c>
      <c r="D50" t="s">
        <v>24</v>
      </c>
      <c r="E50" t="s">
        <v>11</v>
      </c>
      <c r="F50">
        <v>1132</v>
      </c>
      <c r="G50">
        <v>20</v>
      </c>
      <c r="H50" s="3">
        <v>45022</v>
      </c>
      <c r="I50" t="s">
        <v>46</v>
      </c>
      <c r="J50" t="str">
        <f t="shared" si="0"/>
        <v>Thursday</v>
      </c>
      <c r="K50" t="str">
        <f t="shared" si="1"/>
        <v>Weekday</v>
      </c>
      <c r="L50" s="7">
        <f>IF(Bangladesh_Appointment_Trends[[#This Row],[Appointment Status]]="No-Show",1,0)</f>
        <v>0</v>
      </c>
      <c r="Q50" s="7"/>
    </row>
    <row r="51" spans="1:17" x14ac:dyDescent="0.3">
      <c r="A51">
        <v>12</v>
      </c>
      <c r="B51" t="s">
        <v>12</v>
      </c>
      <c r="C51" t="s">
        <v>23</v>
      </c>
      <c r="D51" t="s">
        <v>24</v>
      </c>
      <c r="E51" t="s">
        <v>11</v>
      </c>
      <c r="F51">
        <v>1164</v>
      </c>
      <c r="G51">
        <v>18</v>
      </c>
      <c r="H51" s="3">
        <v>45242</v>
      </c>
      <c r="I51" t="s">
        <v>48</v>
      </c>
      <c r="J51" t="str">
        <f t="shared" si="0"/>
        <v>Sunday</v>
      </c>
      <c r="K51" t="str">
        <f t="shared" si="1"/>
        <v>Weekday</v>
      </c>
      <c r="L51" s="7">
        <f>IF(Bangladesh_Appointment_Trends[[#This Row],[Appointment Status]]="No-Show",1,0)</f>
        <v>0</v>
      </c>
      <c r="Q51" s="7"/>
    </row>
    <row r="52" spans="1:17" x14ac:dyDescent="0.3">
      <c r="A52">
        <v>51</v>
      </c>
      <c r="B52" t="s">
        <v>8</v>
      </c>
      <c r="C52" t="s">
        <v>21</v>
      </c>
      <c r="D52" t="s">
        <v>17</v>
      </c>
      <c r="E52" t="s">
        <v>18</v>
      </c>
      <c r="F52">
        <v>1136</v>
      </c>
      <c r="G52">
        <v>11</v>
      </c>
      <c r="H52" s="3">
        <v>45165</v>
      </c>
      <c r="I52" t="s">
        <v>46</v>
      </c>
      <c r="J52" t="str">
        <f t="shared" si="0"/>
        <v>Sunday</v>
      </c>
      <c r="K52" t="str">
        <f t="shared" si="1"/>
        <v>Weekday</v>
      </c>
      <c r="L52" s="7">
        <f>IF(Bangladesh_Appointment_Trends[[#This Row],[Appointment Status]]="No-Show",1,0)</f>
        <v>0</v>
      </c>
      <c r="Q52" s="7"/>
    </row>
    <row r="53" spans="1:17" x14ac:dyDescent="0.3">
      <c r="A53">
        <v>39</v>
      </c>
      <c r="B53" t="s">
        <v>8</v>
      </c>
      <c r="C53" t="s">
        <v>26</v>
      </c>
      <c r="D53" t="s">
        <v>20</v>
      </c>
      <c r="E53" t="s">
        <v>11</v>
      </c>
      <c r="F53">
        <v>440</v>
      </c>
      <c r="G53">
        <v>15</v>
      </c>
      <c r="H53" s="3">
        <v>44994</v>
      </c>
      <c r="I53" t="s">
        <v>46</v>
      </c>
      <c r="J53" t="str">
        <f t="shared" si="0"/>
        <v>Thursday</v>
      </c>
      <c r="K53" t="str">
        <f t="shared" si="1"/>
        <v>Weekday</v>
      </c>
      <c r="L53" s="7">
        <f>IF(Bangladesh_Appointment_Trends[[#This Row],[Appointment Status]]="No-Show",1,0)</f>
        <v>0</v>
      </c>
      <c r="Q53" s="7"/>
    </row>
    <row r="54" spans="1:17" x14ac:dyDescent="0.3">
      <c r="A54">
        <v>40</v>
      </c>
      <c r="B54" t="s">
        <v>8</v>
      </c>
      <c r="C54" t="s">
        <v>15</v>
      </c>
      <c r="D54" t="s">
        <v>24</v>
      </c>
      <c r="E54" t="s">
        <v>11</v>
      </c>
      <c r="F54">
        <v>916</v>
      </c>
      <c r="G54">
        <v>9</v>
      </c>
      <c r="H54" s="3">
        <v>45580</v>
      </c>
      <c r="I54" t="s">
        <v>46</v>
      </c>
      <c r="J54" t="str">
        <f t="shared" si="0"/>
        <v>Tuesday</v>
      </c>
      <c r="K54" t="str">
        <f t="shared" si="1"/>
        <v>Weekday</v>
      </c>
      <c r="L54" s="7">
        <f>IF(Bangladesh_Appointment_Trends[[#This Row],[Appointment Status]]="No-Show",1,0)</f>
        <v>0</v>
      </c>
      <c r="Q54" s="7"/>
    </row>
    <row r="55" spans="1:17" x14ac:dyDescent="0.3">
      <c r="A55">
        <v>54</v>
      </c>
      <c r="B55" t="s">
        <v>8</v>
      </c>
      <c r="C55" t="s">
        <v>9</v>
      </c>
      <c r="D55" t="s">
        <v>24</v>
      </c>
      <c r="E55" t="s">
        <v>11</v>
      </c>
      <c r="F55">
        <v>1176</v>
      </c>
      <c r="G55">
        <v>17</v>
      </c>
      <c r="H55" s="3">
        <v>45459</v>
      </c>
      <c r="I55" t="s">
        <v>46</v>
      </c>
      <c r="J55" t="str">
        <f t="shared" si="0"/>
        <v>Sunday</v>
      </c>
      <c r="K55" t="str">
        <f t="shared" si="1"/>
        <v>Weekday</v>
      </c>
      <c r="L55" s="7">
        <f>IF(Bangladesh_Appointment_Trends[[#This Row],[Appointment Status]]="No-Show",1,0)</f>
        <v>0</v>
      </c>
      <c r="Q55" s="7"/>
    </row>
    <row r="56" spans="1:17" x14ac:dyDescent="0.3">
      <c r="A56">
        <v>8</v>
      </c>
      <c r="B56" t="s">
        <v>12</v>
      </c>
      <c r="C56" t="s">
        <v>15</v>
      </c>
      <c r="D56" t="s">
        <v>10</v>
      </c>
      <c r="E56" t="s">
        <v>11</v>
      </c>
      <c r="F56">
        <v>958</v>
      </c>
      <c r="G56">
        <v>12</v>
      </c>
      <c r="H56" s="3">
        <v>45315</v>
      </c>
      <c r="I56" t="s">
        <v>48</v>
      </c>
      <c r="J56" t="str">
        <f t="shared" si="0"/>
        <v>Wednesday</v>
      </c>
      <c r="K56" t="str">
        <f t="shared" si="1"/>
        <v>Weekday</v>
      </c>
      <c r="L56" s="7">
        <f>IF(Bangladesh_Appointment_Trends[[#This Row],[Appointment Status]]="No-Show",1,0)</f>
        <v>0</v>
      </c>
      <c r="Q56" s="7"/>
    </row>
    <row r="57" spans="1:17" x14ac:dyDescent="0.3">
      <c r="A57">
        <v>6</v>
      </c>
      <c r="B57" t="s">
        <v>12</v>
      </c>
      <c r="C57" t="s">
        <v>15</v>
      </c>
      <c r="D57" t="s">
        <v>14</v>
      </c>
      <c r="E57" t="s">
        <v>22</v>
      </c>
      <c r="F57">
        <v>1582</v>
      </c>
      <c r="G57">
        <v>7</v>
      </c>
      <c r="H57" s="3">
        <v>45485</v>
      </c>
      <c r="I57" t="s">
        <v>48</v>
      </c>
      <c r="J57" t="str">
        <f t="shared" si="0"/>
        <v>Friday</v>
      </c>
      <c r="K57" t="str">
        <f t="shared" si="1"/>
        <v>Weekend</v>
      </c>
      <c r="L57" s="7">
        <f>IF(Bangladesh_Appointment_Trends[[#This Row],[Appointment Status]]="No-Show",1,0)</f>
        <v>1</v>
      </c>
      <c r="Q57" s="7"/>
    </row>
    <row r="58" spans="1:17" x14ac:dyDescent="0.3">
      <c r="A58">
        <v>10</v>
      </c>
      <c r="B58" t="s">
        <v>12</v>
      </c>
      <c r="C58" t="s">
        <v>15</v>
      </c>
      <c r="D58" t="s">
        <v>10</v>
      </c>
      <c r="E58" t="s">
        <v>18</v>
      </c>
      <c r="F58">
        <v>940</v>
      </c>
      <c r="G58">
        <v>10</v>
      </c>
      <c r="H58" s="3">
        <v>45528</v>
      </c>
      <c r="I58" t="s">
        <v>48</v>
      </c>
      <c r="J58" t="str">
        <f t="shared" si="0"/>
        <v>Saturday</v>
      </c>
      <c r="K58" t="str">
        <f t="shared" si="1"/>
        <v>Weekend</v>
      </c>
      <c r="L58" s="7">
        <f>IF(Bangladesh_Appointment_Trends[[#This Row],[Appointment Status]]="No-Show",1,0)</f>
        <v>0</v>
      </c>
      <c r="Q58" s="7"/>
    </row>
    <row r="59" spans="1:17" x14ac:dyDescent="0.3">
      <c r="A59">
        <v>58</v>
      </c>
      <c r="B59" t="s">
        <v>12</v>
      </c>
      <c r="C59" t="s">
        <v>19</v>
      </c>
      <c r="D59" t="s">
        <v>10</v>
      </c>
      <c r="E59" t="s">
        <v>11</v>
      </c>
      <c r="F59">
        <v>938</v>
      </c>
      <c r="G59">
        <v>10</v>
      </c>
      <c r="H59" s="3">
        <v>45619</v>
      </c>
      <c r="I59" t="s">
        <v>45</v>
      </c>
      <c r="J59" t="str">
        <f t="shared" si="0"/>
        <v>Saturday</v>
      </c>
      <c r="K59" t="str">
        <f t="shared" si="1"/>
        <v>Weekend</v>
      </c>
      <c r="L59" s="7">
        <f>IF(Bangladesh_Appointment_Trends[[#This Row],[Appointment Status]]="No-Show",1,0)</f>
        <v>0</v>
      </c>
      <c r="Q59" s="7"/>
    </row>
    <row r="60" spans="1:17" x14ac:dyDescent="0.3">
      <c r="A60">
        <v>8</v>
      </c>
      <c r="B60" t="s">
        <v>8</v>
      </c>
      <c r="C60" t="s">
        <v>9</v>
      </c>
      <c r="D60" t="s">
        <v>16</v>
      </c>
      <c r="E60" t="s">
        <v>22</v>
      </c>
      <c r="F60">
        <v>891</v>
      </c>
      <c r="G60">
        <v>13</v>
      </c>
      <c r="H60" s="3">
        <v>45152</v>
      </c>
      <c r="I60" t="s">
        <v>48</v>
      </c>
      <c r="J60" t="str">
        <f t="shared" si="0"/>
        <v>Monday</v>
      </c>
      <c r="K60" t="str">
        <f t="shared" si="1"/>
        <v>Weekday</v>
      </c>
      <c r="L60" s="7">
        <f>IF(Bangladesh_Appointment_Trends[[#This Row],[Appointment Status]]="No-Show",1,0)</f>
        <v>1</v>
      </c>
      <c r="Q60" s="7"/>
    </row>
    <row r="61" spans="1:17" x14ac:dyDescent="0.3">
      <c r="A61">
        <v>58</v>
      </c>
      <c r="B61" t="s">
        <v>8</v>
      </c>
      <c r="C61" t="s">
        <v>15</v>
      </c>
      <c r="D61" t="s">
        <v>20</v>
      </c>
      <c r="E61" t="s">
        <v>11</v>
      </c>
      <c r="F61">
        <v>666</v>
      </c>
      <c r="G61">
        <v>19</v>
      </c>
      <c r="H61" s="3">
        <v>45364</v>
      </c>
      <c r="I61" t="s">
        <v>45</v>
      </c>
      <c r="J61" t="str">
        <f t="shared" si="0"/>
        <v>Wednesday</v>
      </c>
      <c r="K61" t="str">
        <f t="shared" si="1"/>
        <v>Weekday</v>
      </c>
      <c r="L61" s="7">
        <f>IF(Bangladesh_Appointment_Trends[[#This Row],[Appointment Status]]="No-Show",1,0)</f>
        <v>0</v>
      </c>
      <c r="Q61" s="7"/>
    </row>
    <row r="62" spans="1:17" x14ac:dyDescent="0.3">
      <c r="A62">
        <v>67</v>
      </c>
      <c r="B62" t="s">
        <v>8</v>
      </c>
      <c r="C62" t="s">
        <v>15</v>
      </c>
      <c r="D62" t="s">
        <v>14</v>
      </c>
      <c r="E62" t="s">
        <v>11</v>
      </c>
      <c r="F62">
        <v>1546</v>
      </c>
      <c r="G62">
        <v>11</v>
      </c>
      <c r="H62" s="3">
        <v>45590</v>
      </c>
      <c r="I62" t="s">
        <v>45</v>
      </c>
      <c r="J62" t="str">
        <f t="shared" si="0"/>
        <v>Friday</v>
      </c>
      <c r="K62" t="str">
        <f t="shared" si="1"/>
        <v>Weekend</v>
      </c>
      <c r="L62" s="7">
        <f>IF(Bangladesh_Appointment_Trends[[#This Row],[Appointment Status]]="No-Show",1,0)</f>
        <v>0</v>
      </c>
      <c r="Q62" s="7"/>
    </row>
    <row r="63" spans="1:17" x14ac:dyDescent="0.3">
      <c r="A63">
        <v>22</v>
      </c>
      <c r="B63" t="s">
        <v>12</v>
      </c>
      <c r="C63" t="s">
        <v>9</v>
      </c>
      <c r="D63" t="s">
        <v>17</v>
      </c>
      <c r="E63" t="s">
        <v>11</v>
      </c>
      <c r="F63">
        <v>1226</v>
      </c>
      <c r="G63">
        <v>13</v>
      </c>
      <c r="H63" s="3">
        <v>45293</v>
      </c>
      <c r="I63" t="s">
        <v>47</v>
      </c>
      <c r="J63" t="str">
        <f t="shared" si="0"/>
        <v>Tuesday</v>
      </c>
      <c r="K63" t="str">
        <f t="shared" si="1"/>
        <v>Weekday</v>
      </c>
      <c r="L63" s="7">
        <f>IF(Bangladesh_Appointment_Trends[[#This Row],[Appointment Status]]="No-Show",1,0)</f>
        <v>0</v>
      </c>
      <c r="Q63" s="7"/>
    </row>
    <row r="64" spans="1:17" x14ac:dyDescent="0.3">
      <c r="A64">
        <v>48</v>
      </c>
      <c r="B64" t="s">
        <v>8</v>
      </c>
      <c r="C64" t="s">
        <v>15</v>
      </c>
      <c r="D64" t="s">
        <v>17</v>
      </c>
      <c r="E64" t="s">
        <v>11</v>
      </c>
      <c r="F64">
        <v>1145</v>
      </c>
      <c r="G64">
        <v>8</v>
      </c>
      <c r="H64" s="3">
        <v>45538</v>
      </c>
      <c r="I64" t="s">
        <v>46</v>
      </c>
      <c r="J64" t="str">
        <f t="shared" si="0"/>
        <v>Tuesday</v>
      </c>
      <c r="K64" t="str">
        <f t="shared" si="1"/>
        <v>Weekday</v>
      </c>
      <c r="L64" s="7">
        <f>IF(Bangladesh_Appointment_Trends[[#This Row],[Appointment Status]]="No-Show",1,0)</f>
        <v>0</v>
      </c>
      <c r="Q64" s="7"/>
    </row>
    <row r="65" spans="1:17" x14ac:dyDescent="0.3">
      <c r="A65">
        <v>38</v>
      </c>
      <c r="B65" t="s">
        <v>12</v>
      </c>
      <c r="C65" t="s">
        <v>9</v>
      </c>
      <c r="D65" t="s">
        <v>24</v>
      </c>
      <c r="E65" t="s">
        <v>11</v>
      </c>
      <c r="F65">
        <v>944</v>
      </c>
      <c r="G65">
        <v>8</v>
      </c>
      <c r="H65" s="3">
        <v>45103</v>
      </c>
      <c r="I65" t="s">
        <v>46</v>
      </c>
      <c r="J65" t="str">
        <f t="shared" si="0"/>
        <v>Monday</v>
      </c>
      <c r="K65" t="str">
        <f t="shared" si="1"/>
        <v>Weekday</v>
      </c>
      <c r="L65" s="7">
        <f>IF(Bangladesh_Appointment_Trends[[#This Row],[Appointment Status]]="No-Show",1,0)</f>
        <v>0</v>
      </c>
      <c r="Q65" s="7"/>
    </row>
    <row r="66" spans="1:17" x14ac:dyDescent="0.3">
      <c r="A66">
        <v>78</v>
      </c>
      <c r="B66" t="s">
        <v>12</v>
      </c>
      <c r="C66" t="s">
        <v>15</v>
      </c>
      <c r="D66" t="s">
        <v>24</v>
      </c>
      <c r="E66" t="s">
        <v>22</v>
      </c>
      <c r="F66">
        <v>900</v>
      </c>
      <c r="G66">
        <v>4</v>
      </c>
      <c r="H66" s="3">
        <v>45254</v>
      </c>
      <c r="I66" t="s">
        <v>45</v>
      </c>
      <c r="J66" t="str">
        <f t="shared" ref="J66:J129" si="2">TEXT(H66,"dddd")</f>
        <v>Friday</v>
      </c>
      <c r="K66" t="str">
        <f t="shared" ref="K66:K129" si="3">IF(WEEKDAY(H66,1)&gt;5,"Weekend","Weekday")</f>
        <v>Weekend</v>
      </c>
      <c r="L66" s="7">
        <f>IF(Bangladesh_Appointment_Trends[[#This Row],[Appointment Status]]="No-Show",1,0)</f>
        <v>1</v>
      </c>
      <c r="Q66" s="7"/>
    </row>
    <row r="67" spans="1:17" x14ac:dyDescent="0.3">
      <c r="A67">
        <v>66</v>
      </c>
      <c r="B67" t="s">
        <v>8</v>
      </c>
      <c r="C67" t="s">
        <v>15</v>
      </c>
      <c r="D67" t="s">
        <v>17</v>
      </c>
      <c r="E67" t="s">
        <v>11</v>
      </c>
      <c r="F67">
        <v>1267</v>
      </c>
      <c r="G67">
        <v>15</v>
      </c>
      <c r="H67" s="3">
        <v>45557</v>
      </c>
      <c r="I67" t="s">
        <v>45</v>
      </c>
      <c r="J67" t="str">
        <f t="shared" si="2"/>
        <v>Sunday</v>
      </c>
      <c r="K67" t="str">
        <f t="shared" si="3"/>
        <v>Weekday</v>
      </c>
      <c r="L67" s="7">
        <f>IF(Bangladesh_Appointment_Trends[[#This Row],[Appointment Status]]="No-Show",1,0)</f>
        <v>0</v>
      </c>
      <c r="Q67" s="7"/>
    </row>
    <row r="68" spans="1:17" x14ac:dyDescent="0.3">
      <c r="A68">
        <v>18</v>
      </c>
      <c r="B68" t="s">
        <v>8</v>
      </c>
      <c r="C68" t="s">
        <v>9</v>
      </c>
      <c r="D68" t="s">
        <v>24</v>
      </c>
      <c r="E68" t="s">
        <v>22</v>
      </c>
      <c r="F68">
        <v>1007</v>
      </c>
      <c r="G68">
        <v>11</v>
      </c>
      <c r="H68" s="3">
        <v>45117</v>
      </c>
      <c r="I68" t="s">
        <v>47</v>
      </c>
      <c r="J68" t="str">
        <f t="shared" si="2"/>
        <v>Monday</v>
      </c>
      <c r="K68" t="str">
        <f t="shared" si="3"/>
        <v>Weekday</v>
      </c>
      <c r="L68" s="7">
        <f>IF(Bangladesh_Appointment_Trends[[#This Row],[Appointment Status]]="No-Show",1,0)</f>
        <v>1</v>
      </c>
      <c r="Q68" s="7"/>
    </row>
    <row r="69" spans="1:17" x14ac:dyDescent="0.3">
      <c r="A69">
        <v>52</v>
      </c>
      <c r="B69" t="s">
        <v>12</v>
      </c>
      <c r="C69" t="s">
        <v>19</v>
      </c>
      <c r="D69" t="s">
        <v>20</v>
      </c>
      <c r="E69" t="s">
        <v>11</v>
      </c>
      <c r="F69">
        <v>418</v>
      </c>
      <c r="G69">
        <v>11</v>
      </c>
      <c r="H69" s="3">
        <v>44935</v>
      </c>
      <c r="I69" t="s">
        <v>46</v>
      </c>
      <c r="J69" t="str">
        <f t="shared" si="2"/>
        <v>Monday</v>
      </c>
      <c r="K69" t="str">
        <f t="shared" si="3"/>
        <v>Weekday</v>
      </c>
      <c r="L69" s="7">
        <f>IF(Bangladesh_Appointment_Trends[[#This Row],[Appointment Status]]="No-Show",1,0)</f>
        <v>0</v>
      </c>
      <c r="Q69" s="7"/>
    </row>
    <row r="70" spans="1:17" x14ac:dyDescent="0.3">
      <c r="A70">
        <v>19</v>
      </c>
      <c r="B70" t="s">
        <v>12</v>
      </c>
      <c r="C70" t="s">
        <v>15</v>
      </c>
      <c r="D70" t="s">
        <v>10</v>
      </c>
      <c r="E70" t="s">
        <v>11</v>
      </c>
      <c r="F70">
        <v>971</v>
      </c>
      <c r="G70">
        <v>1</v>
      </c>
      <c r="H70" s="3">
        <v>45652</v>
      </c>
      <c r="I70" t="s">
        <v>47</v>
      </c>
      <c r="J70" t="str">
        <f t="shared" si="2"/>
        <v>Thursday</v>
      </c>
      <c r="K70" t="str">
        <f t="shared" si="3"/>
        <v>Weekday</v>
      </c>
      <c r="L70" s="7">
        <f>IF(Bangladesh_Appointment_Trends[[#This Row],[Appointment Status]]="No-Show",1,0)</f>
        <v>0</v>
      </c>
      <c r="Q70" s="7"/>
    </row>
    <row r="71" spans="1:17" x14ac:dyDescent="0.3">
      <c r="A71">
        <v>76</v>
      </c>
      <c r="B71" t="s">
        <v>12</v>
      </c>
      <c r="C71" t="s">
        <v>15</v>
      </c>
      <c r="D71" t="s">
        <v>24</v>
      </c>
      <c r="E71" t="s">
        <v>11</v>
      </c>
      <c r="F71">
        <v>1008</v>
      </c>
      <c r="G71">
        <v>17</v>
      </c>
      <c r="H71" s="3">
        <v>45646</v>
      </c>
      <c r="I71" t="s">
        <v>45</v>
      </c>
      <c r="J71" t="str">
        <f t="shared" si="2"/>
        <v>Friday</v>
      </c>
      <c r="K71" t="str">
        <f t="shared" si="3"/>
        <v>Weekend</v>
      </c>
      <c r="L71" s="7">
        <f>IF(Bangladesh_Appointment_Trends[[#This Row],[Appointment Status]]="No-Show",1,0)</f>
        <v>0</v>
      </c>
      <c r="Q71" s="7"/>
    </row>
    <row r="72" spans="1:17" x14ac:dyDescent="0.3">
      <c r="A72">
        <v>66</v>
      </c>
      <c r="B72" t="s">
        <v>12</v>
      </c>
      <c r="C72" t="s">
        <v>15</v>
      </c>
      <c r="D72" t="s">
        <v>16</v>
      </c>
      <c r="E72" t="s">
        <v>11</v>
      </c>
      <c r="F72">
        <v>967</v>
      </c>
      <c r="G72">
        <v>15</v>
      </c>
      <c r="H72" s="3">
        <v>45299</v>
      </c>
      <c r="I72" t="s">
        <v>45</v>
      </c>
      <c r="J72" t="str">
        <f t="shared" si="2"/>
        <v>Monday</v>
      </c>
      <c r="K72" t="str">
        <f t="shared" si="3"/>
        <v>Weekday</v>
      </c>
      <c r="L72" s="7">
        <f>IF(Bangladesh_Appointment_Trends[[#This Row],[Appointment Status]]="No-Show",1,0)</f>
        <v>0</v>
      </c>
      <c r="Q72" s="7"/>
    </row>
    <row r="73" spans="1:17" x14ac:dyDescent="0.3">
      <c r="A73">
        <v>44</v>
      </c>
      <c r="B73" t="s">
        <v>8</v>
      </c>
      <c r="C73" t="s">
        <v>21</v>
      </c>
      <c r="D73" t="s">
        <v>24</v>
      </c>
      <c r="E73" t="s">
        <v>11</v>
      </c>
      <c r="F73">
        <v>1139</v>
      </c>
      <c r="G73">
        <v>20</v>
      </c>
      <c r="H73" s="3">
        <v>45453</v>
      </c>
      <c r="I73" t="s">
        <v>46</v>
      </c>
      <c r="J73" t="str">
        <f t="shared" si="2"/>
        <v>Monday</v>
      </c>
      <c r="K73" t="str">
        <f t="shared" si="3"/>
        <v>Weekday</v>
      </c>
      <c r="L73" s="7">
        <f>IF(Bangladesh_Appointment_Trends[[#This Row],[Appointment Status]]="No-Show",1,0)</f>
        <v>0</v>
      </c>
      <c r="Q73" s="7"/>
    </row>
    <row r="74" spans="1:17" x14ac:dyDescent="0.3">
      <c r="A74">
        <v>57</v>
      </c>
      <c r="B74" t="s">
        <v>12</v>
      </c>
      <c r="C74" t="s">
        <v>9</v>
      </c>
      <c r="D74" t="s">
        <v>14</v>
      </c>
      <c r="E74" t="s">
        <v>22</v>
      </c>
      <c r="F74">
        <v>1489</v>
      </c>
      <c r="G74">
        <v>6</v>
      </c>
      <c r="H74" s="3">
        <v>45431</v>
      </c>
      <c r="I74" t="s">
        <v>45</v>
      </c>
      <c r="J74" t="str">
        <f t="shared" si="2"/>
        <v>Sunday</v>
      </c>
      <c r="K74" t="str">
        <f t="shared" si="3"/>
        <v>Weekday</v>
      </c>
      <c r="L74" s="7">
        <f>IF(Bangladesh_Appointment_Trends[[#This Row],[Appointment Status]]="No-Show",1,0)</f>
        <v>1</v>
      </c>
      <c r="Q74" s="7"/>
    </row>
    <row r="75" spans="1:17" x14ac:dyDescent="0.3">
      <c r="A75">
        <v>28</v>
      </c>
      <c r="B75" t="s">
        <v>8</v>
      </c>
      <c r="C75" t="s">
        <v>19</v>
      </c>
      <c r="D75" t="s">
        <v>20</v>
      </c>
      <c r="E75" t="s">
        <v>11</v>
      </c>
      <c r="F75">
        <v>502</v>
      </c>
      <c r="G75">
        <v>15</v>
      </c>
      <c r="H75" s="3">
        <v>45172</v>
      </c>
      <c r="I75" t="s">
        <v>47</v>
      </c>
      <c r="J75" t="str">
        <f t="shared" si="2"/>
        <v>Sunday</v>
      </c>
      <c r="K75" t="str">
        <f t="shared" si="3"/>
        <v>Weekday</v>
      </c>
      <c r="L75" s="7">
        <f>IF(Bangladesh_Appointment_Trends[[#This Row],[Appointment Status]]="No-Show",1,0)</f>
        <v>0</v>
      </c>
      <c r="Q75" s="7"/>
    </row>
    <row r="76" spans="1:17" x14ac:dyDescent="0.3">
      <c r="A76">
        <v>30</v>
      </c>
      <c r="B76" t="s">
        <v>12</v>
      </c>
      <c r="C76" t="s">
        <v>21</v>
      </c>
      <c r="D76" t="s">
        <v>14</v>
      </c>
      <c r="E76" t="s">
        <v>11</v>
      </c>
      <c r="F76">
        <v>1649</v>
      </c>
      <c r="G76">
        <v>9</v>
      </c>
      <c r="H76" s="3">
        <v>45346</v>
      </c>
      <c r="I76" t="s">
        <v>47</v>
      </c>
      <c r="J76" t="str">
        <f t="shared" si="2"/>
        <v>Saturday</v>
      </c>
      <c r="K76" t="str">
        <f t="shared" si="3"/>
        <v>Weekend</v>
      </c>
      <c r="L76" s="7">
        <f>IF(Bangladesh_Appointment_Trends[[#This Row],[Appointment Status]]="No-Show",1,0)</f>
        <v>0</v>
      </c>
      <c r="Q76" s="7"/>
    </row>
    <row r="77" spans="1:17" x14ac:dyDescent="0.3">
      <c r="A77">
        <v>64</v>
      </c>
      <c r="B77" t="s">
        <v>12</v>
      </c>
      <c r="C77" t="s">
        <v>15</v>
      </c>
      <c r="D77" t="s">
        <v>14</v>
      </c>
      <c r="E77" t="s">
        <v>11</v>
      </c>
      <c r="F77">
        <v>1407</v>
      </c>
      <c r="G77">
        <v>14</v>
      </c>
      <c r="H77" s="3">
        <v>45509</v>
      </c>
      <c r="I77" t="s">
        <v>45</v>
      </c>
      <c r="J77" t="str">
        <f t="shared" si="2"/>
        <v>Monday</v>
      </c>
      <c r="K77" t="str">
        <f t="shared" si="3"/>
        <v>Weekday</v>
      </c>
      <c r="L77" s="7">
        <f>IF(Bangladesh_Appointment_Trends[[#This Row],[Appointment Status]]="No-Show",1,0)</f>
        <v>0</v>
      </c>
      <c r="Q77" s="7"/>
    </row>
    <row r="78" spans="1:17" x14ac:dyDescent="0.3">
      <c r="A78">
        <v>45</v>
      </c>
      <c r="B78" t="s">
        <v>12</v>
      </c>
      <c r="C78" t="s">
        <v>13</v>
      </c>
      <c r="D78" t="s">
        <v>16</v>
      </c>
      <c r="E78" t="s">
        <v>11</v>
      </c>
      <c r="F78">
        <v>852</v>
      </c>
      <c r="G78">
        <v>18</v>
      </c>
      <c r="H78" s="3">
        <v>45599</v>
      </c>
      <c r="I78" t="s">
        <v>46</v>
      </c>
      <c r="J78" t="str">
        <f t="shared" si="2"/>
        <v>Sunday</v>
      </c>
      <c r="K78" t="str">
        <f t="shared" si="3"/>
        <v>Weekday</v>
      </c>
      <c r="L78" s="7">
        <f>IF(Bangladesh_Appointment_Trends[[#This Row],[Appointment Status]]="No-Show",1,0)</f>
        <v>0</v>
      </c>
      <c r="Q78" s="7"/>
    </row>
    <row r="79" spans="1:17" x14ac:dyDescent="0.3">
      <c r="A79">
        <v>33</v>
      </c>
      <c r="B79" t="s">
        <v>12</v>
      </c>
      <c r="C79" t="s">
        <v>19</v>
      </c>
      <c r="D79" t="s">
        <v>20</v>
      </c>
      <c r="E79" t="s">
        <v>11</v>
      </c>
      <c r="F79">
        <v>573</v>
      </c>
      <c r="G79">
        <v>17</v>
      </c>
      <c r="H79" s="3">
        <v>45072</v>
      </c>
      <c r="I79" t="s">
        <v>47</v>
      </c>
      <c r="J79" t="str">
        <f t="shared" si="2"/>
        <v>Friday</v>
      </c>
      <c r="K79" t="str">
        <f t="shared" si="3"/>
        <v>Weekend</v>
      </c>
      <c r="L79" s="7">
        <f>IF(Bangladesh_Appointment_Trends[[#This Row],[Appointment Status]]="No-Show",1,0)</f>
        <v>0</v>
      </c>
      <c r="Q79" s="7"/>
    </row>
    <row r="80" spans="1:17" x14ac:dyDescent="0.3">
      <c r="A80">
        <v>19</v>
      </c>
      <c r="B80" t="s">
        <v>12</v>
      </c>
      <c r="C80" t="s">
        <v>15</v>
      </c>
      <c r="D80" t="s">
        <v>20</v>
      </c>
      <c r="E80" t="s">
        <v>11</v>
      </c>
      <c r="F80">
        <v>557</v>
      </c>
      <c r="G80">
        <v>18</v>
      </c>
      <c r="H80" s="3">
        <v>45349</v>
      </c>
      <c r="I80" t="s">
        <v>47</v>
      </c>
      <c r="J80" t="str">
        <f t="shared" si="2"/>
        <v>Tuesday</v>
      </c>
      <c r="K80" t="str">
        <f t="shared" si="3"/>
        <v>Weekday</v>
      </c>
      <c r="L80" s="7">
        <f>IF(Bangladesh_Appointment_Trends[[#This Row],[Appointment Status]]="No-Show",1,0)</f>
        <v>0</v>
      </c>
      <c r="Q80" s="7"/>
    </row>
    <row r="81" spans="1:17" x14ac:dyDescent="0.3">
      <c r="A81">
        <v>49</v>
      </c>
      <c r="B81" t="s">
        <v>12</v>
      </c>
      <c r="C81" t="s">
        <v>9</v>
      </c>
      <c r="D81" t="s">
        <v>20</v>
      </c>
      <c r="E81" t="s">
        <v>11</v>
      </c>
      <c r="F81">
        <v>614</v>
      </c>
      <c r="G81">
        <v>5</v>
      </c>
      <c r="H81" s="3">
        <v>45581</v>
      </c>
      <c r="I81" t="s">
        <v>46</v>
      </c>
      <c r="J81" t="str">
        <f t="shared" si="2"/>
        <v>Wednesday</v>
      </c>
      <c r="K81" t="str">
        <f t="shared" si="3"/>
        <v>Weekday</v>
      </c>
      <c r="L81" s="7">
        <f>IF(Bangladesh_Appointment_Trends[[#This Row],[Appointment Status]]="No-Show",1,0)</f>
        <v>0</v>
      </c>
      <c r="Q81" s="7"/>
    </row>
    <row r="82" spans="1:17" x14ac:dyDescent="0.3">
      <c r="A82">
        <v>69</v>
      </c>
      <c r="B82" t="s">
        <v>8</v>
      </c>
      <c r="C82" t="s">
        <v>25</v>
      </c>
      <c r="D82" t="s">
        <v>20</v>
      </c>
      <c r="E82" t="s">
        <v>11</v>
      </c>
      <c r="F82">
        <v>576</v>
      </c>
      <c r="G82">
        <v>20</v>
      </c>
      <c r="H82" s="3">
        <v>45613</v>
      </c>
      <c r="I82" t="s">
        <v>45</v>
      </c>
      <c r="J82" t="str">
        <f t="shared" si="2"/>
        <v>Sunday</v>
      </c>
      <c r="K82" t="str">
        <f t="shared" si="3"/>
        <v>Weekday</v>
      </c>
      <c r="L82" s="7">
        <f>IF(Bangladesh_Appointment_Trends[[#This Row],[Appointment Status]]="No-Show",1,0)</f>
        <v>0</v>
      </c>
      <c r="Q82" s="7"/>
    </row>
    <row r="83" spans="1:17" x14ac:dyDescent="0.3">
      <c r="A83">
        <v>75</v>
      </c>
      <c r="B83" t="s">
        <v>12</v>
      </c>
      <c r="C83" t="s">
        <v>9</v>
      </c>
      <c r="D83" t="s">
        <v>20</v>
      </c>
      <c r="E83" t="s">
        <v>11</v>
      </c>
      <c r="F83">
        <v>574</v>
      </c>
      <c r="G83">
        <v>20</v>
      </c>
      <c r="H83" s="3">
        <v>45245</v>
      </c>
      <c r="I83" t="s">
        <v>45</v>
      </c>
      <c r="J83" t="str">
        <f t="shared" si="2"/>
        <v>Wednesday</v>
      </c>
      <c r="K83" t="str">
        <f t="shared" si="3"/>
        <v>Weekday</v>
      </c>
      <c r="L83" s="7">
        <f>IF(Bangladesh_Appointment_Trends[[#This Row],[Appointment Status]]="No-Show",1,0)</f>
        <v>0</v>
      </c>
      <c r="Q83" s="7"/>
    </row>
    <row r="84" spans="1:17" x14ac:dyDescent="0.3">
      <c r="A84">
        <v>13</v>
      </c>
      <c r="B84" t="s">
        <v>8</v>
      </c>
      <c r="C84" t="s">
        <v>26</v>
      </c>
      <c r="D84" t="s">
        <v>16</v>
      </c>
      <c r="E84" t="s">
        <v>11</v>
      </c>
      <c r="F84">
        <v>845</v>
      </c>
      <c r="G84">
        <v>9</v>
      </c>
      <c r="H84" s="3">
        <v>45629</v>
      </c>
      <c r="I84" t="s">
        <v>48</v>
      </c>
      <c r="J84" t="str">
        <f t="shared" si="2"/>
        <v>Tuesday</v>
      </c>
      <c r="K84" t="str">
        <f t="shared" si="3"/>
        <v>Weekday</v>
      </c>
      <c r="L84" s="7">
        <f>IF(Bangladesh_Appointment_Trends[[#This Row],[Appointment Status]]="No-Show",1,0)</f>
        <v>0</v>
      </c>
      <c r="Q84" s="7"/>
    </row>
    <row r="85" spans="1:17" x14ac:dyDescent="0.3">
      <c r="A85">
        <v>5</v>
      </c>
      <c r="B85" t="s">
        <v>12</v>
      </c>
      <c r="C85" t="s">
        <v>9</v>
      </c>
      <c r="D85" t="s">
        <v>24</v>
      </c>
      <c r="E85" t="s">
        <v>11</v>
      </c>
      <c r="F85">
        <v>1060</v>
      </c>
      <c r="G85">
        <v>11</v>
      </c>
      <c r="H85" s="3">
        <v>45455</v>
      </c>
      <c r="I85" t="s">
        <v>48</v>
      </c>
      <c r="J85" t="str">
        <f t="shared" si="2"/>
        <v>Wednesday</v>
      </c>
      <c r="K85" t="str">
        <f t="shared" si="3"/>
        <v>Weekday</v>
      </c>
      <c r="L85" s="7">
        <f>IF(Bangladesh_Appointment_Trends[[#This Row],[Appointment Status]]="No-Show",1,0)</f>
        <v>0</v>
      </c>
      <c r="Q85" s="7"/>
    </row>
    <row r="86" spans="1:17" x14ac:dyDescent="0.3">
      <c r="A86">
        <v>12</v>
      </c>
      <c r="B86" t="s">
        <v>8</v>
      </c>
      <c r="C86" t="s">
        <v>23</v>
      </c>
      <c r="D86" t="s">
        <v>14</v>
      </c>
      <c r="E86" t="s">
        <v>11</v>
      </c>
      <c r="F86">
        <v>1526</v>
      </c>
      <c r="G86">
        <v>1</v>
      </c>
      <c r="H86" s="3">
        <v>45574</v>
      </c>
      <c r="I86" t="s">
        <v>48</v>
      </c>
      <c r="J86" t="str">
        <f t="shared" si="2"/>
        <v>Wednesday</v>
      </c>
      <c r="K86" t="str">
        <f t="shared" si="3"/>
        <v>Weekday</v>
      </c>
      <c r="L86" s="7">
        <f>IF(Bangladesh_Appointment_Trends[[#This Row],[Appointment Status]]="No-Show",1,0)</f>
        <v>0</v>
      </c>
      <c r="Q86" s="7"/>
    </row>
    <row r="87" spans="1:17" x14ac:dyDescent="0.3">
      <c r="A87">
        <v>67</v>
      </c>
      <c r="B87" t="s">
        <v>8</v>
      </c>
      <c r="C87" t="s">
        <v>9</v>
      </c>
      <c r="D87" t="s">
        <v>20</v>
      </c>
      <c r="E87" t="s">
        <v>22</v>
      </c>
      <c r="F87">
        <v>481</v>
      </c>
      <c r="G87">
        <v>18</v>
      </c>
      <c r="H87" s="3">
        <v>45159</v>
      </c>
      <c r="I87" t="s">
        <v>45</v>
      </c>
      <c r="J87" t="str">
        <f t="shared" si="2"/>
        <v>Monday</v>
      </c>
      <c r="K87" t="str">
        <f t="shared" si="3"/>
        <v>Weekday</v>
      </c>
      <c r="L87" s="7">
        <f>IF(Bangladesh_Appointment_Trends[[#This Row],[Appointment Status]]="No-Show",1,0)</f>
        <v>1</v>
      </c>
      <c r="Q87" s="7"/>
    </row>
    <row r="88" spans="1:17" x14ac:dyDescent="0.3">
      <c r="A88">
        <v>15</v>
      </c>
      <c r="B88" t="s">
        <v>8</v>
      </c>
      <c r="C88" t="s">
        <v>25</v>
      </c>
      <c r="D88" t="s">
        <v>24</v>
      </c>
      <c r="E88" t="s">
        <v>11</v>
      </c>
      <c r="F88">
        <v>1046</v>
      </c>
      <c r="G88">
        <v>6</v>
      </c>
      <c r="H88" s="3">
        <v>45394</v>
      </c>
      <c r="I88" t="s">
        <v>48</v>
      </c>
      <c r="J88" t="str">
        <f t="shared" si="2"/>
        <v>Friday</v>
      </c>
      <c r="K88" t="str">
        <f t="shared" si="3"/>
        <v>Weekend</v>
      </c>
      <c r="L88" s="7">
        <f>IF(Bangladesh_Appointment_Trends[[#This Row],[Appointment Status]]="No-Show",1,0)</f>
        <v>0</v>
      </c>
      <c r="Q88" s="7"/>
    </row>
    <row r="89" spans="1:17" x14ac:dyDescent="0.3">
      <c r="A89">
        <v>12</v>
      </c>
      <c r="B89" t="s">
        <v>8</v>
      </c>
      <c r="C89" t="s">
        <v>19</v>
      </c>
      <c r="D89" t="s">
        <v>24</v>
      </c>
      <c r="E89" t="s">
        <v>11</v>
      </c>
      <c r="F89">
        <v>1138</v>
      </c>
      <c r="G89">
        <v>2</v>
      </c>
      <c r="H89" s="3">
        <v>45348</v>
      </c>
      <c r="I89" t="s">
        <v>48</v>
      </c>
      <c r="J89" t="str">
        <f t="shared" si="2"/>
        <v>Monday</v>
      </c>
      <c r="K89" t="str">
        <f t="shared" si="3"/>
        <v>Weekday</v>
      </c>
      <c r="L89" s="7">
        <f>IF(Bangladesh_Appointment_Trends[[#This Row],[Appointment Status]]="No-Show",1,0)</f>
        <v>0</v>
      </c>
      <c r="Q89" s="7"/>
    </row>
    <row r="90" spans="1:17" x14ac:dyDescent="0.3">
      <c r="A90">
        <v>39</v>
      </c>
      <c r="B90" t="s">
        <v>12</v>
      </c>
      <c r="C90" t="s">
        <v>15</v>
      </c>
      <c r="D90" t="s">
        <v>14</v>
      </c>
      <c r="E90" t="s">
        <v>11</v>
      </c>
      <c r="F90">
        <v>1483</v>
      </c>
      <c r="G90">
        <v>15</v>
      </c>
      <c r="H90" s="3">
        <v>45641</v>
      </c>
      <c r="I90" t="s">
        <v>46</v>
      </c>
      <c r="J90" t="str">
        <f t="shared" si="2"/>
        <v>Sunday</v>
      </c>
      <c r="K90" t="str">
        <f t="shared" si="3"/>
        <v>Weekday</v>
      </c>
      <c r="L90" s="7">
        <f>IF(Bangladesh_Appointment_Trends[[#This Row],[Appointment Status]]="No-Show",1,0)</f>
        <v>0</v>
      </c>
      <c r="Q90" s="7"/>
    </row>
    <row r="91" spans="1:17" x14ac:dyDescent="0.3">
      <c r="A91">
        <v>39</v>
      </c>
      <c r="B91" t="s">
        <v>8</v>
      </c>
      <c r="C91" t="s">
        <v>15</v>
      </c>
      <c r="D91" t="s">
        <v>16</v>
      </c>
      <c r="E91" t="s">
        <v>22</v>
      </c>
      <c r="F91">
        <v>812</v>
      </c>
      <c r="G91">
        <v>14</v>
      </c>
      <c r="H91" s="3">
        <v>45232</v>
      </c>
      <c r="I91" t="s">
        <v>46</v>
      </c>
      <c r="J91" t="str">
        <f t="shared" si="2"/>
        <v>Thursday</v>
      </c>
      <c r="K91" t="str">
        <f t="shared" si="3"/>
        <v>Weekday</v>
      </c>
      <c r="L91" s="7">
        <f>IF(Bangladesh_Appointment_Trends[[#This Row],[Appointment Status]]="No-Show",1,0)</f>
        <v>1</v>
      </c>
      <c r="Q91" s="7"/>
    </row>
    <row r="92" spans="1:17" x14ac:dyDescent="0.3">
      <c r="A92">
        <v>37</v>
      </c>
      <c r="B92" t="s">
        <v>12</v>
      </c>
      <c r="C92" t="s">
        <v>15</v>
      </c>
      <c r="D92" t="s">
        <v>17</v>
      </c>
      <c r="E92" t="s">
        <v>11</v>
      </c>
      <c r="F92">
        <v>1324</v>
      </c>
      <c r="G92">
        <v>5</v>
      </c>
      <c r="H92" s="3">
        <v>45435</v>
      </c>
      <c r="I92" t="s">
        <v>46</v>
      </c>
      <c r="J92" t="str">
        <f t="shared" si="2"/>
        <v>Thursday</v>
      </c>
      <c r="K92" t="str">
        <f t="shared" si="3"/>
        <v>Weekday</v>
      </c>
      <c r="L92" s="7">
        <f>IF(Bangladesh_Appointment_Trends[[#This Row],[Appointment Status]]="No-Show",1,0)</f>
        <v>0</v>
      </c>
      <c r="Q92" s="7"/>
    </row>
    <row r="93" spans="1:17" x14ac:dyDescent="0.3">
      <c r="A93">
        <v>9</v>
      </c>
      <c r="B93" t="s">
        <v>8</v>
      </c>
      <c r="C93" t="s">
        <v>15</v>
      </c>
      <c r="D93" t="s">
        <v>17</v>
      </c>
      <c r="E93" t="s">
        <v>11</v>
      </c>
      <c r="F93">
        <v>1342</v>
      </c>
      <c r="G93">
        <v>6</v>
      </c>
      <c r="H93" s="3">
        <v>45644</v>
      </c>
      <c r="I93" t="s">
        <v>48</v>
      </c>
      <c r="J93" t="str">
        <f t="shared" si="2"/>
        <v>Wednesday</v>
      </c>
      <c r="K93" t="str">
        <f t="shared" si="3"/>
        <v>Weekday</v>
      </c>
      <c r="L93" s="7">
        <f>IF(Bangladesh_Appointment_Trends[[#This Row],[Appointment Status]]="No-Show",1,0)</f>
        <v>0</v>
      </c>
      <c r="Q93" s="7"/>
    </row>
    <row r="94" spans="1:17" x14ac:dyDescent="0.3">
      <c r="A94">
        <v>45</v>
      </c>
      <c r="B94" t="s">
        <v>12</v>
      </c>
      <c r="C94" t="s">
        <v>15</v>
      </c>
      <c r="D94" t="s">
        <v>24</v>
      </c>
      <c r="E94" t="s">
        <v>18</v>
      </c>
      <c r="F94">
        <v>1042</v>
      </c>
      <c r="G94">
        <v>6</v>
      </c>
      <c r="H94" s="3">
        <v>45342</v>
      </c>
      <c r="I94" t="s">
        <v>46</v>
      </c>
      <c r="J94" t="str">
        <f t="shared" si="2"/>
        <v>Tuesday</v>
      </c>
      <c r="K94" t="str">
        <f t="shared" si="3"/>
        <v>Weekday</v>
      </c>
      <c r="L94" s="7">
        <f>IF(Bangladesh_Appointment_Trends[[#This Row],[Appointment Status]]="No-Show",1,0)</f>
        <v>0</v>
      </c>
      <c r="Q94" s="7"/>
    </row>
    <row r="95" spans="1:17" x14ac:dyDescent="0.3">
      <c r="A95">
        <v>32</v>
      </c>
      <c r="B95" t="s">
        <v>12</v>
      </c>
      <c r="C95" t="s">
        <v>23</v>
      </c>
      <c r="D95" t="s">
        <v>10</v>
      </c>
      <c r="E95" t="s">
        <v>11</v>
      </c>
      <c r="F95">
        <v>940</v>
      </c>
      <c r="G95">
        <v>18</v>
      </c>
      <c r="H95" s="3">
        <v>44969</v>
      </c>
      <c r="I95" t="s">
        <v>47</v>
      </c>
      <c r="J95" t="str">
        <f t="shared" si="2"/>
        <v>Sunday</v>
      </c>
      <c r="K95" t="str">
        <f t="shared" si="3"/>
        <v>Weekday</v>
      </c>
      <c r="L95" s="7">
        <f>IF(Bangladesh_Appointment_Trends[[#This Row],[Appointment Status]]="No-Show",1,0)</f>
        <v>0</v>
      </c>
      <c r="Q95" s="7"/>
    </row>
    <row r="96" spans="1:17" x14ac:dyDescent="0.3">
      <c r="A96">
        <v>11</v>
      </c>
      <c r="B96" t="s">
        <v>8</v>
      </c>
      <c r="C96" t="s">
        <v>9</v>
      </c>
      <c r="D96" t="s">
        <v>10</v>
      </c>
      <c r="E96" t="s">
        <v>11</v>
      </c>
      <c r="F96">
        <v>1157</v>
      </c>
      <c r="G96">
        <v>14</v>
      </c>
      <c r="H96" s="3">
        <v>45100</v>
      </c>
      <c r="I96" t="s">
        <v>48</v>
      </c>
      <c r="J96" t="str">
        <f t="shared" si="2"/>
        <v>Friday</v>
      </c>
      <c r="K96" t="str">
        <f t="shared" si="3"/>
        <v>Weekend</v>
      </c>
      <c r="L96" s="7">
        <f>IF(Bangladesh_Appointment_Trends[[#This Row],[Appointment Status]]="No-Show",1,0)</f>
        <v>0</v>
      </c>
      <c r="Q96" s="7"/>
    </row>
    <row r="97" spans="1:17" x14ac:dyDescent="0.3">
      <c r="A97">
        <v>77</v>
      </c>
      <c r="B97" t="s">
        <v>8</v>
      </c>
      <c r="C97" t="s">
        <v>23</v>
      </c>
      <c r="D97" t="s">
        <v>14</v>
      </c>
      <c r="E97" t="s">
        <v>11</v>
      </c>
      <c r="F97">
        <v>1684</v>
      </c>
      <c r="G97">
        <v>10</v>
      </c>
      <c r="H97" s="3">
        <v>45600</v>
      </c>
      <c r="I97" t="s">
        <v>45</v>
      </c>
      <c r="J97" t="str">
        <f t="shared" si="2"/>
        <v>Monday</v>
      </c>
      <c r="K97" t="str">
        <f t="shared" si="3"/>
        <v>Weekday</v>
      </c>
      <c r="L97" s="7">
        <f>IF(Bangladesh_Appointment_Trends[[#This Row],[Appointment Status]]="No-Show",1,0)</f>
        <v>0</v>
      </c>
      <c r="Q97" s="7"/>
    </row>
    <row r="98" spans="1:17" x14ac:dyDescent="0.3">
      <c r="A98">
        <v>76</v>
      </c>
      <c r="B98" t="s">
        <v>8</v>
      </c>
      <c r="C98" t="s">
        <v>21</v>
      </c>
      <c r="D98" t="s">
        <v>17</v>
      </c>
      <c r="E98" t="s">
        <v>11</v>
      </c>
      <c r="F98">
        <v>1204</v>
      </c>
      <c r="G98">
        <v>14</v>
      </c>
      <c r="H98" s="3">
        <v>45222</v>
      </c>
      <c r="I98" t="s">
        <v>45</v>
      </c>
      <c r="J98" t="str">
        <f t="shared" si="2"/>
        <v>Monday</v>
      </c>
      <c r="K98" t="str">
        <f t="shared" si="3"/>
        <v>Weekday</v>
      </c>
      <c r="L98" s="7">
        <f>IF(Bangladesh_Appointment_Trends[[#This Row],[Appointment Status]]="No-Show",1,0)</f>
        <v>0</v>
      </c>
      <c r="Q98" s="7"/>
    </row>
    <row r="99" spans="1:17" x14ac:dyDescent="0.3">
      <c r="A99">
        <v>16</v>
      </c>
      <c r="B99" t="s">
        <v>8</v>
      </c>
      <c r="C99" t="s">
        <v>19</v>
      </c>
      <c r="D99" t="s">
        <v>24</v>
      </c>
      <c r="E99" t="s">
        <v>22</v>
      </c>
      <c r="F99">
        <v>1101</v>
      </c>
      <c r="G99">
        <v>13</v>
      </c>
      <c r="H99" s="3">
        <v>45185</v>
      </c>
      <c r="I99" t="s">
        <v>48</v>
      </c>
      <c r="J99" t="str">
        <f t="shared" si="2"/>
        <v>Saturday</v>
      </c>
      <c r="K99" t="str">
        <f t="shared" si="3"/>
        <v>Weekend</v>
      </c>
      <c r="L99" s="7">
        <f>IF(Bangladesh_Appointment_Trends[[#This Row],[Appointment Status]]="No-Show",1,0)</f>
        <v>1</v>
      </c>
      <c r="Q99" s="7"/>
    </row>
    <row r="100" spans="1:17" x14ac:dyDescent="0.3">
      <c r="A100">
        <v>38</v>
      </c>
      <c r="B100" t="s">
        <v>8</v>
      </c>
      <c r="C100" t="s">
        <v>23</v>
      </c>
      <c r="D100" t="s">
        <v>16</v>
      </c>
      <c r="E100" t="s">
        <v>18</v>
      </c>
      <c r="F100">
        <v>965</v>
      </c>
      <c r="G100">
        <v>3</v>
      </c>
      <c r="H100" s="3">
        <v>45039</v>
      </c>
      <c r="I100" t="s">
        <v>46</v>
      </c>
      <c r="J100" t="str">
        <f t="shared" si="2"/>
        <v>Sunday</v>
      </c>
      <c r="K100" t="str">
        <f t="shared" si="3"/>
        <v>Weekday</v>
      </c>
      <c r="L100" s="7">
        <f>IF(Bangladesh_Appointment_Trends[[#This Row],[Appointment Status]]="No-Show",1,0)</f>
        <v>0</v>
      </c>
      <c r="Q100" s="7"/>
    </row>
    <row r="101" spans="1:17" x14ac:dyDescent="0.3">
      <c r="A101">
        <v>37</v>
      </c>
      <c r="B101" t="s">
        <v>12</v>
      </c>
      <c r="C101" t="s">
        <v>23</v>
      </c>
      <c r="D101" t="s">
        <v>17</v>
      </c>
      <c r="E101" t="s">
        <v>11</v>
      </c>
      <c r="F101">
        <v>1309</v>
      </c>
      <c r="G101">
        <v>6</v>
      </c>
      <c r="H101" s="3">
        <v>45459</v>
      </c>
      <c r="I101" t="s">
        <v>46</v>
      </c>
      <c r="J101" t="str">
        <f t="shared" si="2"/>
        <v>Sunday</v>
      </c>
      <c r="K101" t="str">
        <f t="shared" si="3"/>
        <v>Weekday</v>
      </c>
      <c r="L101" s="7">
        <f>IF(Bangladesh_Appointment_Trends[[#This Row],[Appointment Status]]="No-Show",1,0)</f>
        <v>0</v>
      </c>
      <c r="Q101" s="7"/>
    </row>
    <row r="102" spans="1:17" x14ac:dyDescent="0.3">
      <c r="A102">
        <v>52</v>
      </c>
      <c r="B102" t="s">
        <v>12</v>
      </c>
      <c r="C102" t="s">
        <v>9</v>
      </c>
      <c r="D102" t="s">
        <v>24</v>
      </c>
      <c r="E102" t="s">
        <v>11</v>
      </c>
      <c r="F102">
        <v>950</v>
      </c>
      <c r="G102">
        <v>8</v>
      </c>
      <c r="H102" s="3">
        <v>45474</v>
      </c>
      <c r="I102" t="s">
        <v>46</v>
      </c>
      <c r="J102" t="str">
        <f t="shared" si="2"/>
        <v>Monday</v>
      </c>
      <c r="K102" t="str">
        <f t="shared" si="3"/>
        <v>Weekday</v>
      </c>
      <c r="L102" s="7">
        <f>IF(Bangladesh_Appointment_Trends[[#This Row],[Appointment Status]]="No-Show",1,0)</f>
        <v>0</v>
      </c>
      <c r="Q102" s="7"/>
    </row>
    <row r="103" spans="1:17" x14ac:dyDescent="0.3">
      <c r="A103">
        <v>27</v>
      </c>
      <c r="B103" t="s">
        <v>12</v>
      </c>
      <c r="C103" t="s">
        <v>15</v>
      </c>
      <c r="D103" t="s">
        <v>24</v>
      </c>
      <c r="E103" t="s">
        <v>11</v>
      </c>
      <c r="F103">
        <v>1017</v>
      </c>
      <c r="G103">
        <v>12</v>
      </c>
      <c r="H103" s="3">
        <v>45252</v>
      </c>
      <c r="I103" t="s">
        <v>47</v>
      </c>
      <c r="J103" t="str">
        <f t="shared" si="2"/>
        <v>Wednesday</v>
      </c>
      <c r="K103" t="str">
        <f t="shared" si="3"/>
        <v>Weekday</v>
      </c>
      <c r="L103" s="7">
        <f>IF(Bangladesh_Appointment_Trends[[#This Row],[Appointment Status]]="No-Show",1,0)</f>
        <v>0</v>
      </c>
      <c r="Q103" s="7"/>
    </row>
    <row r="104" spans="1:17" x14ac:dyDescent="0.3">
      <c r="A104">
        <v>66</v>
      </c>
      <c r="B104" t="s">
        <v>12</v>
      </c>
      <c r="C104" t="s">
        <v>15</v>
      </c>
      <c r="D104" t="s">
        <v>20</v>
      </c>
      <c r="E104" t="s">
        <v>11</v>
      </c>
      <c r="F104">
        <v>600</v>
      </c>
      <c r="G104">
        <v>13</v>
      </c>
      <c r="H104" s="3">
        <v>45102</v>
      </c>
      <c r="I104" t="s">
        <v>45</v>
      </c>
      <c r="J104" t="str">
        <f t="shared" si="2"/>
        <v>Sunday</v>
      </c>
      <c r="K104" t="str">
        <f t="shared" si="3"/>
        <v>Weekday</v>
      </c>
      <c r="L104" s="7">
        <f>IF(Bangladesh_Appointment_Trends[[#This Row],[Appointment Status]]="No-Show",1,0)</f>
        <v>0</v>
      </c>
      <c r="Q104" s="7"/>
    </row>
    <row r="105" spans="1:17" x14ac:dyDescent="0.3">
      <c r="A105">
        <v>41</v>
      </c>
      <c r="B105" t="s">
        <v>8</v>
      </c>
      <c r="C105" t="s">
        <v>15</v>
      </c>
      <c r="D105" t="s">
        <v>16</v>
      </c>
      <c r="E105" t="s">
        <v>18</v>
      </c>
      <c r="F105">
        <v>738</v>
      </c>
      <c r="G105">
        <v>11</v>
      </c>
      <c r="H105" s="3">
        <v>45140</v>
      </c>
      <c r="I105" t="s">
        <v>46</v>
      </c>
      <c r="J105" t="str">
        <f t="shared" si="2"/>
        <v>Wednesday</v>
      </c>
      <c r="K105" t="str">
        <f t="shared" si="3"/>
        <v>Weekday</v>
      </c>
      <c r="L105" s="7">
        <f>IF(Bangladesh_Appointment_Trends[[#This Row],[Appointment Status]]="No-Show",1,0)</f>
        <v>0</v>
      </c>
      <c r="Q105" s="7"/>
    </row>
    <row r="106" spans="1:17" x14ac:dyDescent="0.3">
      <c r="A106">
        <v>48</v>
      </c>
      <c r="B106" t="s">
        <v>12</v>
      </c>
      <c r="C106" t="s">
        <v>15</v>
      </c>
      <c r="D106" t="s">
        <v>20</v>
      </c>
      <c r="E106" t="s">
        <v>11</v>
      </c>
      <c r="F106">
        <v>427</v>
      </c>
      <c r="G106">
        <v>12</v>
      </c>
      <c r="H106" s="3">
        <v>45385</v>
      </c>
      <c r="I106" t="s">
        <v>46</v>
      </c>
      <c r="J106" t="str">
        <f t="shared" si="2"/>
        <v>Wednesday</v>
      </c>
      <c r="K106" t="str">
        <f t="shared" si="3"/>
        <v>Weekday</v>
      </c>
      <c r="L106" s="7">
        <f>IF(Bangladesh_Appointment_Trends[[#This Row],[Appointment Status]]="No-Show",1,0)</f>
        <v>0</v>
      </c>
      <c r="Q106" s="7"/>
    </row>
    <row r="107" spans="1:17" x14ac:dyDescent="0.3">
      <c r="A107">
        <v>39</v>
      </c>
      <c r="B107" t="s">
        <v>8</v>
      </c>
      <c r="C107" t="s">
        <v>15</v>
      </c>
      <c r="D107" t="s">
        <v>14</v>
      </c>
      <c r="E107" t="s">
        <v>11</v>
      </c>
      <c r="F107">
        <v>1658</v>
      </c>
      <c r="G107">
        <v>1</v>
      </c>
      <c r="H107" s="3">
        <v>45652</v>
      </c>
      <c r="I107" t="s">
        <v>46</v>
      </c>
      <c r="J107" t="str">
        <f t="shared" si="2"/>
        <v>Thursday</v>
      </c>
      <c r="K107" t="str">
        <f t="shared" si="3"/>
        <v>Weekday</v>
      </c>
      <c r="L107" s="7">
        <f>IF(Bangladesh_Appointment_Trends[[#This Row],[Appointment Status]]="No-Show",1,0)</f>
        <v>0</v>
      </c>
      <c r="Q107" s="7"/>
    </row>
    <row r="108" spans="1:17" x14ac:dyDescent="0.3">
      <c r="A108">
        <v>69</v>
      </c>
      <c r="B108" t="s">
        <v>12</v>
      </c>
      <c r="C108" t="s">
        <v>13</v>
      </c>
      <c r="D108" t="s">
        <v>20</v>
      </c>
      <c r="E108" t="s">
        <v>18</v>
      </c>
      <c r="F108">
        <v>483</v>
      </c>
      <c r="G108">
        <v>17</v>
      </c>
      <c r="H108" s="3">
        <v>44947</v>
      </c>
      <c r="I108" t="s">
        <v>45</v>
      </c>
      <c r="J108" t="str">
        <f t="shared" si="2"/>
        <v>Saturday</v>
      </c>
      <c r="K108" t="str">
        <f t="shared" si="3"/>
        <v>Weekend</v>
      </c>
      <c r="L108" s="7">
        <f>IF(Bangladesh_Appointment_Trends[[#This Row],[Appointment Status]]="No-Show",1,0)</f>
        <v>0</v>
      </c>
      <c r="Q108" s="7"/>
    </row>
    <row r="109" spans="1:17" x14ac:dyDescent="0.3">
      <c r="A109">
        <v>51</v>
      </c>
      <c r="B109" t="s">
        <v>8</v>
      </c>
      <c r="C109" t="s">
        <v>23</v>
      </c>
      <c r="D109" t="s">
        <v>20</v>
      </c>
      <c r="E109" t="s">
        <v>11</v>
      </c>
      <c r="F109">
        <v>554</v>
      </c>
      <c r="G109">
        <v>16</v>
      </c>
      <c r="H109" s="3">
        <v>45132</v>
      </c>
      <c r="I109" t="s">
        <v>46</v>
      </c>
      <c r="J109" t="str">
        <f t="shared" si="2"/>
        <v>Tuesday</v>
      </c>
      <c r="K109" t="str">
        <f t="shared" si="3"/>
        <v>Weekday</v>
      </c>
      <c r="L109" s="7">
        <f>IF(Bangladesh_Appointment_Trends[[#This Row],[Appointment Status]]="No-Show",1,0)</f>
        <v>0</v>
      </c>
      <c r="Q109" s="7"/>
    </row>
    <row r="110" spans="1:17" x14ac:dyDescent="0.3">
      <c r="A110">
        <v>7</v>
      </c>
      <c r="B110" t="s">
        <v>8</v>
      </c>
      <c r="C110" t="s">
        <v>15</v>
      </c>
      <c r="D110" t="s">
        <v>17</v>
      </c>
      <c r="E110" t="s">
        <v>11</v>
      </c>
      <c r="F110">
        <v>1216</v>
      </c>
      <c r="G110">
        <v>11</v>
      </c>
      <c r="H110" s="3">
        <v>45005</v>
      </c>
      <c r="I110" t="s">
        <v>48</v>
      </c>
      <c r="J110" t="str">
        <f t="shared" si="2"/>
        <v>Monday</v>
      </c>
      <c r="K110" t="str">
        <f t="shared" si="3"/>
        <v>Weekday</v>
      </c>
      <c r="L110" s="7">
        <f>IF(Bangladesh_Appointment_Trends[[#This Row],[Appointment Status]]="No-Show",1,0)</f>
        <v>0</v>
      </c>
      <c r="Q110" s="7"/>
    </row>
    <row r="111" spans="1:17" x14ac:dyDescent="0.3">
      <c r="A111">
        <v>5</v>
      </c>
      <c r="B111" t="s">
        <v>12</v>
      </c>
      <c r="C111" t="s">
        <v>15</v>
      </c>
      <c r="D111" t="s">
        <v>10</v>
      </c>
      <c r="E111" t="s">
        <v>11</v>
      </c>
      <c r="F111">
        <v>901</v>
      </c>
      <c r="G111">
        <v>13</v>
      </c>
      <c r="H111" s="3">
        <v>45094</v>
      </c>
      <c r="I111" t="s">
        <v>48</v>
      </c>
      <c r="J111" t="str">
        <f t="shared" si="2"/>
        <v>Saturday</v>
      </c>
      <c r="K111" t="str">
        <f t="shared" si="3"/>
        <v>Weekend</v>
      </c>
      <c r="L111" s="7">
        <f>IF(Bangladesh_Appointment_Trends[[#This Row],[Appointment Status]]="No-Show",1,0)</f>
        <v>0</v>
      </c>
      <c r="Q111" s="7"/>
    </row>
    <row r="112" spans="1:17" x14ac:dyDescent="0.3">
      <c r="A112">
        <v>9</v>
      </c>
      <c r="B112" t="s">
        <v>12</v>
      </c>
      <c r="C112" t="s">
        <v>15</v>
      </c>
      <c r="D112" t="s">
        <v>24</v>
      </c>
      <c r="E112" t="s">
        <v>22</v>
      </c>
      <c r="F112">
        <v>992</v>
      </c>
      <c r="G112">
        <v>18</v>
      </c>
      <c r="H112" s="3">
        <v>45342</v>
      </c>
      <c r="I112" t="s">
        <v>48</v>
      </c>
      <c r="J112" t="str">
        <f t="shared" si="2"/>
        <v>Tuesday</v>
      </c>
      <c r="K112" t="str">
        <f t="shared" si="3"/>
        <v>Weekday</v>
      </c>
      <c r="L112" s="7">
        <f>IF(Bangladesh_Appointment_Trends[[#This Row],[Appointment Status]]="No-Show",1,0)</f>
        <v>1</v>
      </c>
      <c r="Q112" s="7"/>
    </row>
    <row r="113" spans="1:17" x14ac:dyDescent="0.3">
      <c r="A113">
        <v>18</v>
      </c>
      <c r="B113" t="s">
        <v>12</v>
      </c>
      <c r="C113" t="s">
        <v>9</v>
      </c>
      <c r="D113" t="s">
        <v>16</v>
      </c>
      <c r="E113" t="s">
        <v>11</v>
      </c>
      <c r="F113">
        <v>865</v>
      </c>
      <c r="G113">
        <v>11</v>
      </c>
      <c r="H113" s="3">
        <v>45191</v>
      </c>
      <c r="I113" t="s">
        <v>47</v>
      </c>
      <c r="J113" t="str">
        <f t="shared" si="2"/>
        <v>Friday</v>
      </c>
      <c r="K113" t="str">
        <f t="shared" si="3"/>
        <v>Weekend</v>
      </c>
      <c r="L113" s="7">
        <f>IF(Bangladesh_Appointment_Trends[[#This Row],[Appointment Status]]="No-Show",1,0)</f>
        <v>0</v>
      </c>
      <c r="Q113" s="7"/>
    </row>
    <row r="114" spans="1:17" x14ac:dyDescent="0.3">
      <c r="A114">
        <v>31</v>
      </c>
      <c r="B114" t="s">
        <v>12</v>
      </c>
      <c r="C114" t="s">
        <v>9</v>
      </c>
      <c r="D114" t="s">
        <v>20</v>
      </c>
      <c r="E114" t="s">
        <v>11</v>
      </c>
      <c r="F114">
        <v>695</v>
      </c>
      <c r="G114">
        <v>12</v>
      </c>
      <c r="H114" s="3">
        <v>45312</v>
      </c>
      <c r="I114" t="s">
        <v>47</v>
      </c>
      <c r="J114" t="str">
        <f t="shared" si="2"/>
        <v>Sunday</v>
      </c>
      <c r="K114" t="str">
        <f t="shared" si="3"/>
        <v>Weekday</v>
      </c>
      <c r="L114" s="7">
        <f>IF(Bangladesh_Appointment_Trends[[#This Row],[Appointment Status]]="No-Show",1,0)</f>
        <v>0</v>
      </c>
      <c r="Q114" s="7"/>
    </row>
    <row r="115" spans="1:17" x14ac:dyDescent="0.3">
      <c r="A115">
        <v>13</v>
      </c>
      <c r="B115" t="s">
        <v>12</v>
      </c>
      <c r="C115" t="s">
        <v>25</v>
      </c>
      <c r="D115" t="s">
        <v>16</v>
      </c>
      <c r="E115" t="s">
        <v>11</v>
      </c>
      <c r="F115">
        <v>957</v>
      </c>
      <c r="G115">
        <v>6</v>
      </c>
      <c r="H115" s="3">
        <v>45078</v>
      </c>
      <c r="I115" t="s">
        <v>48</v>
      </c>
      <c r="J115" t="str">
        <f t="shared" si="2"/>
        <v>Thursday</v>
      </c>
      <c r="K115" t="str">
        <f t="shared" si="3"/>
        <v>Weekday</v>
      </c>
      <c r="L115" s="7">
        <f>IF(Bangladesh_Appointment_Trends[[#This Row],[Appointment Status]]="No-Show",1,0)</f>
        <v>0</v>
      </c>
      <c r="Q115" s="7"/>
    </row>
    <row r="116" spans="1:17" x14ac:dyDescent="0.3">
      <c r="A116">
        <v>19</v>
      </c>
      <c r="B116" t="s">
        <v>12</v>
      </c>
      <c r="C116" t="s">
        <v>15</v>
      </c>
      <c r="D116" t="s">
        <v>10</v>
      </c>
      <c r="E116" t="s">
        <v>11</v>
      </c>
      <c r="F116">
        <v>980</v>
      </c>
      <c r="G116">
        <v>9</v>
      </c>
      <c r="H116" s="3">
        <v>45097</v>
      </c>
      <c r="I116" t="s">
        <v>47</v>
      </c>
      <c r="J116" t="str">
        <f t="shared" si="2"/>
        <v>Tuesday</v>
      </c>
      <c r="K116" t="str">
        <f t="shared" si="3"/>
        <v>Weekday</v>
      </c>
      <c r="L116" s="7">
        <f>IF(Bangladesh_Appointment_Trends[[#This Row],[Appointment Status]]="No-Show",1,0)</f>
        <v>0</v>
      </c>
      <c r="Q116" s="7"/>
    </row>
    <row r="117" spans="1:17" x14ac:dyDescent="0.3">
      <c r="A117">
        <v>46</v>
      </c>
      <c r="B117" t="s">
        <v>12</v>
      </c>
      <c r="C117" t="s">
        <v>25</v>
      </c>
      <c r="D117" t="s">
        <v>10</v>
      </c>
      <c r="E117" t="s">
        <v>18</v>
      </c>
      <c r="F117">
        <v>1167</v>
      </c>
      <c r="G117">
        <v>16</v>
      </c>
      <c r="H117" s="3">
        <v>45052</v>
      </c>
      <c r="I117" t="s">
        <v>46</v>
      </c>
      <c r="J117" t="str">
        <f t="shared" si="2"/>
        <v>Saturday</v>
      </c>
      <c r="K117" t="str">
        <f t="shared" si="3"/>
        <v>Weekend</v>
      </c>
      <c r="L117" s="7">
        <f>IF(Bangladesh_Appointment_Trends[[#This Row],[Appointment Status]]="No-Show",1,0)</f>
        <v>0</v>
      </c>
      <c r="Q117" s="7"/>
    </row>
    <row r="118" spans="1:17" x14ac:dyDescent="0.3">
      <c r="A118">
        <v>55</v>
      </c>
      <c r="B118" t="s">
        <v>8</v>
      </c>
      <c r="C118" t="s">
        <v>26</v>
      </c>
      <c r="D118" t="s">
        <v>20</v>
      </c>
      <c r="E118" t="s">
        <v>18</v>
      </c>
      <c r="F118">
        <v>634</v>
      </c>
      <c r="G118">
        <v>4</v>
      </c>
      <c r="H118" s="3">
        <v>45061</v>
      </c>
      <c r="I118" t="s">
        <v>46</v>
      </c>
      <c r="J118" t="str">
        <f t="shared" si="2"/>
        <v>Monday</v>
      </c>
      <c r="K118" t="str">
        <f t="shared" si="3"/>
        <v>Weekday</v>
      </c>
      <c r="L118" s="7">
        <f>IF(Bangladesh_Appointment_Trends[[#This Row],[Appointment Status]]="No-Show",1,0)</f>
        <v>0</v>
      </c>
      <c r="Q118" s="7"/>
    </row>
    <row r="119" spans="1:17" x14ac:dyDescent="0.3">
      <c r="A119">
        <v>67</v>
      </c>
      <c r="B119" t="s">
        <v>8</v>
      </c>
      <c r="C119" t="s">
        <v>15</v>
      </c>
      <c r="D119" t="s">
        <v>14</v>
      </c>
      <c r="E119" t="s">
        <v>11</v>
      </c>
      <c r="F119">
        <v>1612</v>
      </c>
      <c r="G119">
        <v>3</v>
      </c>
      <c r="H119" s="3">
        <v>44952</v>
      </c>
      <c r="I119" t="s">
        <v>45</v>
      </c>
      <c r="J119" t="str">
        <f t="shared" si="2"/>
        <v>Thursday</v>
      </c>
      <c r="K119" t="str">
        <f t="shared" si="3"/>
        <v>Weekday</v>
      </c>
      <c r="L119" s="7">
        <f>IF(Bangladesh_Appointment_Trends[[#This Row],[Appointment Status]]="No-Show",1,0)</f>
        <v>0</v>
      </c>
      <c r="Q119" s="7"/>
    </row>
    <row r="120" spans="1:17" x14ac:dyDescent="0.3">
      <c r="A120">
        <v>56</v>
      </c>
      <c r="B120" t="s">
        <v>8</v>
      </c>
      <c r="C120" t="s">
        <v>25</v>
      </c>
      <c r="D120" t="s">
        <v>20</v>
      </c>
      <c r="E120" t="s">
        <v>11</v>
      </c>
      <c r="F120">
        <v>461</v>
      </c>
      <c r="G120">
        <v>16</v>
      </c>
      <c r="H120" s="3">
        <v>45591</v>
      </c>
      <c r="I120" t="s">
        <v>45</v>
      </c>
      <c r="J120" t="str">
        <f t="shared" si="2"/>
        <v>Saturday</v>
      </c>
      <c r="K120" t="str">
        <f t="shared" si="3"/>
        <v>Weekend</v>
      </c>
      <c r="L120" s="7">
        <f>IF(Bangladesh_Appointment_Trends[[#This Row],[Appointment Status]]="No-Show",1,0)</f>
        <v>0</v>
      </c>
      <c r="Q120" s="7"/>
    </row>
    <row r="121" spans="1:17" x14ac:dyDescent="0.3">
      <c r="A121">
        <v>8</v>
      </c>
      <c r="B121" t="s">
        <v>12</v>
      </c>
      <c r="C121" t="s">
        <v>19</v>
      </c>
      <c r="D121" t="s">
        <v>17</v>
      </c>
      <c r="E121" t="s">
        <v>11</v>
      </c>
      <c r="F121">
        <v>1148</v>
      </c>
      <c r="G121">
        <v>12</v>
      </c>
      <c r="H121" s="3">
        <v>45274</v>
      </c>
      <c r="I121" t="s">
        <v>48</v>
      </c>
      <c r="J121" t="str">
        <f t="shared" si="2"/>
        <v>Thursday</v>
      </c>
      <c r="K121" t="str">
        <f t="shared" si="3"/>
        <v>Weekday</v>
      </c>
      <c r="L121" s="7">
        <f>IF(Bangladesh_Appointment_Trends[[#This Row],[Appointment Status]]="No-Show",1,0)</f>
        <v>0</v>
      </c>
      <c r="Q121" s="7"/>
    </row>
    <row r="122" spans="1:17" x14ac:dyDescent="0.3">
      <c r="A122">
        <v>27</v>
      </c>
      <c r="B122" t="s">
        <v>8</v>
      </c>
      <c r="C122" t="s">
        <v>9</v>
      </c>
      <c r="D122" t="s">
        <v>24</v>
      </c>
      <c r="E122" t="s">
        <v>11</v>
      </c>
      <c r="F122">
        <v>1026</v>
      </c>
      <c r="G122">
        <v>11</v>
      </c>
      <c r="H122" s="3">
        <v>45066</v>
      </c>
      <c r="I122" t="s">
        <v>47</v>
      </c>
      <c r="J122" t="str">
        <f t="shared" si="2"/>
        <v>Saturday</v>
      </c>
      <c r="K122" t="str">
        <f t="shared" si="3"/>
        <v>Weekend</v>
      </c>
      <c r="L122" s="7">
        <f>IF(Bangladesh_Appointment_Trends[[#This Row],[Appointment Status]]="No-Show",1,0)</f>
        <v>0</v>
      </c>
      <c r="Q122" s="7"/>
    </row>
    <row r="123" spans="1:17" x14ac:dyDescent="0.3">
      <c r="A123">
        <v>19</v>
      </c>
      <c r="B123" t="s">
        <v>12</v>
      </c>
      <c r="C123" t="s">
        <v>9</v>
      </c>
      <c r="D123" t="s">
        <v>14</v>
      </c>
      <c r="E123" t="s">
        <v>11</v>
      </c>
      <c r="F123">
        <v>1622</v>
      </c>
      <c r="G123">
        <v>5</v>
      </c>
      <c r="H123" s="3">
        <v>44972</v>
      </c>
      <c r="I123" t="s">
        <v>47</v>
      </c>
      <c r="J123" t="str">
        <f t="shared" si="2"/>
        <v>Wednesday</v>
      </c>
      <c r="K123" t="str">
        <f t="shared" si="3"/>
        <v>Weekday</v>
      </c>
      <c r="L123" s="7">
        <f>IF(Bangladesh_Appointment_Trends[[#This Row],[Appointment Status]]="No-Show",1,0)</f>
        <v>0</v>
      </c>
      <c r="Q123" s="7"/>
    </row>
    <row r="124" spans="1:17" x14ac:dyDescent="0.3">
      <c r="A124">
        <v>47</v>
      </c>
      <c r="B124" t="s">
        <v>12</v>
      </c>
      <c r="C124" t="s">
        <v>25</v>
      </c>
      <c r="D124" t="s">
        <v>20</v>
      </c>
      <c r="E124" t="s">
        <v>18</v>
      </c>
      <c r="F124">
        <v>678</v>
      </c>
      <c r="G124">
        <v>18</v>
      </c>
      <c r="H124" s="3">
        <v>45487</v>
      </c>
      <c r="I124" t="s">
        <v>46</v>
      </c>
      <c r="J124" t="str">
        <f t="shared" si="2"/>
        <v>Sunday</v>
      </c>
      <c r="K124" t="str">
        <f t="shared" si="3"/>
        <v>Weekday</v>
      </c>
      <c r="L124" s="7">
        <f>IF(Bangladesh_Appointment_Trends[[#This Row],[Appointment Status]]="No-Show",1,0)</f>
        <v>0</v>
      </c>
      <c r="Q124" s="7"/>
    </row>
    <row r="125" spans="1:17" x14ac:dyDescent="0.3">
      <c r="A125">
        <v>33</v>
      </c>
      <c r="B125" t="s">
        <v>8</v>
      </c>
      <c r="C125" t="s">
        <v>19</v>
      </c>
      <c r="D125" t="s">
        <v>16</v>
      </c>
      <c r="E125" t="s">
        <v>11</v>
      </c>
      <c r="F125">
        <v>993</v>
      </c>
      <c r="G125">
        <v>19</v>
      </c>
      <c r="H125" s="3">
        <v>45376</v>
      </c>
      <c r="I125" t="s">
        <v>47</v>
      </c>
      <c r="J125" t="str">
        <f t="shared" si="2"/>
        <v>Monday</v>
      </c>
      <c r="K125" t="str">
        <f t="shared" si="3"/>
        <v>Weekday</v>
      </c>
      <c r="L125" s="7">
        <f>IF(Bangladesh_Appointment_Trends[[#This Row],[Appointment Status]]="No-Show",1,0)</f>
        <v>0</v>
      </c>
      <c r="Q125" s="7"/>
    </row>
    <row r="126" spans="1:17" x14ac:dyDescent="0.3">
      <c r="A126">
        <v>40</v>
      </c>
      <c r="B126" t="s">
        <v>12</v>
      </c>
      <c r="C126" t="s">
        <v>25</v>
      </c>
      <c r="D126" t="s">
        <v>14</v>
      </c>
      <c r="E126" t="s">
        <v>11</v>
      </c>
      <c r="F126">
        <v>1683</v>
      </c>
      <c r="G126">
        <v>6</v>
      </c>
      <c r="H126" s="3">
        <v>45403</v>
      </c>
      <c r="I126" t="s">
        <v>46</v>
      </c>
      <c r="J126" t="str">
        <f t="shared" si="2"/>
        <v>Sunday</v>
      </c>
      <c r="K126" t="str">
        <f t="shared" si="3"/>
        <v>Weekday</v>
      </c>
      <c r="L126" s="7">
        <f>IF(Bangladesh_Appointment_Trends[[#This Row],[Appointment Status]]="No-Show",1,0)</f>
        <v>0</v>
      </c>
      <c r="Q126" s="7"/>
    </row>
    <row r="127" spans="1:17" x14ac:dyDescent="0.3">
      <c r="A127">
        <v>17</v>
      </c>
      <c r="B127" t="s">
        <v>8</v>
      </c>
      <c r="C127" t="s">
        <v>21</v>
      </c>
      <c r="D127" t="s">
        <v>14</v>
      </c>
      <c r="E127" t="s">
        <v>11</v>
      </c>
      <c r="F127">
        <v>1676</v>
      </c>
      <c r="G127">
        <v>18</v>
      </c>
      <c r="H127" s="3">
        <v>45375</v>
      </c>
      <c r="I127" t="s">
        <v>48</v>
      </c>
      <c r="J127" t="str">
        <f t="shared" si="2"/>
        <v>Sunday</v>
      </c>
      <c r="K127" t="str">
        <f t="shared" si="3"/>
        <v>Weekday</v>
      </c>
      <c r="L127" s="7">
        <f>IF(Bangladesh_Appointment_Trends[[#This Row],[Appointment Status]]="No-Show",1,0)</f>
        <v>0</v>
      </c>
      <c r="Q127" s="7"/>
    </row>
    <row r="128" spans="1:17" x14ac:dyDescent="0.3">
      <c r="A128">
        <v>36</v>
      </c>
      <c r="B128" t="s">
        <v>8</v>
      </c>
      <c r="C128" t="s">
        <v>19</v>
      </c>
      <c r="D128" t="s">
        <v>20</v>
      </c>
      <c r="E128" t="s">
        <v>18</v>
      </c>
      <c r="F128">
        <v>506</v>
      </c>
      <c r="G128">
        <v>6</v>
      </c>
      <c r="H128" s="3">
        <v>45010</v>
      </c>
      <c r="I128" t="s">
        <v>46</v>
      </c>
      <c r="J128" t="str">
        <f t="shared" si="2"/>
        <v>Saturday</v>
      </c>
      <c r="K128" t="str">
        <f t="shared" si="3"/>
        <v>Weekend</v>
      </c>
      <c r="L128" s="7">
        <f>IF(Bangladesh_Appointment_Trends[[#This Row],[Appointment Status]]="No-Show",1,0)</f>
        <v>0</v>
      </c>
      <c r="Q128" s="7"/>
    </row>
    <row r="129" spans="1:17" x14ac:dyDescent="0.3">
      <c r="A129">
        <v>75</v>
      </c>
      <c r="B129" t="s">
        <v>12</v>
      </c>
      <c r="C129" t="s">
        <v>26</v>
      </c>
      <c r="D129" t="s">
        <v>14</v>
      </c>
      <c r="E129" t="s">
        <v>18</v>
      </c>
      <c r="F129">
        <v>1545</v>
      </c>
      <c r="G129">
        <v>4</v>
      </c>
      <c r="H129" s="3">
        <v>45042</v>
      </c>
      <c r="I129" t="s">
        <v>45</v>
      </c>
      <c r="J129" t="str">
        <f t="shared" si="2"/>
        <v>Wednesday</v>
      </c>
      <c r="K129" t="str">
        <f t="shared" si="3"/>
        <v>Weekday</v>
      </c>
      <c r="L129" s="7">
        <f>IF(Bangladesh_Appointment_Trends[[#This Row],[Appointment Status]]="No-Show",1,0)</f>
        <v>0</v>
      </c>
      <c r="Q129" s="7"/>
    </row>
    <row r="130" spans="1:17" x14ac:dyDescent="0.3">
      <c r="A130">
        <v>63</v>
      </c>
      <c r="B130" t="s">
        <v>12</v>
      </c>
      <c r="C130" t="s">
        <v>19</v>
      </c>
      <c r="D130" t="s">
        <v>16</v>
      </c>
      <c r="E130" t="s">
        <v>22</v>
      </c>
      <c r="F130">
        <v>798</v>
      </c>
      <c r="G130">
        <v>12</v>
      </c>
      <c r="H130" s="3">
        <v>45051</v>
      </c>
      <c r="I130" t="s">
        <v>45</v>
      </c>
      <c r="J130" t="str">
        <f t="shared" ref="J130:J193" si="4">TEXT(H130,"dddd")</f>
        <v>Friday</v>
      </c>
      <c r="K130" t="str">
        <f t="shared" ref="K130:K193" si="5">IF(WEEKDAY(H130,1)&gt;5,"Weekend","Weekday")</f>
        <v>Weekend</v>
      </c>
      <c r="L130" s="7">
        <f>IF(Bangladesh_Appointment_Trends[[#This Row],[Appointment Status]]="No-Show",1,0)</f>
        <v>1</v>
      </c>
      <c r="Q130" s="7"/>
    </row>
    <row r="131" spans="1:17" x14ac:dyDescent="0.3">
      <c r="A131">
        <v>32</v>
      </c>
      <c r="B131" t="s">
        <v>12</v>
      </c>
      <c r="C131" t="s">
        <v>19</v>
      </c>
      <c r="D131" t="s">
        <v>10</v>
      </c>
      <c r="E131" t="s">
        <v>11</v>
      </c>
      <c r="F131">
        <v>972</v>
      </c>
      <c r="G131">
        <v>19</v>
      </c>
      <c r="H131" s="3">
        <v>45297</v>
      </c>
      <c r="I131" t="s">
        <v>47</v>
      </c>
      <c r="J131" t="str">
        <f t="shared" si="4"/>
        <v>Saturday</v>
      </c>
      <c r="K131" t="str">
        <f t="shared" si="5"/>
        <v>Weekend</v>
      </c>
      <c r="L131" s="7">
        <f>IF(Bangladesh_Appointment_Trends[[#This Row],[Appointment Status]]="No-Show",1,0)</f>
        <v>0</v>
      </c>
      <c r="Q131" s="7"/>
    </row>
    <row r="132" spans="1:17" x14ac:dyDescent="0.3">
      <c r="A132">
        <v>70</v>
      </c>
      <c r="B132" t="s">
        <v>8</v>
      </c>
      <c r="C132" t="s">
        <v>19</v>
      </c>
      <c r="D132" t="s">
        <v>14</v>
      </c>
      <c r="E132" t="s">
        <v>11</v>
      </c>
      <c r="F132">
        <v>1521</v>
      </c>
      <c r="G132">
        <v>2</v>
      </c>
      <c r="H132" s="3">
        <v>45033</v>
      </c>
      <c r="I132" t="s">
        <v>45</v>
      </c>
      <c r="J132" t="str">
        <f t="shared" si="4"/>
        <v>Monday</v>
      </c>
      <c r="K132" t="str">
        <f t="shared" si="5"/>
        <v>Weekday</v>
      </c>
      <c r="L132" s="7">
        <f>IF(Bangladesh_Appointment_Trends[[#This Row],[Appointment Status]]="No-Show",1,0)</f>
        <v>0</v>
      </c>
      <c r="Q132" s="7"/>
    </row>
    <row r="133" spans="1:17" x14ac:dyDescent="0.3">
      <c r="A133">
        <v>46</v>
      </c>
      <c r="B133" t="s">
        <v>12</v>
      </c>
      <c r="C133" t="s">
        <v>15</v>
      </c>
      <c r="D133" t="s">
        <v>10</v>
      </c>
      <c r="E133" t="s">
        <v>18</v>
      </c>
      <c r="F133">
        <v>929</v>
      </c>
      <c r="G133">
        <v>17</v>
      </c>
      <c r="H133" s="3">
        <v>45271</v>
      </c>
      <c r="I133" t="s">
        <v>46</v>
      </c>
      <c r="J133" t="str">
        <f t="shared" si="4"/>
        <v>Monday</v>
      </c>
      <c r="K133" t="str">
        <f t="shared" si="5"/>
        <v>Weekday</v>
      </c>
      <c r="L133" s="7">
        <f>IF(Bangladesh_Appointment_Trends[[#This Row],[Appointment Status]]="No-Show",1,0)</f>
        <v>0</v>
      </c>
      <c r="Q133" s="7"/>
    </row>
    <row r="134" spans="1:17" x14ac:dyDescent="0.3">
      <c r="A134">
        <v>49</v>
      </c>
      <c r="B134" t="s">
        <v>12</v>
      </c>
      <c r="C134" t="s">
        <v>23</v>
      </c>
      <c r="D134" t="s">
        <v>16</v>
      </c>
      <c r="E134" t="s">
        <v>11</v>
      </c>
      <c r="F134">
        <v>887</v>
      </c>
      <c r="G134">
        <v>11</v>
      </c>
      <c r="H134" s="3">
        <v>45642</v>
      </c>
      <c r="I134" t="s">
        <v>46</v>
      </c>
      <c r="J134" t="str">
        <f t="shared" si="4"/>
        <v>Monday</v>
      </c>
      <c r="K134" t="str">
        <f t="shared" si="5"/>
        <v>Weekday</v>
      </c>
      <c r="L134" s="7">
        <f>IF(Bangladesh_Appointment_Trends[[#This Row],[Appointment Status]]="No-Show",1,0)</f>
        <v>0</v>
      </c>
      <c r="Q134" s="7"/>
    </row>
    <row r="135" spans="1:17" x14ac:dyDescent="0.3">
      <c r="A135">
        <v>66</v>
      </c>
      <c r="B135" t="s">
        <v>12</v>
      </c>
      <c r="C135" t="s">
        <v>9</v>
      </c>
      <c r="D135" t="s">
        <v>20</v>
      </c>
      <c r="E135" t="s">
        <v>11</v>
      </c>
      <c r="F135">
        <v>687</v>
      </c>
      <c r="G135">
        <v>11</v>
      </c>
      <c r="H135" s="3">
        <v>45608</v>
      </c>
      <c r="I135" t="s">
        <v>45</v>
      </c>
      <c r="J135" t="str">
        <f t="shared" si="4"/>
        <v>Tuesday</v>
      </c>
      <c r="K135" t="str">
        <f t="shared" si="5"/>
        <v>Weekday</v>
      </c>
      <c r="L135" s="7">
        <f>IF(Bangladesh_Appointment_Trends[[#This Row],[Appointment Status]]="No-Show",1,0)</f>
        <v>0</v>
      </c>
      <c r="Q135" s="7"/>
    </row>
    <row r="136" spans="1:17" x14ac:dyDescent="0.3">
      <c r="A136">
        <v>61</v>
      </c>
      <c r="B136" t="s">
        <v>8</v>
      </c>
      <c r="C136" t="s">
        <v>9</v>
      </c>
      <c r="D136" t="s">
        <v>24</v>
      </c>
      <c r="E136" t="s">
        <v>18</v>
      </c>
      <c r="F136">
        <v>1094</v>
      </c>
      <c r="G136">
        <v>16</v>
      </c>
      <c r="H136" s="3">
        <v>45519</v>
      </c>
      <c r="I136" t="s">
        <v>45</v>
      </c>
      <c r="J136" t="str">
        <f t="shared" si="4"/>
        <v>Thursday</v>
      </c>
      <c r="K136" t="str">
        <f t="shared" si="5"/>
        <v>Weekday</v>
      </c>
      <c r="L136" s="7">
        <f>IF(Bangladesh_Appointment_Trends[[#This Row],[Appointment Status]]="No-Show",1,0)</f>
        <v>0</v>
      </c>
      <c r="Q136" s="7"/>
    </row>
    <row r="137" spans="1:17" x14ac:dyDescent="0.3">
      <c r="A137">
        <v>10</v>
      </c>
      <c r="B137" t="s">
        <v>12</v>
      </c>
      <c r="C137" t="s">
        <v>21</v>
      </c>
      <c r="D137" t="s">
        <v>14</v>
      </c>
      <c r="E137" t="s">
        <v>18</v>
      </c>
      <c r="F137">
        <v>1555</v>
      </c>
      <c r="G137">
        <v>2</v>
      </c>
      <c r="H137" s="3">
        <v>45222</v>
      </c>
      <c r="I137" t="s">
        <v>48</v>
      </c>
      <c r="J137" t="str">
        <f t="shared" si="4"/>
        <v>Monday</v>
      </c>
      <c r="K137" t="str">
        <f t="shared" si="5"/>
        <v>Weekday</v>
      </c>
      <c r="L137" s="7">
        <f>IF(Bangladesh_Appointment_Trends[[#This Row],[Appointment Status]]="No-Show",1,0)</f>
        <v>0</v>
      </c>
      <c r="Q137" s="7"/>
    </row>
    <row r="138" spans="1:17" x14ac:dyDescent="0.3">
      <c r="A138">
        <v>32</v>
      </c>
      <c r="B138" t="s">
        <v>12</v>
      </c>
      <c r="C138" t="s">
        <v>15</v>
      </c>
      <c r="D138" t="s">
        <v>24</v>
      </c>
      <c r="E138" t="s">
        <v>11</v>
      </c>
      <c r="F138">
        <v>1071</v>
      </c>
      <c r="G138">
        <v>2</v>
      </c>
      <c r="H138" s="3">
        <v>45111</v>
      </c>
      <c r="I138" t="s">
        <v>47</v>
      </c>
      <c r="J138" t="str">
        <f t="shared" si="4"/>
        <v>Tuesday</v>
      </c>
      <c r="K138" t="str">
        <f t="shared" si="5"/>
        <v>Weekday</v>
      </c>
      <c r="L138" s="7">
        <f>IF(Bangladesh_Appointment_Trends[[#This Row],[Appointment Status]]="No-Show",1,0)</f>
        <v>0</v>
      </c>
      <c r="Q138" s="7"/>
    </row>
    <row r="139" spans="1:17" x14ac:dyDescent="0.3">
      <c r="A139">
        <v>32</v>
      </c>
      <c r="B139" t="s">
        <v>8</v>
      </c>
      <c r="C139" t="s">
        <v>9</v>
      </c>
      <c r="D139" t="s">
        <v>16</v>
      </c>
      <c r="E139" t="s">
        <v>11</v>
      </c>
      <c r="F139">
        <v>740</v>
      </c>
      <c r="G139">
        <v>8</v>
      </c>
      <c r="H139" s="3">
        <v>45562</v>
      </c>
      <c r="I139" t="s">
        <v>47</v>
      </c>
      <c r="J139" t="str">
        <f t="shared" si="4"/>
        <v>Friday</v>
      </c>
      <c r="K139" t="str">
        <f t="shared" si="5"/>
        <v>Weekend</v>
      </c>
      <c r="L139" s="7">
        <f>IF(Bangladesh_Appointment_Trends[[#This Row],[Appointment Status]]="No-Show",1,0)</f>
        <v>0</v>
      </c>
      <c r="Q139" s="7"/>
    </row>
    <row r="140" spans="1:17" x14ac:dyDescent="0.3">
      <c r="A140">
        <v>48</v>
      </c>
      <c r="B140" t="s">
        <v>8</v>
      </c>
      <c r="C140" t="s">
        <v>23</v>
      </c>
      <c r="D140" t="s">
        <v>14</v>
      </c>
      <c r="E140" t="s">
        <v>11</v>
      </c>
      <c r="F140">
        <v>1462</v>
      </c>
      <c r="G140">
        <v>13</v>
      </c>
      <c r="H140" s="3">
        <v>45064</v>
      </c>
      <c r="I140" t="s">
        <v>46</v>
      </c>
      <c r="J140" t="str">
        <f t="shared" si="4"/>
        <v>Thursday</v>
      </c>
      <c r="K140" t="str">
        <f t="shared" si="5"/>
        <v>Weekday</v>
      </c>
      <c r="L140" s="7">
        <f>IF(Bangladesh_Appointment_Trends[[#This Row],[Appointment Status]]="No-Show",1,0)</f>
        <v>0</v>
      </c>
      <c r="Q140" s="7"/>
    </row>
    <row r="141" spans="1:17" x14ac:dyDescent="0.3">
      <c r="A141">
        <v>34</v>
      </c>
      <c r="B141" t="s">
        <v>12</v>
      </c>
      <c r="C141" t="s">
        <v>25</v>
      </c>
      <c r="D141" t="s">
        <v>10</v>
      </c>
      <c r="E141" t="s">
        <v>11</v>
      </c>
      <c r="F141">
        <v>922</v>
      </c>
      <c r="G141">
        <v>10</v>
      </c>
      <c r="H141" s="3">
        <v>45586</v>
      </c>
      <c r="I141" t="s">
        <v>47</v>
      </c>
      <c r="J141" t="str">
        <f t="shared" si="4"/>
        <v>Monday</v>
      </c>
      <c r="K141" t="str">
        <f t="shared" si="5"/>
        <v>Weekday</v>
      </c>
      <c r="L141" s="7">
        <f>IF(Bangladesh_Appointment_Trends[[#This Row],[Appointment Status]]="No-Show",1,0)</f>
        <v>0</v>
      </c>
      <c r="Q141" s="7"/>
    </row>
    <row r="142" spans="1:17" x14ac:dyDescent="0.3">
      <c r="A142">
        <v>66</v>
      </c>
      <c r="B142" t="s">
        <v>12</v>
      </c>
      <c r="C142" t="s">
        <v>9</v>
      </c>
      <c r="D142" t="s">
        <v>17</v>
      </c>
      <c r="E142" t="s">
        <v>11</v>
      </c>
      <c r="F142">
        <v>1174</v>
      </c>
      <c r="G142">
        <v>8</v>
      </c>
      <c r="H142" s="3">
        <v>45385</v>
      </c>
      <c r="I142" t="s">
        <v>45</v>
      </c>
      <c r="J142" t="str">
        <f t="shared" si="4"/>
        <v>Wednesday</v>
      </c>
      <c r="K142" t="str">
        <f t="shared" si="5"/>
        <v>Weekday</v>
      </c>
      <c r="L142" s="7">
        <f>IF(Bangladesh_Appointment_Trends[[#This Row],[Appointment Status]]="No-Show",1,0)</f>
        <v>0</v>
      </c>
      <c r="Q142" s="7"/>
    </row>
    <row r="143" spans="1:17" x14ac:dyDescent="0.3">
      <c r="A143">
        <v>79</v>
      </c>
      <c r="B143" t="s">
        <v>12</v>
      </c>
      <c r="C143" t="s">
        <v>25</v>
      </c>
      <c r="D143" t="s">
        <v>24</v>
      </c>
      <c r="E143" t="s">
        <v>18</v>
      </c>
      <c r="F143">
        <v>947</v>
      </c>
      <c r="G143">
        <v>4</v>
      </c>
      <c r="H143" s="3">
        <v>45160</v>
      </c>
      <c r="I143" t="s">
        <v>45</v>
      </c>
      <c r="J143" t="str">
        <f t="shared" si="4"/>
        <v>Tuesday</v>
      </c>
      <c r="K143" t="str">
        <f t="shared" si="5"/>
        <v>Weekday</v>
      </c>
      <c r="L143" s="7">
        <f>IF(Bangladesh_Appointment_Trends[[#This Row],[Appointment Status]]="No-Show",1,0)</f>
        <v>0</v>
      </c>
      <c r="Q143" s="7"/>
    </row>
    <row r="144" spans="1:17" x14ac:dyDescent="0.3">
      <c r="A144">
        <v>66</v>
      </c>
      <c r="B144" t="s">
        <v>8</v>
      </c>
      <c r="C144" t="s">
        <v>23</v>
      </c>
      <c r="D144" t="s">
        <v>14</v>
      </c>
      <c r="E144" t="s">
        <v>18</v>
      </c>
      <c r="F144">
        <v>1559</v>
      </c>
      <c r="G144">
        <v>15</v>
      </c>
      <c r="H144" s="3">
        <v>45543</v>
      </c>
      <c r="I144" t="s">
        <v>45</v>
      </c>
      <c r="J144" t="str">
        <f t="shared" si="4"/>
        <v>Sunday</v>
      </c>
      <c r="K144" t="str">
        <f t="shared" si="5"/>
        <v>Weekday</v>
      </c>
      <c r="L144" s="7">
        <f>IF(Bangladesh_Appointment_Trends[[#This Row],[Appointment Status]]="No-Show",1,0)</f>
        <v>0</v>
      </c>
      <c r="Q144" s="7"/>
    </row>
    <row r="145" spans="1:17" x14ac:dyDescent="0.3">
      <c r="A145">
        <v>5</v>
      </c>
      <c r="B145" t="s">
        <v>12</v>
      </c>
      <c r="C145" t="s">
        <v>15</v>
      </c>
      <c r="D145" t="s">
        <v>24</v>
      </c>
      <c r="E145" t="s">
        <v>18</v>
      </c>
      <c r="F145">
        <v>1017</v>
      </c>
      <c r="G145">
        <v>1</v>
      </c>
      <c r="H145" s="3">
        <v>45496</v>
      </c>
      <c r="I145" t="s">
        <v>48</v>
      </c>
      <c r="J145" t="str">
        <f t="shared" si="4"/>
        <v>Tuesday</v>
      </c>
      <c r="K145" t="str">
        <f t="shared" si="5"/>
        <v>Weekday</v>
      </c>
      <c r="L145" s="7">
        <f>IF(Bangladesh_Appointment_Trends[[#This Row],[Appointment Status]]="No-Show",1,0)</f>
        <v>0</v>
      </c>
      <c r="Q145" s="7"/>
    </row>
    <row r="146" spans="1:17" x14ac:dyDescent="0.3">
      <c r="A146">
        <v>31</v>
      </c>
      <c r="B146" t="s">
        <v>8</v>
      </c>
      <c r="C146" t="s">
        <v>15</v>
      </c>
      <c r="D146" t="s">
        <v>14</v>
      </c>
      <c r="E146" t="s">
        <v>11</v>
      </c>
      <c r="F146">
        <v>1499</v>
      </c>
      <c r="G146">
        <v>11</v>
      </c>
      <c r="H146" s="3">
        <v>45476</v>
      </c>
      <c r="I146" t="s">
        <v>47</v>
      </c>
      <c r="J146" t="str">
        <f t="shared" si="4"/>
        <v>Wednesday</v>
      </c>
      <c r="K146" t="str">
        <f t="shared" si="5"/>
        <v>Weekday</v>
      </c>
      <c r="L146" s="7">
        <f>IF(Bangladesh_Appointment_Trends[[#This Row],[Appointment Status]]="No-Show",1,0)</f>
        <v>0</v>
      </c>
      <c r="Q146" s="7"/>
    </row>
    <row r="147" spans="1:17" x14ac:dyDescent="0.3">
      <c r="A147">
        <v>66</v>
      </c>
      <c r="B147" t="s">
        <v>8</v>
      </c>
      <c r="C147" t="s">
        <v>19</v>
      </c>
      <c r="D147" t="s">
        <v>20</v>
      </c>
      <c r="E147" t="s">
        <v>18</v>
      </c>
      <c r="F147">
        <v>566</v>
      </c>
      <c r="G147">
        <v>7</v>
      </c>
      <c r="H147" s="3">
        <v>45054</v>
      </c>
      <c r="I147" t="s">
        <v>45</v>
      </c>
      <c r="J147" t="str">
        <f t="shared" si="4"/>
        <v>Monday</v>
      </c>
      <c r="K147" t="str">
        <f t="shared" si="5"/>
        <v>Weekday</v>
      </c>
      <c r="L147" s="7">
        <f>IF(Bangladesh_Appointment_Trends[[#This Row],[Appointment Status]]="No-Show",1,0)</f>
        <v>0</v>
      </c>
      <c r="Q147" s="7"/>
    </row>
    <row r="148" spans="1:17" x14ac:dyDescent="0.3">
      <c r="A148">
        <v>7</v>
      </c>
      <c r="B148" t="s">
        <v>8</v>
      </c>
      <c r="C148" t="s">
        <v>15</v>
      </c>
      <c r="D148" t="s">
        <v>10</v>
      </c>
      <c r="E148" t="s">
        <v>18</v>
      </c>
      <c r="F148">
        <v>1189</v>
      </c>
      <c r="G148">
        <v>17</v>
      </c>
      <c r="H148" s="3">
        <v>45400</v>
      </c>
      <c r="I148" t="s">
        <v>48</v>
      </c>
      <c r="J148" t="str">
        <f t="shared" si="4"/>
        <v>Thursday</v>
      </c>
      <c r="K148" t="str">
        <f t="shared" si="5"/>
        <v>Weekday</v>
      </c>
      <c r="L148" s="7">
        <f>IF(Bangladesh_Appointment_Trends[[#This Row],[Appointment Status]]="No-Show",1,0)</f>
        <v>0</v>
      </c>
      <c r="Q148" s="7"/>
    </row>
    <row r="149" spans="1:17" x14ac:dyDescent="0.3">
      <c r="A149">
        <v>74</v>
      </c>
      <c r="B149" t="s">
        <v>12</v>
      </c>
      <c r="C149" t="s">
        <v>15</v>
      </c>
      <c r="D149" t="s">
        <v>24</v>
      </c>
      <c r="E149" t="s">
        <v>11</v>
      </c>
      <c r="F149">
        <v>1055</v>
      </c>
      <c r="G149">
        <v>20</v>
      </c>
      <c r="H149" s="3">
        <v>45575</v>
      </c>
      <c r="I149" t="s">
        <v>45</v>
      </c>
      <c r="J149" t="str">
        <f t="shared" si="4"/>
        <v>Thursday</v>
      </c>
      <c r="K149" t="str">
        <f t="shared" si="5"/>
        <v>Weekday</v>
      </c>
      <c r="L149" s="7">
        <f>IF(Bangladesh_Appointment_Trends[[#This Row],[Appointment Status]]="No-Show",1,0)</f>
        <v>0</v>
      </c>
      <c r="Q149" s="7"/>
    </row>
    <row r="150" spans="1:17" x14ac:dyDescent="0.3">
      <c r="A150">
        <v>76</v>
      </c>
      <c r="B150" t="s">
        <v>8</v>
      </c>
      <c r="C150" t="s">
        <v>19</v>
      </c>
      <c r="D150" t="s">
        <v>17</v>
      </c>
      <c r="E150" t="s">
        <v>18</v>
      </c>
      <c r="F150">
        <v>1106</v>
      </c>
      <c r="G150">
        <v>18</v>
      </c>
      <c r="H150" s="3">
        <v>45316</v>
      </c>
      <c r="I150" t="s">
        <v>45</v>
      </c>
      <c r="J150" t="str">
        <f t="shared" si="4"/>
        <v>Thursday</v>
      </c>
      <c r="K150" t="str">
        <f t="shared" si="5"/>
        <v>Weekday</v>
      </c>
      <c r="L150" s="7">
        <f>IF(Bangladesh_Appointment_Trends[[#This Row],[Appointment Status]]="No-Show",1,0)</f>
        <v>0</v>
      </c>
      <c r="Q150" s="7"/>
    </row>
    <row r="151" spans="1:17" x14ac:dyDescent="0.3">
      <c r="A151">
        <v>31</v>
      </c>
      <c r="B151" t="s">
        <v>8</v>
      </c>
      <c r="C151" t="s">
        <v>15</v>
      </c>
      <c r="D151" t="s">
        <v>17</v>
      </c>
      <c r="E151" t="s">
        <v>18</v>
      </c>
      <c r="F151">
        <v>1295</v>
      </c>
      <c r="G151">
        <v>12</v>
      </c>
      <c r="H151" s="3">
        <v>45585</v>
      </c>
      <c r="I151" t="s">
        <v>47</v>
      </c>
      <c r="J151" t="str">
        <f t="shared" si="4"/>
        <v>Sunday</v>
      </c>
      <c r="K151" t="str">
        <f t="shared" si="5"/>
        <v>Weekday</v>
      </c>
      <c r="L151" s="7">
        <f>IF(Bangladesh_Appointment_Trends[[#This Row],[Appointment Status]]="No-Show",1,0)</f>
        <v>0</v>
      </c>
      <c r="Q151" s="7"/>
    </row>
    <row r="152" spans="1:17" x14ac:dyDescent="0.3">
      <c r="A152">
        <v>13</v>
      </c>
      <c r="B152" t="s">
        <v>8</v>
      </c>
      <c r="C152" t="s">
        <v>9</v>
      </c>
      <c r="D152" t="s">
        <v>16</v>
      </c>
      <c r="E152" t="s">
        <v>11</v>
      </c>
      <c r="F152">
        <v>755</v>
      </c>
      <c r="G152">
        <v>9</v>
      </c>
      <c r="H152" s="3">
        <v>45582</v>
      </c>
      <c r="I152" t="s">
        <v>48</v>
      </c>
      <c r="J152" t="str">
        <f t="shared" si="4"/>
        <v>Thursday</v>
      </c>
      <c r="K152" t="str">
        <f t="shared" si="5"/>
        <v>Weekday</v>
      </c>
      <c r="L152" s="7">
        <f>IF(Bangladesh_Appointment_Trends[[#This Row],[Appointment Status]]="No-Show",1,0)</f>
        <v>0</v>
      </c>
      <c r="Q152" s="7"/>
    </row>
    <row r="153" spans="1:17" x14ac:dyDescent="0.3">
      <c r="A153">
        <v>66</v>
      </c>
      <c r="B153" t="s">
        <v>12</v>
      </c>
      <c r="C153" t="s">
        <v>9</v>
      </c>
      <c r="D153" t="s">
        <v>14</v>
      </c>
      <c r="E153" t="s">
        <v>11</v>
      </c>
      <c r="F153">
        <v>1592</v>
      </c>
      <c r="G153">
        <v>5</v>
      </c>
      <c r="H153" s="3">
        <v>45481</v>
      </c>
      <c r="I153" t="s">
        <v>45</v>
      </c>
      <c r="J153" t="str">
        <f t="shared" si="4"/>
        <v>Monday</v>
      </c>
      <c r="K153" t="str">
        <f t="shared" si="5"/>
        <v>Weekday</v>
      </c>
      <c r="L153" s="7">
        <f>IF(Bangladesh_Appointment_Trends[[#This Row],[Appointment Status]]="No-Show",1,0)</f>
        <v>0</v>
      </c>
      <c r="Q153" s="7"/>
    </row>
    <row r="154" spans="1:17" x14ac:dyDescent="0.3">
      <c r="A154">
        <v>41</v>
      </c>
      <c r="B154" t="s">
        <v>8</v>
      </c>
      <c r="C154" t="s">
        <v>19</v>
      </c>
      <c r="D154" t="s">
        <v>24</v>
      </c>
      <c r="E154" t="s">
        <v>11</v>
      </c>
      <c r="F154">
        <v>946</v>
      </c>
      <c r="G154">
        <v>10</v>
      </c>
      <c r="H154" s="3">
        <v>45314</v>
      </c>
      <c r="I154" t="s">
        <v>46</v>
      </c>
      <c r="J154" t="str">
        <f t="shared" si="4"/>
        <v>Tuesday</v>
      </c>
      <c r="K154" t="str">
        <f t="shared" si="5"/>
        <v>Weekday</v>
      </c>
      <c r="L154" s="7">
        <f>IF(Bangladesh_Appointment_Trends[[#This Row],[Appointment Status]]="No-Show",1,0)</f>
        <v>0</v>
      </c>
      <c r="Q154" s="7"/>
    </row>
    <row r="155" spans="1:17" x14ac:dyDescent="0.3">
      <c r="A155">
        <v>55</v>
      </c>
      <c r="B155" t="s">
        <v>12</v>
      </c>
      <c r="C155" t="s">
        <v>9</v>
      </c>
      <c r="D155" t="s">
        <v>16</v>
      </c>
      <c r="E155" t="s">
        <v>11</v>
      </c>
      <c r="F155">
        <v>847</v>
      </c>
      <c r="G155">
        <v>4</v>
      </c>
      <c r="H155" s="3">
        <v>44937</v>
      </c>
      <c r="I155" t="s">
        <v>46</v>
      </c>
      <c r="J155" t="str">
        <f t="shared" si="4"/>
        <v>Wednesday</v>
      </c>
      <c r="K155" t="str">
        <f t="shared" si="5"/>
        <v>Weekday</v>
      </c>
      <c r="L155" s="7">
        <f>IF(Bangladesh_Appointment_Trends[[#This Row],[Appointment Status]]="No-Show",1,0)</f>
        <v>0</v>
      </c>
      <c r="Q155" s="7"/>
    </row>
    <row r="156" spans="1:17" x14ac:dyDescent="0.3">
      <c r="A156">
        <v>48</v>
      </c>
      <c r="B156" t="s">
        <v>12</v>
      </c>
      <c r="C156" t="s">
        <v>23</v>
      </c>
      <c r="D156" t="s">
        <v>24</v>
      </c>
      <c r="E156" t="s">
        <v>11</v>
      </c>
      <c r="F156">
        <v>1174</v>
      </c>
      <c r="G156">
        <v>5</v>
      </c>
      <c r="H156" s="3">
        <v>45051</v>
      </c>
      <c r="I156" t="s">
        <v>46</v>
      </c>
      <c r="J156" t="str">
        <f t="shared" si="4"/>
        <v>Friday</v>
      </c>
      <c r="K156" t="str">
        <f t="shared" si="5"/>
        <v>Weekend</v>
      </c>
      <c r="L156" s="7">
        <f>IF(Bangladesh_Appointment_Trends[[#This Row],[Appointment Status]]="No-Show",1,0)</f>
        <v>0</v>
      </c>
      <c r="Q156" s="7"/>
    </row>
    <row r="157" spans="1:17" x14ac:dyDescent="0.3">
      <c r="A157">
        <v>28</v>
      </c>
      <c r="B157" t="s">
        <v>12</v>
      </c>
      <c r="C157" t="s">
        <v>15</v>
      </c>
      <c r="D157" t="s">
        <v>14</v>
      </c>
      <c r="E157" t="s">
        <v>18</v>
      </c>
      <c r="F157">
        <v>1556</v>
      </c>
      <c r="G157">
        <v>10</v>
      </c>
      <c r="H157" s="3">
        <v>45561</v>
      </c>
      <c r="I157" t="s">
        <v>47</v>
      </c>
      <c r="J157" t="str">
        <f t="shared" si="4"/>
        <v>Thursday</v>
      </c>
      <c r="K157" t="str">
        <f t="shared" si="5"/>
        <v>Weekday</v>
      </c>
      <c r="L157" s="7">
        <f>IF(Bangladesh_Appointment_Trends[[#This Row],[Appointment Status]]="No-Show",1,0)</f>
        <v>0</v>
      </c>
      <c r="Q157" s="7"/>
    </row>
    <row r="158" spans="1:17" x14ac:dyDescent="0.3">
      <c r="A158">
        <v>63</v>
      </c>
      <c r="B158" t="s">
        <v>8</v>
      </c>
      <c r="C158" t="s">
        <v>23</v>
      </c>
      <c r="D158" t="s">
        <v>17</v>
      </c>
      <c r="E158" t="s">
        <v>11</v>
      </c>
      <c r="F158">
        <v>1301</v>
      </c>
      <c r="G158">
        <v>11</v>
      </c>
      <c r="H158" s="3">
        <v>45090</v>
      </c>
      <c r="I158" t="s">
        <v>45</v>
      </c>
      <c r="J158" t="str">
        <f t="shared" si="4"/>
        <v>Tuesday</v>
      </c>
      <c r="K158" t="str">
        <f t="shared" si="5"/>
        <v>Weekday</v>
      </c>
      <c r="L158" s="7">
        <f>IF(Bangladesh_Appointment_Trends[[#This Row],[Appointment Status]]="No-Show",1,0)</f>
        <v>0</v>
      </c>
      <c r="Q158" s="7"/>
    </row>
    <row r="159" spans="1:17" x14ac:dyDescent="0.3">
      <c r="A159">
        <v>36</v>
      </c>
      <c r="B159" t="s">
        <v>12</v>
      </c>
      <c r="C159" t="s">
        <v>9</v>
      </c>
      <c r="D159" t="s">
        <v>20</v>
      </c>
      <c r="E159" t="s">
        <v>11</v>
      </c>
      <c r="F159">
        <v>525</v>
      </c>
      <c r="G159">
        <v>10</v>
      </c>
      <c r="H159" s="3">
        <v>45006</v>
      </c>
      <c r="I159" t="s">
        <v>46</v>
      </c>
      <c r="J159" t="str">
        <f t="shared" si="4"/>
        <v>Tuesday</v>
      </c>
      <c r="K159" t="str">
        <f t="shared" si="5"/>
        <v>Weekday</v>
      </c>
      <c r="L159" s="7">
        <f>IF(Bangladesh_Appointment_Trends[[#This Row],[Appointment Status]]="No-Show",1,0)</f>
        <v>0</v>
      </c>
      <c r="Q159" s="7"/>
    </row>
    <row r="160" spans="1:17" x14ac:dyDescent="0.3">
      <c r="A160">
        <v>56</v>
      </c>
      <c r="B160" t="s">
        <v>12</v>
      </c>
      <c r="C160" t="s">
        <v>13</v>
      </c>
      <c r="D160" t="s">
        <v>17</v>
      </c>
      <c r="E160" t="s">
        <v>11</v>
      </c>
      <c r="F160">
        <v>1393</v>
      </c>
      <c r="G160">
        <v>8</v>
      </c>
      <c r="H160" s="3">
        <v>45374</v>
      </c>
      <c r="I160" t="s">
        <v>45</v>
      </c>
      <c r="J160" t="str">
        <f t="shared" si="4"/>
        <v>Saturday</v>
      </c>
      <c r="K160" t="str">
        <f t="shared" si="5"/>
        <v>Weekend</v>
      </c>
      <c r="L160" s="7">
        <f>IF(Bangladesh_Appointment_Trends[[#This Row],[Appointment Status]]="No-Show",1,0)</f>
        <v>0</v>
      </c>
      <c r="Q160" s="7"/>
    </row>
    <row r="161" spans="1:17" x14ac:dyDescent="0.3">
      <c r="A161">
        <v>66</v>
      </c>
      <c r="B161" t="s">
        <v>12</v>
      </c>
      <c r="C161" t="s">
        <v>9</v>
      </c>
      <c r="D161" t="s">
        <v>16</v>
      </c>
      <c r="E161" t="s">
        <v>11</v>
      </c>
      <c r="F161">
        <v>763</v>
      </c>
      <c r="G161">
        <v>2</v>
      </c>
      <c r="H161" s="3">
        <v>45112</v>
      </c>
      <c r="I161" t="s">
        <v>45</v>
      </c>
      <c r="J161" t="str">
        <f t="shared" si="4"/>
        <v>Wednesday</v>
      </c>
      <c r="K161" t="str">
        <f t="shared" si="5"/>
        <v>Weekday</v>
      </c>
      <c r="L161" s="7">
        <f>IF(Bangladesh_Appointment_Trends[[#This Row],[Appointment Status]]="No-Show",1,0)</f>
        <v>0</v>
      </c>
      <c r="Q161" s="7"/>
    </row>
    <row r="162" spans="1:17" x14ac:dyDescent="0.3">
      <c r="A162">
        <v>62</v>
      </c>
      <c r="B162" t="s">
        <v>12</v>
      </c>
      <c r="C162" t="s">
        <v>26</v>
      </c>
      <c r="D162" t="s">
        <v>10</v>
      </c>
      <c r="E162" t="s">
        <v>11</v>
      </c>
      <c r="F162">
        <v>1075</v>
      </c>
      <c r="G162">
        <v>8</v>
      </c>
      <c r="H162" s="3">
        <v>45467</v>
      </c>
      <c r="I162" t="s">
        <v>45</v>
      </c>
      <c r="J162" t="str">
        <f t="shared" si="4"/>
        <v>Monday</v>
      </c>
      <c r="K162" t="str">
        <f t="shared" si="5"/>
        <v>Weekday</v>
      </c>
      <c r="L162" s="7">
        <f>IF(Bangladesh_Appointment_Trends[[#This Row],[Appointment Status]]="No-Show",1,0)</f>
        <v>0</v>
      </c>
      <c r="Q162" s="7"/>
    </row>
    <row r="163" spans="1:17" x14ac:dyDescent="0.3">
      <c r="A163">
        <v>56</v>
      </c>
      <c r="B163" t="s">
        <v>8</v>
      </c>
      <c r="C163" t="s">
        <v>19</v>
      </c>
      <c r="D163" t="s">
        <v>20</v>
      </c>
      <c r="E163" t="s">
        <v>11</v>
      </c>
      <c r="F163">
        <v>515</v>
      </c>
      <c r="G163">
        <v>16</v>
      </c>
      <c r="H163" s="3">
        <v>45562</v>
      </c>
      <c r="I163" t="s">
        <v>45</v>
      </c>
      <c r="J163" t="str">
        <f t="shared" si="4"/>
        <v>Friday</v>
      </c>
      <c r="K163" t="str">
        <f t="shared" si="5"/>
        <v>Weekend</v>
      </c>
      <c r="L163" s="7">
        <f>IF(Bangladesh_Appointment_Trends[[#This Row],[Appointment Status]]="No-Show",1,0)</f>
        <v>0</v>
      </c>
      <c r="Q163" s="7"/>
    </row>
    <row r="164" spans="1:17" x14ac:dyDescent="0.3">
      <c r="A164">
        <v>16</v>
      </c>
      <c r="B164" t="s">
        <v>8</v>
      </c>
      <c r="C164" t="s">
        <v>15</v>
      </c>
      <c r="D164" t="s">
        <v>16</v>
      </c>
      <c r="E164" t="s">
        <v>11</v>
      </c>
      <c r="F164">
        <v>903</v>
      </c>
      <c r="G164">
        <v>5</v>
      </c>
      <c r="H164" s="3">
        <v>45456</v>
      </c>
      <c r="I164" t="s">
        <v>48</v>
      </c>
      <c r="J164" t="str">
        <f t="shared" si="4"/>
        <v>Thursday</v>
      </c>
      <c r="K164" t="str">
        <f t="shared" si="5"/>
        <v>Weekday</v>
      </c>
      <c r="L164" s="7">
        <f>IF(Bangladesh_Appointment_Trends[[#This Row],[Appointment Status]]="No-Show",1,0)</f>
        <v>0</v>
      </c>
      <c r="Q164" s="7"/>
    </row>
    <row r="165" spans="1:17" x14ac:dyDescent="0.3">
      <c r="A165">
        <v>43</v>
      </c>
      <c r="B165" t="s">
        <v>12</v>
      </c>
      <c r="C165" t="s">
        <v>25</v>
      </c>
      <c r="D165" t="s">
        <v>14</v>
      </c>
      <c r="E165" t="s">
        <v>11</v>
      </c>
      <c r="F165">
        <v>1430</v>
      </c>
      <c r="G165">
        <v>3</v>
      </c>
      <c r="H165" s="3">
        <v>45418</v>
      </c>
      <c r="I165" t="s">
        <v>46</v>
      </c>
      <c r="J165" t="str">
        <f t="shared" si="4"/>
        <v>Monday</v>
      </c>
      <c r="K165" t="str">
        <f t="shared" si="5"/>
        <v>Weekday</v>
      </c>
      <c r="L165" s="7">
        <f>IF(Bangladesh_Appointment_Trends[[#This Row],[Appointment Status]]="No-Show",1,0)</f>
        <v>0</v>
      </c>
      <c r="Q165" s="7"/>
    </row>
    <row r="166" spans="1:17" x14ac:dyDescent="0.3">
      <c r="A166">
        <v>6</v>
      </c>
      <c r="B166" t="s">
        <v>12</v>
      </c>
      <c r="C166" t="s">
        <v>15</v>
      </c>
      <c r="D166" t="s">
        <v>20</v>
      </c>
      <c r="E166" t="s">
        <v>11</v>
      </c>
      <c r="F166">
        <v>512</v>
      </c>
      <c r="G166">
        <v>12</v>
      </c>
      <c r="H166" s="3">
        <v>45570</v>
      </c>
      <c r="I166" t="s">
        <v>48</v>
      </c>
      <c r="J166" t="str">
        <f t="shared" si="4"/>
        <v>Saturday</v>
      </c>
      <c r="K166" t="str">
        <f t="shared" si="5"/>
        <v>Weekend</v>
      </c>
      <c r="L166" s="7">
        <f>IF(Bangladesh_Appointment_Trends[[#This Row],[Appointment Status]]="No-Show",1,0)</f>
        <v>0</v>
      </c>
      <c r="Q166" s="7"/>
    </row>
    <row r="167" spans="1:17" x14ac:dyDescent="0.3">
      <c r="A167">
        <v>7</v>
      </c>
      <c r="B167" t="s">
        <v>8</v>
      </c>
      <c r="C167" t="s">
        <v>15</v>
      </c>
      <c r="D167" t="s">
        <v>16</v>
      </c>
      <c r="E167" t="s">
        <v>11</v>
      </c>
      <c r="F167">
        <v>766</v>
      </c>
      <c r="G167">
        <v>13</v>
      </c>
      <c r="H167" s="3">
        <v>45116</v>
      </c>
      <c r="I167" t="s">
        <v>48</v>
      </c>
      <c r="J167" t="str">
        <f t="shared" si="4"/>
        <v>Sunday</v>
      </c>
      <c r="K167" t="str">
        <f t="shared" si="5"/>
        <v>Weekday</v>
      </c>
      <c r="L167" s="7">
        <f>IF(Bangladesh_Appointment_Trends[[#This Row],[Appointment Status]]="No-Show",1,0)</f>
        <v>0</v>
      </c>
      <c r="Q167" s="7"/>
    </row>
    <row r="168" spans="1:17" x14ac:dyDescent="0.3">
      <c r="A168">
        <v>60</v>
      </c>
      <c r="B168" t="s">
        <v>12</v>
      </c>
      <c r="C168" t="s">
        <v>15</v>
      </c>
      <c r="D168" t="s">
        <v>14</v>
      </c>
      <c r="E168" t="s">
        <v>18</v>
      </c>
      <c r="F168">
        <v>1474</v>
      </c>
      <c r="G168">
        <v>13</v>
      </c>
      <c r="H168" s="3">
        <v>45318</v>
      </c>
      <c r="I168" t="s">
        <v>45</v>
      </c>
      <c r="J168" t="str">
        <f t="shared" si="4"/>
        <v>Saturday</v>
      </c>
      <c r="K168" t="str">
        <f t="shared" si="5"/>
        <v>Weekend</v>
      </c>
      <c r="L168" s="7">
        <f>IF(Bangladesh_Appointment_Trends[[#This Row],[Appointment Status]]="No-Show",1,0)</f>
        <v>0</v>
      </c>
      <c r="Q168" s="7"/>
    </row>
    <row r="169" spans="1:17" x14ac:dyDescent="0.3">
      <c r="A169">
        <v>63</v>
      </c>
      <c r="B169" t="s">
        <v>12</v>
      </c>
      <c r="C169" t="s">
        <v>9</v>
      </c>
      <c r="D169" t="s">
        <v>17</v>
      </c>
      <c r="E169" t="s">
        <v>11</v>
      </c>
      <c r="F169">
        <v>1144</v>
      </c>
      <c r="G169">
        <v>10</v>
      </c>
      <c r="H169" s="3">
        <v>45276</v>
      </c>
      <c r="I169" t="s">
        <v>45</v>
      </c>
      <c r="J169" t="str">
        <f t="shared" si="4"/>
        <v>Saturday</v>
      </c>
      <c r="K169" t="str">
        <f t="shared" si="5"/>
        <v>Weekend</v>
      </c>
      <c r="L169" s="7">
        <f>IF(Bangladesh_Appointment_Trends[[#This Row],[Appointment Status]]="No-Show",1,0)</f>
        <v>0</v>
      </c>
      <c r="Q169" s="7"/>
    </row>
    <row r="170" spans="1:17" x14ac:dyDescent="0.3">
      <c r="A170">
        <v>6</v>
      </c>
      <c r="B170" t="s">
        <v>8</v>
      </c>
      <c r="C170" t="s">
        <v>9</v>
      </c>
      <c r="D170" t="s">
        <v>10</v>
      </c>
      <c r="E170" t="s">
        <v>18</v>
      </c>
      <c r="F170">
        <v>1159</v>
      </c>
      <c r="G170">
        <v>4</v>
      </c>
      <c r="H170" s="3">
        <v>45475</v>
      </c>
      <c r="I170" t="s">
        <v>48</v>
      </c>
      <c r="J170" t="str">
        <f t="shared" si="4"/>
        <v>Tuesday</v>
      </c>
      <c r="K170" t="str">
        <f t="shared" si="5"/>
        <v>Weekday</v>
      </c>
      <c r="L170" s="7">
        <f>IF(Bangladesh_Appointment_Trends[[#This Row],[Appointment Status]]="No-Show",1,0)</f>
        <v>0</v>
      </c>
      <c r="Q170" s="7"/>
    </row>
    <row r="171" spans="1:17" x14ac:dyDescent="0.3">
      <c r="A171">
        <v>6</v>
      </c>
      <c r="B171" t="s">
        <v>8</v>
      </c>
      <c r="C171" t="s">
        <v>9</v>
      </c>
      <c r="D171" t="s">
        <v>14</v>
      </c>
      <c r="E171" t="s">
        <v>11</v>
      </c>
      <c r="F171">
        <v>1553</v>
      </c>
      <c r="G171">
        <v>9</v>
      </c>
      <c r="H171" s="3">
        <v>45352</v>
      </c>
      <c r="I171" t="s">
        <v>48</v>
      </c>
      <c r="J171" t="str">
        <f t="shared" si="4"/>
        <v>Friday</v>
      </c>
      <c r="K171" t="str">
        <f t="shared" si="5"/>
        <v>Weekend</v>
      </c>
      <c r="L171" s="7">
        <f>IF(Bangladesh_Appointment_Trends[[#This Row],[Appointment Status]]="No-Show",1,0)</f>
        <v>0</v>
      </c>
      <c r="Q171" s="7"/>
    </row>
    <row r="172" spans="1:17" x14ac:dyDescent="0.3">
      <c r="A172">
        <v>58</v>
      </c>
      <c r="B172" t="s">
        <v>12</v>
      </c>
      <c r="C172" t="s">
        <v>13</v>
      </c>
      <c r="D172" t="s">
        <v>24</v>
      </c>
      <c r="E172" t="s">
        <v>11</v>
      </c>
      <c r="F172">
        <v>1054</v>
      </c>
      <c r="G172">
        <v>2</v>
      </c>
      <c r="H172" s="3">
        <v>45543</v>
      </c>
      <c r="I172" t="s">
        <v>45</v>
      </c>
      <c r="J172" t="str">
        <f t="shared" si="4"/>
        <v>Sunday</v>
      </c>
      <c r="K172" t="str">
        <f t="shared" si="5"/>
        <v>Weekday</v>
      </c>
      <c r="L172" s="7">
        <f>IF(Bangladesh_Appointment_Trends[[#This Row],[Appointment Status]]="No-Show",1,0)</f>
        <v>0</v>
      </c>
      <c r="Q172" s="7"/>
    </row>
    <row r="173" spans="1:17" x14ac:dyDescent="0.3">
      <c r="A173">
        <v>5</v>
      </c>
      <c r="B173" t="s">
        <v>8</v>
      </c>
      <c r="C173" t="s">
        <v>15</v>
      </c>
      <c r="D173" t="s">
        <v>14</v>
      </c>
      <c r="E173" t="s">
        <v>18</v>
      </c>
      <c r="F173">
        <v>1633</v>
      </c>
      <c r="G173">
        <v>19</v>
      </c>
      <c r="H173" s="3">
        <v>45096</v>
      </c>
      <c r="I173" t="s">
        <v>48</v>
      </c>
      <c r="J173" t="str">
        <f t="shared" si="4"/>
        <v>Monday</v>
      </c>
      <c r="K173" t="str">
        <f t="shared" si="5"/>
        <v>Weekday</v>
      </c>
      <c r="L173" s="7">
        <f>IF(Bangladesh_Appointment_Trends[[#This Row],[Appointment Status]]="No-Show",1,0)</f>
        <v>0</v>
      </c>
      <c r="Q173" s="7"/>
    </row>
    <row r="174" spans="1:17" x14ac:dyDescent="0.3">
      <c r="A174">
        <v>23</v>
      </c>
      <c r="B174" t="s">
        <v>12</v>
      </c>
      <c r="C174" t="s">
        <v>15</v>
      </c>
      <c r="D174" t="s">
        <v>14</v>
      </c>
      <c r="E174" t="s">
        <v>11</v>
      </c>
      <c r="F174">
        <v>1450</v>
      </c>
      <c r="G174">
        <v>1</v>
      </c>
      <c r="H174" s="3">
        <v>45546</v>
      </c>
      <c r="I174" t="s">
        <v>47</v>
      </c>
      <c r="J174" t="str">
        <f t="shared" si="4"/>
        <v>Wednesday</v>
      </c>
      <c r="K174" t="str">
        <f t="shared" si="5"/>
        <v>Weekday</v>
      </c>
      <c r="L174" s="7">
        <f>IF(Bangladesh_Appointment_Trends[[#This Row],[Appointment Status]]="No-Show",1,0)</f>
        <v>0</v>
      </c>
      <c r="Q174" s="7"/>
    </row>
    <row r="175" spans="1:17" x14ac:dyDescent="0.3">
      <c r="A175">
        <v>6</v>
      </c>
      <c r="B175" t="s">
        <v>8</v>
      </c>
      <c r="C175" t="s">
        <v>15</v>
      </c>
      <c r="D175" t="s">
        <v>10</v>
      </c>
      <c r="E175" t="s">
        <v>11</v>
      </c>
      <c r="F175">
        <v>1161</v>
      </c>
      <c r="G175">
        <v>7</v>
      </c>
      <c r="H175" s="3">
        <v>45424</v>
      </c>
      <c r="I175" t="s">
        <v>48</v>
      </c>
      <c r="J175" t="str">
        <f t="shared" si="4"/>
        <v>Sunday</v>
      </c>
      <c r="K175" t="str">
        <f t="shared" si="5"/>
        <v>Weekday</v>
      </c>
      <c r="L175" s="7">
        <f>IF(Bangladesh_Appointment_Trends[[#This Row],[Appointment Status]]="No-Show",1,0)</f>
        <v>0</v>
      </c>
      <c r="Q175" s="7"/>
    </row>
    <row r="176" spans="1:17" x14ac:dyDescent="0.3">
      <c r="A176">
        <v>57</v>
      </c>
      <c r="B176" t="s">
        <v>12</v>
      </c>
      <c r="C176" t="s">
        <v>15</v>
      </c>
      <c r="D176" t="s">
        <v>24</v>
      </c>
      <c r="E176" t="s">
        <v>11</v>
      </c>
      <c r="F176">
        <v>1024</v>
      </c>
      <c r="G176">
        <v>17</v>
      </c>
      <c r="H176" s="3">
        <v>45485</v>
      </c>
      <c r="I176" t="s">
        <v>45</v>
      </c>
      <c r="J176" t="str">
        <f t="shared" si="4"/>
        <v>Friday</v>
      </c>
      <c r="K176" t="str">
        <f t="shared" si="5"/>
        <v>Weekend</v>
      </c>
      <c r="L176" s="7">
        <f>IF(Bangladesh_Appointment_Trends[[#This Row],[Appointment Status]]="No-Show",1,0)</f>
        <v>0</v>
      </c>
      <c r="Q176" s="7"/>
    </row>
    <row r="177" spans="1:17" x14ac:dyDescent="0.3">
      <c r="A177">
        <v>48</v>
      </c>
      <c r="B177" t="s">
        <v>12</v>
      </c>
      <c r="C177" t="s">
        <v>9</v>
      </c>
      <c r="D177" t="s">
        <v>16</v>
      </c>
      <c r="E177" t="s">
        <v>11</v>
      </c>
      <c r="F177">
        <v>944</v>
      </c>
      <c r="G177">
        <v>3</v>
      </c>
      <c r="H177" s="3">
        <v>45389</v>
      </c>
      <c r="I177" t="s">
        <v>46</v>
      </c>
      <c r="J177" t="str">
        <f t="shared" si="4"/>
        <v>Sunday</v>
      </c>
      <c r="K177" t="str">
        <f t="shared" si="5"/>
        <v>Weekday</v>
      </c>
      <c r="L177" s="7">
        <f>IF(Bangladesh_Appointment_Trends[[#This Row],[Appointment Status]]="No-Show",1,0)</f>
        <v>0</v>
      </c>
      <c r="Q177" s="7"/>
    </row>
    <row r="178" spans="1:17" x14ac:dyDescent="0.3">
      <c r="A178">
        <v>36</v>
      </c>
      <c r="B178" t="s">
        <v>12</v>
      </c>
      <c r="C178" t="s">
        <v>23</v>
      </c>
      <c r="D178" t="s">
        <v>16</v>
      </c>
      <c r="E178" t="s">
        <v>11</v>
      </c>
      <c r="F178">
        <v>729</v>
      </c>
      <c r="G178">
        <v>20</v>
      </c>
      <c r="H178" s="3">
        <v>45133</v>
      </c>
      <c r="I178" t="s">
        <v>46</v>
      </c>
      <c r="J178" t="str">
        <f t="shared" si="4"/>
        <v>Wednesday</v>
      </c>
      <c r="K178" t="str">
        <f t="shared" si="5"/>
        <v>Weekday</v>
      </c>
      <c r="L178" s="7">
        <f>IF(Bangladesh_Appointment_Trends[[#This Row],[Appointment Status]]="No-Show",1,0)</f>
        <v>0</v>
      </c>
      <c r="Q178" s="7"/>
    </row>
    <row r="179" spans="1:17" x14ac:dyDescent="0.3">
      <c r="A179">
        <v>74</v>
      </c>
      <c r="B179" t="s">
        <v>8</v>
      </c>
      <c r="C179" t="s">
        <v>9</v>
      </c>
      <c r="D179" t="s">
        <v>14</v>
      </c>
      <c r="E179" t="s">
        <v>11</v>
      </c>
      <c r="F179">
        <v>1521</v>
      </c>
      <c r="G179">
        <v>20</v>
      </c>
      <c r="H179" s="3">
        <v>45304</v>
      </c>
      <c r="I179" t="s">
        <v>45</v>
      </c>
      <c r="J179" t="str">
        <f t="shared" si="4"/>
        <v>Saturday</v>
      </c>
      <c r="K179" t="str">
        <f t="shared" si="5"/>
        <v>Weekend</v>
      </c>
      <c r="L179" s="7">
        <f>IF(Bangladesh_Appointment_Trends[[#This Row],[Appointment Status]]="No-Show",1,0)</f>
        <v>0</v>
      </c>
      <c r="Q179" s="7"/>
    </row>
    <row r="180" spans="1:17" x14ac:dyDescent="0.3">
      <c r="A180">
        <v>36</v>
      </c>
      <c r="B180" t="s">
        <v>8</v>
      </c>
      <c r="C180" t="s">
        <v>15</v>
      </c>
      <c r="D180" t="s">
        <v>24</v>
      </c>
      <c r="E180" t="s">
        <v>11</v>
      </c>
      <c r="F180">
        <v>1024</v>
      </c>
      <c r="G180">
        <v>3</v>
      </c>
      <c r="H180" s="3">
        <v>45134</v>
      </c>
      <c r="I180" t="s">
        <v>46</v>
      </c>
      <c r="J180" t="str">
        <f t="shared" si="4"/>
        <v>Thursday</v>
      </c>
      <c r="K180" t="str">
        <f t="shared" si="5"/>
        <v>Weekday</v>
      </c>
      <c r="L180" s="7">
        <f>IF(Bangladesh_Appointment_Trends[[#This Row],[Appointment Status]]="No-Show",1,0)</f>
        <v>0</v>
      </c>
      <c r="Q180" s="7"/>
    </row>
    <row r="181" spans="1:17" x14ac:dyDescent="0.3">
      <c r="A181">
        <v>72</v>
      </c>
      <c r="B181" t="s">
        <v>12</v>
      </c>
      <c r="C181" t="s">
        <v>9</v>
      </c>
      <c r="D181" t="s">
        <v>24</v>
      </c>
      <c r="E181" t="s">
        <v>11</v>
      </c>
      <c r="F181">
        <v>936</v>
      </c>
      <c r="G181">
        <v>3</v>
      </c>
      <c r="H181" s="3">
        <v>45512</v>
      </c>
      <c r="I181" t="s">
        <v>45</v>
      </c>
      <c r="J181" t="str">
        <f t="shared" si="4"/>
        <v>Thursday</v>
      </c>
      <c r="K181" t="str">
        <f t="shared" si="5"/>
        <v>Weekday</v>
      </c>
      <c r="L181" s="7">
        <f>IF(Bangladesh_Appointment_Trends[[#This Row],[Appointment Status]]="No-Show",1,0)</f>
        <v>0</v>
      </c>
      <c r="Q181" s="7"/>
    </row>
    <row r="182" spans="1:17" x14ac:dyDescent="0.3">
      <c r="A182">
        <v>59</v>
      </c>
      <c r="B182" t="s">
        <v>12</v>
      </c>
      <c r="C182" t="s">
        <v>15</v>
      </c>
      <c r="D182" t="s">
        <v>10</v>
      </c>
      <c r="E182" t="s">
        <v>11</v>
      </c>
      <c r="F182">
        <v>1069</v>
      </c>
      <c r="G182">
        <v>17</v>
      </c>
      <c r="H182" s="3">
        <v>45068</v>
      </c>
      <c r="I182" t="s">
        <v>45</v>
      </c>
      <c r="J182" t="str">
        <f t="shared" si="4"/>
        <v>Monday</v>
      </c>
      <c r="K182" t="str">
        <f t="shared" si="5"/>
        <v>Weekday</v>
      </c>
      <c r="L182" s="7">
        <f>IF(Bangladesh_Appointment_Trends[[#This Row],[Appointment Status]]="No-Show",1,0)</f>
        <v>0</v>
      </c>
      <c r="Q182" s="7"/>
    </row>
    <row r="183" spans="1:17" x14ac:dyDescent="0.3">
      <c r="A183">
        <v>79</v>
      </c>
      <c r="B183" t="s">
        <v>8</v>
      </c>
      <c r="C183" t="s">
        <v>13</v>
      </c>
      <c r="D183" t="s">
        <v>17</v>
      </c>
      <c r="E183" t="s">
        <v>18</v>
      </c>
      <c r="F183">
        <v>1223</v>
      </c>
      <c r="G183">
        <v>7</v>
      </c>
      <c r="H183" s="3">
        <v>44983</v>
      </c>
      <c r="I183" t="s">
        <v>45</v>
      </c>
      <c r="J183" t="str">
        <f t="shared" si="4"/>
        <v>Sunday</v>
      </c>
      <c r="K183" t="str">
        <f t="shared" si="5"/>
        <v>Weekday</v>
      </c>
      <c r="L183" s="7">
        <f>IF(Bangladesh_Appointment_Trends[[#This Row],[Appointment Status]]="No-Show",1,0)</f>
        <v>0</v>
      </c>
      <c r="Q183" s="7"/>
    </row>
    <row r="184" spans="1:17" x14ac:dyDescent="0.3">
      <c r="A184">
        <v>60</v>
      </c>
      <c r="B184" t="s">
        <v>12</v>
      </c>
      <c r="C184" t="s">
        <v>15</v>
      </c>
      <c r="D184" t="s">
        <v>16</v>
      </c>
      <c r="E184" t="s">
        <v>22</v>
      </c>
      <c r="F184">
        <v>734</v>
      </c>
      <c r="G184">
        <v>14</v>
      </c>
      <c r="H184" s="3">
        <v>45421</v>
      </c>
      <c r="I184" t="s">
        <v>45</v>
      </c>
      <c r="J184" t="str">
        <f t="shared" si="4"/>
        <v>Thursday</v>
      </c>
      <c r="K184" t="str">
        <f t="shared" si="5"/>
        <v>Weekday</v>
      </c>
      <c r="L184" s="7">
        <f>IF(Bangladesh_Appointment_Trends[[#This Row],[Appointment Status]]="No-Show",1,0)</f>
        <v>1</v>
      </c>
      <c r="Q184" s="7"/>
    </row>
    <row r="185" spans="1:17" x14ac:dyDescent="0.3">
      <c r="A185">
        <v>21</v>
      </c>
      <c r="B185" t="s">
        <v>12</v>
      </c>
      <c r="C185" t="s">
        <v>19</v>
      </c>
      <c r="D185" t="s">
        <v>10</v>
      </c>
      <c r="E185" t="s">
        <v>11</v>
      </c>
      <c r="F185">
        <v>986</v>
      </c>
      <c r="G185">
        <v>17</v>
      </c>
      <c r="H185" s="3">
        <v>45450</v>
      </c>
      <c r="I185" t="s">
        <v>47</v>
      </c>
      <c r="J185" t="str">
        <f t="shared" si="4"/>
        <v>Friday</v>
      </c>
      <c r="K185" t="str">
        <f t="shared" si="5"/>
        <v>Weekend</v>
      </c>
      <c r="L185" s="7">
        <f>IF(Bangladesh_Appointment_Trends[[#This Row],[Appointment Status]]="No-Show",1,0)</f>
        <v>0</v>
      </c>
      <c r="Q185" s="7"/>
    </row>
    <row r="186" spans="1:17" x14ac:dyDescent="0.3">
      <c r="A186">
        <v>42</v>
      </c>
      <c r="B186" t="s">
        <v>8</v>
      </c>
      <c r="C186" t="s">
        <v>26</v>
      </c>
      <c r="D186" t="s">
        <v>20</v>
      </c>
      <c r="E186" t="s">
        <v>18</v>
      </c>
      <c r="F186">
        <v>533</v>
      </c>
      <c r="G186">
        <v>18</v>
      </c>
      <c r="H186" s="3">
        <v>45286</v>
      </c>
      <c r="I186" t="s">
        <v>46</v>
      </c>
      <c r="J186" t="str">
        <f t="shared" si="4"/>
        <v>Tuesday</v>
      </c>
      <c r="K186" t="str">
        <f t="shared" si="5"/>
        <v>Weekday</v>
      </c>
      <c r="L186" s="7">
        <f>IF(Bangladesh_Appointment_Trends[[#This Row],[Appointment Status]]="No-Show",1,0)</f>
        <v>0</v>
      </c>
      <c r="Q186" s="7"/>
    </row>
    <row r="187" spans="1:17" x14ac:dyDescent="0.3">
      <c r="A187">
        <v>28</v>
      </c>
      <c r="B187" t="s">
        <v>12</v>
      </c>
      <c r="C187" t="s">
        <v>9</v>
      </c>
      <c r="D187" t="s">
        <v>16</v>
      </c>
      <c r="E187" t="s">
        <v>11</v>
      </c>
      <c r="F187">
        <v>895</v>
      </c>
      <c r="G187">
        <v>13</v>
      </c>
      <c r="H187" s="3">
        <v>45343</v>
      </c>
      <c r="I187" t="s">
        <v>47</v>
      </c>
      <c r="J187" t="str">
        <f t="shared" si="4"/>
        <v>Wednesday</v>
      </c>
      <c r="K187" t="str">
        <f t="shared" si="5"/>
        <v>Weekday</v>
      </c>
      <c r="L187" s="7">
        <f>IF(Bangladesh_Appointment_Trends[[#This Row],[Appointment Status]]="No-Show",1,0)</f>
        <v>0</v>
      </c>
      <c r="Q187" s="7"/>
    </row>
    <row r="188" spans="1:17" x14ac:dyDescent="0.3">
      <c r="A188">
        <v>73</v>
      </c>
      <c r="B188" t="s">
        <v>8</v>
      </c>
      <c r="C188" t="s">
        <v>21</v>
      </c>
      <c r="D188" t="s">
        <v>10</v>
      </c>
      <c r="E188" t="s">
        <v>11</v>
      </c>
      <c r="F188">
        <v>1173</v>
      </c>
      <c r="G188">
        <v>20</v>
      </c>
      <c r="H188" s="3">
        <v>45467</v>
      </c>
      <c r="I188" t="s">
        <v>45</v>
      </c>
      <c r="J188" t="str">
        <f t="shared" si="4"/>
        <v>Monday</v>
      </c>
      <c r="K188" t="str">
        <f t="shared" si="5"/>
        <v>Weekday</v>
      </c>
      <c r="L188" s="7">
        <f>IF(Bangladesh_Appointment_Trends[[#This Row],[Appointment Status]]="No-Show",1,0)</f>
        <v>0</v>
      </c>
      <c r="Q188" s="7"/>
    </row>
    <row r="189" spans="1:17" x14ac:dyDescent="0.3">
      <c r="A189">
        <v>74</v>
      </c>
      <c r="B189" t="s">
        <v>8</v>
      </c>
      <c r="C189" t="s">
        <v>15</v>
      </c>
      <c r="D189" t="s">
        <v>16</v>
      </c>
      <c r="E189" t="s">
        <v>11</v>
      </c>
      <c r="F189">
        <v>900</v>
      </c>
      <c r="G189">
        <v>20</v>
      </c>
      <c r="H189" s="3">
        <v>45458</v>
      </c>
      <c r="I189" t="s">
        <v>45</v>
      </c>
      <c r="J189" t="str">
        <f t="shared" si="4"/>
        <v>Saturday</v>
      </c>
      <c r="K189" t="str">
        <f t="shared" si="5"/>
        <v>Weekend</v>
      </c>
      <c r="L189" s="7">
        <f>IF(Bangladesh_Appointment_Trends[[#This Row],[Appointment Status]]="No-Show",1,0)</f>
        <v>0</v>
      </c>
      <c r="Q189" s="7"/>
    </row>
    <row r="190" spans="1:17" x14ac:dyDescent="0.3">
      <c r="A190">
        <v>15</v>
      </c>
      <c r="B190" t="s">
        <v>12</v>
      </c>
      <c r="C190" t="s">
        <v>23</v>
      </c>
      <c r="D190" t="s">
        <v>17</v>
      </c>
      <c r="E190" t="s">
        <v>18</v>
      </c>
      <c r="F190">
        <v>1384</v>
      </c>
      <c r="G190">
        <v>18</v>
      </c>
      <c r="H190" s="3">
        <v>44928</v>
      </c>
      <c r="I190" t="s">
        <v>48</v>
      </c>
      <c r="J190" t="str">
        <f t="shared" si="4"/>
        <v>Monday</v>
      </c>
      <c r="K190" t="str">
        <f t="shared" si="5"/>
        <v>Weekday</v>
      </c>
      <c r="L190" s="7">
        <f>IF(Bangladesh_Appointment_Trends[[#This Row],[Appointment Status]]="No-Show",1,0)</f>
        <v>0</v>
      </c>
      <c r="Q190" s="7"/>
    </row>
    <row r="191" spans="1:17" x14ac:dyDescent="0.3">
      <c r="A191">
        <v>20</v>
      </c>
      <c r="B191" t="s">
        <v>12</v>
      </c>
      <c r="C191" t="s">
        <v>9</v>
      </c>
      <c r="D191" t="s">
        <v>20</v>
      </c>
      <c r="E191" t="s">
        <v>11</v>
      </c>
      <c r="F191">
        <v>476</v>
      </c>
      <c r="G191">
        <v>4</v>
      </c>
      <c r="H191" s="3">
        <v>45314</v>
      </c>
      <c r="I191" t="s">
        <v>47</v>
      </c>
      <c r="J191" t="str">
        <f t="shared" si="4"/>
        <v>Tuesday</v>
      </c>
      <c r="K191" t="str">
        <f t="shared" si="5"/>
        <v>Weekday</v>
      </c>
      <c r="L191" s="7">
        <f>IF(Bangladesh_Appointment_Trends[[#This Row],[Appointment Status]]="No-Show",1,0)</f>
        <v>0</v>
      </c>
      <c r="Q191" s="7"/>
    </row>
    <row r="192" spans="1:17" x14ac:dyDescent="0.3">
      <c r="A192">
        <v>77</v>
      </c>
      <c r="B192" t="s">
        <v>12</v>
      </c>
      <c r="C192" t="s">
        <v>23</v>
      </c>
      <c r="D192" t="s">
        <v>17</v>
      </c>
      <c r="E192" t="s">
        <v>11</v>
      </c>
      <c r="F192">
        <v>1158</v>
      </c>
      <c r="G192">
        <v>1</v>
      </c>
      <c r="H192" s="3">
        <v>45616</v>
      </c>
      <c r="I192" t="s">
        <v>45</v>
      </c>
      <c r="J192" t="str">
        <f t="shared" si="4"/>
        <v>Wednesday</v>
      </c>
      <c r="K192" t="str">
        <f t="shared" si="5"/>
        <v>Weekday</v>
      </c>
      <c r="L192" s="7">
        <f>IF(Bangladesh_Appointment_Trends[[#This Row],[Appointment Status]]="No-Show",1,0)</f>
        <v>0</v>
      </c>
      <c r="Q192" s="7"/>
    </row>
    <row r="193" spans="1:17" x14ac:dyDescent="0.3">
      <c r="A193">
        <v>63</v>
      </c>
      <c r="B193" t="s">
        <v>8</v>
      </c>
      <c r="C193" t="s">
        <v>15</v>
      </c>
      <c r="D193" t="s">
        <v>20</v>
      </c>
      <c r="E193" t="s">
        <v>11</v>
      </c>
      <c r="F193">
        <v>525</v>
      </c>
      <c r="G193">
        <v>18</v>
      </c>
      <c r="H193" s="3">
        <v>45590</v>
      </c>
      <c r="I193" t="s">
        <v>45</v>
      </c>
      <c r="J193" t="str">
        <f t="shared" si="4"/>
        <v>Friday</v>
      </c>
      <c r="K193" t="str">
        <f t="shared" si="5"/>
        <v>Weekend</v>
      </c>
      <c r="L193" s="7">
        <f>IF(Bangladesh_Appointment_Trends[[#This Row],[Appointment Status]]="No-Show",1,0)</f>
        <v>0</v>
      </c>
      <c r="Q193" s="7"/>
    </row>
    <row r="194" spans="1:17" x14ac:dyDescent="0.3">
      <c r="A194">
        <v>74</v>
      </c>
      <c r="B194" t="s">
        <v>8</v>
      </c>
      <c r="C194" t="s">
        <v>15</v>
      </c>
      <c r="D194" t="s">
        <v>14</v>
      </c>
      <c r="E194" t="s">
        <v>18</v>
      </c>
      <c r="F194">
        <v>1508</v>
      </c>
      <c r="G194">
        <v>1</v>
      </c>
      <c r="H194" s="3">
        <v>44997</v>
      </c>
      <c r="I194" t="s">
        <v>45</v>
      </c>
      <c r="J194" t="str">
        <f t="shared" ref="J194:J257" si="6">TEXT(H194,"dddd")</f>
        <v>Sunday</v>
      </c>
      <c r="K194" t="str">
        <f t="shared" ref="K194:K257" si="7">IF(WEEKDAY(H194,1)&gt;5,"Weekend","Weekday")</f>
        <v>Weekday</v>
      </c>
      <c r="L194" s="7">
        <f>IF(Bangladesh_Appointment_Trends[[#This Row],[Appointment Status]]="No-Show",1,0)</f>
        <v>0</v>
      </c>
      <c r="Q194" s="7"/>
    </row>
    <row r="195" spans="1:17" x14ac:dyDescent="0.3">
      <c r="A195">
        <v>7</v>
      </c>
      <c r="B195" t="s">
        <v>8</v>
      </c>
      <c r="C195" t="s">
        <v>15</v>
      </c>
      <c r="D195" t="s">
        <v>10</v>
      </c>
      <c r="E195" t="s">
        <v>18</v>
      </c>
      <c r="F195">
        <v>1123</v>
      </c>
      <c r="G195">
        <v>13</v>
      </c>
      <c r="H195" s="3">
        <v>45566</v>
      </c>
      <c r="I195" t="s">
        <v>48</v>
      </c>
      <c r="J195" t="str">
        <f t="shared" si="6"/>
        <v>Tuesday</v>
      </c>
      <c r="K195" t="str">
        <f t="shared" si="7"/>
        <v>Weekday</v>
      </c>
      <c r="L195" s="7">
        <f>IF(Bangladesh_Appointment_Trends[[#This Row],[Appointment Status]]="No-Show",1,0)</f>
        <v>0</v>
      </c>
      <c r="Q195" s="7"/>
    </row>
    <row r="196" spans="1:17" x14ac:dyDescent="0.3">
      <c r="A196">
        <v>24</v>
      </c>
      <c r="B196" t="s">
        <v>12</v>
      </c>
      <c r="C196" t="s">
        <v>23</v>
      </c>
      <c r="D196" t="s">
        <v>20</v>
      </c>
      <c r="E196" t="s">
        <v>18</v>
      </c>
      <c r="F196">
        <v>677</v>
      </c>
      <c r="G196">
        <v>20</v>
      </c>
      <c r="H196" s="3">
        <v>45222</v>
      </c>
      <c r="I196" t="s">
        <v>47</v>
      </c>
      <c r="J196" t="str">
        <f t="shared" si="6"/>
        <v>Monday</v>
      </c>
      <c r="K196" t="str">
        <f t="shared" si="7"/>
        <v>Weekday</v>
      </c>
      <c r="L196" s="7">
        <f>IF(Bangladesh_Appointment_Trends[[#This Row],[Appointment Status]]="No-Show",1,0)</f>
        <v>0</v>
      </c>
      <c r="Q196" s="7"/>
    </row>
    <row r="197" spans="1:17" x14ac:dyDescent="0.3">
      <c r="A197">
        <v>63</v>
      </c>
      <c r="B197" t="s">
        <v>8</v>
      </c>
      <c r="C197" t="s">
        <v>25</v>
      </c>
      <c r="D197" t="s">
        <v>17</v>
      </c>
      <c r="E197" t="s">
        <v>11</v>
      </c>
      <c r="F197">
        <v>1167</v>
      </c>
      <c r="G197">
        <v>20</v>
      </c>
      <c r="H197" s="3">
        <v>45648</v>
      </c>
      <c r="I197" t="s">
        <v>45</v>
      </c>
      <c r="J197" t="str">
        <f t="shared" si="6"/>
        <v>Sunday</v>
      </c>
      <c r="K197" t="str">
        <f t="shared" si="7"/>
        <v>Weekday</v>
      </c>
      <c r="L197" s="7">
        <f>IF(Bangladesh_Appointment_Trends[[#This Row],[Appointment Status]]="No-Show",1,0)</f>
        <v>0</v>
      </c>
      <c r="Q197" s="7"/>
    </row>
    <row r="198" spans="1:17" x14ac:dyDescent="0.3">
      <c r="A198">
        <v>40</v>
      </c>
      <c r="B198" t="s">
        <v>8</v>
      </c>
      <c r="C198" t="s">
        <v>23</v>
      </c>
      <c r="D198" t="s">
        <v>16</v>
      </c>
      <c r="E198" t="s">
        <v>11</v>
      </c>
      <c r="F198">
        <v>768</v>
      </c>
      <c r="G198">
        <v>10</v>
      </c>
      <c r="H198" s="3">
        <v>44993</v>
      </c>
      <c r="I198" t="s">
        <v>46</v>
      </c>
      <c r="J198" t="str">
        <f t="shared" si="6"/>
        <v>Wednesday</v>
      </c>
      <c r="K198" t="str">
        <f t="shared" si="7"/>
        <v>Weekday</v>
      </c>
      <c r="L198" s="7">
        <f>IF(Bangladesh_Appointment_Trends[[#This Row],[Appointment Status]]="No-Show",1,0)</f>
        <v>0</v>
      </c>
      <c r="Q198" s="7"/>
    </row>
    <row r="199" spans="1:17" x14ac:dyDescent="0.3">
      <c r="A199">
        <v>23</v>
      </c>
      <c r="B199" t="s">
        <v>8</v>
      </c>
      <c r="C199" t="s">
        <v>15</v>
      </c>
      <c r="D199" t="s">
        <v>20</v>
      </c>
      <c r="E199" t="s">
        <v>11</v>
      </c>
      <c r="F199">
        <v>564</v>
      </c>
      <c r="G199">
        <v>11</v>
      </c>
      <c r="H199" s="3">
        <v>45387</v>
      </c>
      <c r="I199" t="s">
        <v>47</v>
      </c>
      <c r="J199" t="str">
        <f t="shared" si="6"/>
        <v>Friday</v>
      </c>
      <c r="K199" t="str">
        <f t="shared" si="7"/>
        <v>Weekend</v>
      </c>
      <c r="L199" s="7">
        <f>IF(Bangladesh_Appointment_Trends[[#This Row],[Appointment Status]]="No-Show",1,0)</f>
        <v>0</v>
      </c>
      <c r="Q199" s="7"/>
    </row>
    <row r="200" spans="1:17" x14ac:dyDescent="0.3">
      <c r="A200">
        <v>71</v>
      </c>
      <c r="B200" t="s">
        <v>8</v>
      </c>
      <c r="C200" t="s">
        <v>13</v>
      </c>
      <c r="D200" t="s">
        <v>10</v>
      </c>
      <c r="E200" t="s">
        <v>11</v>
      </c>
      <c r="F200">
        <v>1061</v>
      </c>
      <c r="G200">
        <v>9</v>
      </c>
      <c r="H200" s="3">
        <v>45337</v>
      </c>
      <c r="I200" t="s">
        <v>45</v>
      </c>
      <c r="J200" t="str">
        <f t="shared" si="6"/>
        <v>Thursday</v>
      </c>
      <c r="K200" t="str">
        <f t="shared" si="7"/>
        <v>Weekday</v>
      </c>
      <c r="L200" s="7">
        <f>IF(Bangladesh_Appointment_Trends[[#This Row],[Appointment Status]]="No-Show",1,0)</f>
        <v>0</v>
      </c>
      <c r="Q200" s="7"/>
    </row>
    <row r="201" spans="1:17" x14ac:dyDescent="0.3">
      <c r="A201">
        <v>23</v>
      </c>
      <c r="B201" t="s">
        <v>8</v>
      </c>
      <c r="C201" t="s">
        <v>9</v>
      </c>
      <c r="D201" t="s">
        <v>20</v>
      </c>
      <c r="E201" t="s">
        <v>11</v>
      </c>
      <c r="F201">
        <v>441</v>
      </c>
      <c r="G201">
        <v>9</v>
      </c>
      <c r="H201" s="3">
        <v>45170</v>
      </c>
      <c r="I201" t="s">
        <v>47</v>
      </c>
      <c r="J201" t="str">
        <f t="shared" si="6"/>
        <v>Friday</v>
      </c>
      <c r="K201" t="str">
        <f t="shared" si="7"/>
        <v>Weekend</v>
      </c>
      <c r="L201" s="7">
        <f>IF(Bangladesh_Appointment_Trends[[#This Row],[Appointment Status]]="No-Show",1,0)</f>
        <v>0</v>
      </c>
      <c r="Q201" s="7"/>
    </row>
    <row r="202" spans="1:17" x14ac:dyDescent="0.3">
      <c r="A202">
        <v>24</v>
      </c>
      <c r="B202" t="s">
        <v>8</v>
      </c>
      <c r="C202" t="s">
        <v>9</v>
      </c>
      <c r="D202" t="s">
        <v>24</v>
      </c>
      <c r="E202" t="s">
        <v>11</v>
      </c>
      <c r="F202">
        <v>1008</v>
      </c>
      <c r="G202">
        <v>5</v>
      </c>
      <c r="H202" s="3">
        <v>45200</v>
      </c>
      <c r="I202" t="s">
        <v>47</v>
      </c>
      <c r="J202" t="str">
        <f t="shared" si="6"/>
        <v>Sunday</v>
      </c>
      <c r="K202" t="str">
        <f t="shared" si="7"/>
        <v>Weekday</v>
      </c>
      <c r="L202" s="7">
        <f>IF(Bangladesh_Appointment_Trends[[#This Row],[Appointment Status]]="No-Show",1,0)</f>
        <v>0</v>
      </c>
      <c r="Q202" s="7"/>
    </row>
    <row r="203" spans="1:17" x14ac:dyDescent="0.3">
      <c r="A203">
        <v>75</v>
      </c>
      <c r="B203" t="s">
        <v>8</v>
      </c>
      <c r="C203" t="s">
        <v>15</v>
      </c>
      <c r="D203" t="s">
        <v>16</v>
      </c>
      <c r="E203" t="s">
        <v>22</v>
      </c>
      <c r="F203">
        <v>750</v>
      </c>
      <c r="G203">
        <v>1</v>
      </c>
      <c r="H203" s="3">
        <v>45285</v>
      </c>
      <c r="I203" t="s">
        <v>45</v>
      </c>
      <c r="J203" t="str">
        <f t="shared" si="6"/>
        <v>Monday</v>
      </c>
      <c r="K203" t="str">
        <f t="shared" si="7"/>
        <v>Weekday</v>
      </c>
      <c r="L203" s="7">
        <f>IF(Bangladesh_Appointment_Trends[[#This Row],[Appointment Status]]="No-Show",1,0)</f>
        <v>1</v>
      </c>
      <c r="Q203" s="7"/>
    </row>
    <row r="204" spans="1:17" x14ac:dyDescent="0.3">
      <c r="A204">
        <v>56</v>
      </c>
      <c r="B204" t="s">
        <v>12</v>
      </c>
      <c r="C204" t="s">
        <v>23</v>
      </c>
      <c r="D204" t="s">
        <v>10</v>
      </c>
      <c r="E204" t="s">
        <v>18</v>
      </c>
      <c r="F204">
        <v>1149</v>
      </c>
      <c r="G204">
        <v>17</v>
      </c>
      <c r="H204" s="3">
        <v>45606</v>
      </c>
      <c r="I204" t="s">
        <v>45</v>
      </c>
      <c r="J204" t="str">
        <f t="shared" si="6"/>
        <v>Sunday</v>
      </c>
      <c r="K204" t="str">
        <f t="shared" si="7"/>
        <v>Weekday</v>
      </c>
      <c r="L204" s="7">
        <f>IF(Bangladesh_Appointment_Trends[[#This Row],[Appointment Status]]="No-Show",1,0)</f>
        <v>0</v>
      </c>
      <c r="Q204" s="7"/>
    </row>
    <row r="205" spans="1:17" x14ac:dyDescent="0.3">
      <c r="A205">
        <v>37</v>
      </c>
      <c r="B205" t="s">
        <v>12</v>
      </c>
      <c r="C205" t="s">
        <v>15</v>
      </c>
      <c r="D205" t="s">
        <v>10</v>
      </c>
      <c r="E205" t="s">
        <v>18</v>
      </c>
      <c r="F205">
        <v>920</v>
      </c>
      <c r="G205">
        <v>2</v>
      </c>
      <c r="H205" s="3">
        <v>45495</v>
      </c>
      <c r="I205" t="s">
        <v>46</v>
      </c>
      <c r="J205" t="str">
        <f t="shared" si="6"/>
        <v>Monday</v>
      </c>
      <c r="K205" t="str">
        <f t="shared" si="7"/>
        <v>Weekday</v>
      </c>
      <c r="L205" s="7">
        <f>IF(Bangladesh_Appointment_Trends[[#This Row],[Appointment Status]]="No-Show",1,0)</f>
        <v>0</v>
      </c>
      <c r="Q205" s="7"/>
    </row>
    <row r="206" spans="1:17" x14ac:dyDescent="0.3">
      <c r="A206">
        <v>44</v>
      </c>
      <c r="B206" t="s">
        <v>8</v>
      </c>
      <c r="C206" t="s">
        <v>19</v>
      </c>
      <c r="D206" t="s">
        <v>14</v>
      </c>
      <c r="E206" t="s">
        <v>22</v>
      </c>
      <c r="F206">
        <v>1699</v>
      </c>
      <c r="G206">
        <v>13</v>
      </c>
      <c r="H206" s="3">
        <v>45483</v>
      </c>
      <c r="I206" t="s">
        <v>46</v>
      </c>
      <c r="J206" t="str">
        <f t="shared" si="6"/>
        <v>Wednesday</v>
      </c>
      <c r="K206" t="str">
        <f t="shared" si="7"/>
        <v>Weekday</v>
      </c>
      <c r="L206" s="7">
        <f>IF(Bangladesh_Appointment_Trends[[#This Row],[Appointment Status]]="No-Show",1,0)</f>
        <v>1</v>
      </c>
      <c r="Q206" s="7"/>
    </row>
    <row r="207" spans="1:17" x14ac:dyDescent="0.3">
      <c r="A207">
        <v>43</v>
      </c>
      <c r="B207" t="s">
        <v>12</v>
      </c>
      <c r="C207" t="s">
        <v>25</v>
      </c>
      <c r="D207" t="s">
        <v>17</v>
      </c>
      <c r="E207" t="s">
        <v>11</v>
      </c>
      <c r="F207">
        <v>1238</v>
      </c>
      <c r="G207">
        <v>9</v>
      </c>
      <c r="H207" s="3">
        <v>45464</v>
      </c>
      <c r="I207" t="s">
        <v>46</v>
      </c>
      <c r="J207" t="str">
        <f t="shared" si="6"/>
        <v>Friday</v>
      </c>
      <c r="K207" t="str">
        <f t="shared" si="7"/>
        <v>Weekend</v>
      </c>
      <c r="L207" s="7">
        <f>IF(Bangladesh_Appointment_Trends[[#This Row],[Appointment Status]]="No-Show",1,0)</f>
        <v>0</v>
      </c>
      <c r="Q207" s="7"/>
    </row>
    <row r="208" spans="1:17" x14ac:dyDescent="0.3">
      <c r="A208">
        <v>5</v>
      </c>
      <c r="B208" t="s">
        <v>8</v>
      </c>
      <c r="C208" t="s">
        <v>15</v>
      </c>
      <c r="D208" t="s">
        <v>14</v>
      </c>
      <c r="E208" t="s">
        <v>11</v>
      </c>
      <c r="F208">
        <v>1491</v>
      </c>
      <c r="G208">
        <v>4</v>
      </c>
      <c r="H208" s="3">
        <v>45000</v>
      </c>
      <c r="I208" t="s">
        <v>48</v>
      </c>
      <c r="J208" t="str">
        <f t="shared" si="6"/>
        <v>Wednesday</v>
      </c>
      <c r="K208" t="str">
        <f t="shared" si="7"/>
        <v>Weekday</v>
      </c>
      <c r="L208" s="7">
        <f>IF(Bangladesh_Appointment_Trends[[#This Row],[Appointment Status]]="No-Show",1,0)</f>
        <v>0</v>
      </c>
      <c r="Q208" s="7"/>
    </row>
    <row r="209" spans="1:17" x14ac:dyDescent="0.3">
      <c r="A209">
        <v>15</v>
      </c>
      <c r="B209" t="s">
        <v>8</v>
      </c>
      <c r="C209" t="s">
        <v>9</v>
      </c>
      <c r="D209" t="s">
        <v>10</v>
      </c>
      <c r="E209" t="s">
        <v>22</v>
      </c>
      <c r="F209">
        <v>1179</v>
      </c>
      <c r="G209">
        <v>5</v>
      </c>
      <c r="H209" s="3">
        <v>45460</v>
      </c>
      <c r="I209" t="s">
        <v>48</v>
      </c>
      <c r="J209" t="str">
        <f t="shared" si="6"/>
        <v>Monday</v>
      </c>
      <c r="K209" t="str">
        <f t="shared" si="7"/>
        <v>Weekday</v>
      </c>
      <c r="L209" s="7">
        <f>IF(Bangladesh_Appointment_Trends[[#This Row],[Appointment Status]]="No-Show",1,0)</f>
        <v>1</v>
      </c>
      <c r="Q209" s="7"/>
    </row>
    <row r="210" spans="1:17" x14ac:dyDescent="0.3">
      <c r="A210">
        <v>61</v>
      </c>
      <c r="B210" t="s">
        <v>8</v>
      </c>
      <c r="C210" t="s">
        <v>15</v>
      </c>
      <c r="D210" t="s">
        <v>16</v>
      </c>
      <c r="E210" t="s">
        <v>11</v>
      </c>
      <c r="F210">
        <v>824</v>
      </c>
      <c r="G210">
        <v>11</v>
      </c>
      <c r="H210" s="3">
        <v>45648</v>
      </c>
      <c r="I210" t="s">
        <v>45</v>
      </c>
      <c r="J210" t="str">
        <f t="shared" si="6"/>
        <v>Sunday</v>
      </c>
      <c r="K210" t="str">
        <f t="shared" si="7"/>
        <v>Weekday</v>
      </c>
      <c r="L210" s="7">
        <f>IF(Bangladesh_Appointment_Trends[[#This Row],[Appointment Status]]="No-Show",1,0)</f>
        <v>0</v>
      </c>
      <c r="Q210" s="7"/>
    </row>
    <row r="211" spans="1:17" x14ac:dyDescent="0.3">
      <c r="A211">
        <v>54</v>
      </c>
      <c r="B211" t="s">
        <v>12</v>
      </c>
      <c r="C211" t="s">
        <v>15</v>
      </c>
      <c r="D211" t="s">
        <v>20</v>
      </c>
      <c r="E211" t="s">
        <v>18</v>
      </c>
      <c r="F211">
        <v>510</v>
      </c>
      <c r="G211">
        <v>19</v>
      </c>
      <c r="H211" s="3">
        <v>45510</v>
      </c>
      <c r="I211" t="s">
        <v>46</v>
      </c>
      <c r="J211" t="str">
        <f t="shared" si="6"/>
        <v>Tuesday</v>
      </c>
      <c r="K211" t="str">
        <f t="shared" si="7"/>
        <v>Weekday</v>
      </c>
      <c r="L211" s="7">
        <f>IF(Bangladesh_Appointment_Trends[[#This Row],[Appointment Status]]="No-Show",1,0)</f>
        <v>0</v>
      </c>
      <c r="Q211" s="7"/>
    </row>
    <row r="212" spans="1:17" x14ac:dyDescent="0.3">
      <c r="A212">
        <v>27</v>
      </c>
      <c r="B212" t="s">
        <v>12</v>
      </c>
      <c r="C212" t="s">
        <v>9</v>
      </c>
      <c r="D212" t="s">
        <v>20</v>
      </c>
      <c r="E212" t="s">
        <v>11</v>
      </c>
      <c r="F212">
        <v>538</v>
      </c>
      <c r="G212">
        <v>3</v>
      </c>
      <c r="H212" s="3">
        <v>45507</v>
      </c>
      <c r="I212" t="s">
        <v>47</v>
      </c>
      <c r="J212" t="str">
        <f t="shared" si="6"/>
        <v>Saturday</v>
      </c>
      <c r="K212" t="str">
        <f t="shared" si="7"/>
        <v>Weekend</v>
      </c>
      <c r="L212" s="7">
        <f>IF(Bangladesh_Appointment_Trends[[#This Row],[Appointment Status]]="No-Show",1,0)</f>
        <v>0</v>
      </c>
      <c r="Q212" s="7"/>
    </row>
    <row r="213" spans="1:17" x14ac:dyDescent="0.3">
      <c r="A213">
        <v>35</v>
      </c>
      <c r="B213" t="s">
        <v>12</v>
      </c>
      <c r="C213" t="s">
        <v>9</v>
      </c>
      <c r="D213" t="s">
        <v>16</v>
      </c>
      <c r="E213" t="s">
        <v>11</v>
      </c>
      <c r="F213">
        <v>972</v>
      </c>
      <c r="G213">
        <v>12</v>
      </c>
      <c r="H213" s="3">
        <v>45609</v>
      </c>
      <c r="I213" t="s">
        <v>47</v>
      </c>
      <c r="J213" t="str">
        <f t="shared" si="6"/>
        <v>Wednesday</v>
      </c>
      <c r="K213" t="str">
        <f t="shared" si="7"/>
        <v>Weekday</v>
      </c>
      <c r="L213" s="7">
        <f>IF(Bangladesh_Appointment_Trends[[#This Row],[Appointment Status]]="No-Show",1,0)</f>
        <v>0</v>
      </c>
      <c r="Q213" s="7"/>
    </row>
    <row r="214" spans="1:17" x14ac:dyDescent="0.3">
      <c r="A214">
        <v>46</v>
      </c>
      <c r="B214" t="s">
        <v>8</v>
      </c>
      <c r="C214" t="s">
        <v>19</v>
      </c>
      <c r="D214" t="s">
        <v>10</v>
      </c>
      <c r="E214" t="s">
        <v>11</v>
      </c>
      <c r="F214">
        <v>998</v>
      </c>
      <c r="G214">
        <v>19</v>
      </c>
      <c r="H214" s="3">
        <v>45551</v>
      </c>
      <c r="I214" t="s">
        <v>46</v>
      </c>
      <c r="J214" t="str">
        <f t="shared" si="6"/>
        <v>Monday</v>
      </c>
      <c r="K214" t="str">
        <f t="shared" si="7"/>
        <v>Weekday</v>
      </c>
      <c r="L214" s="7">
        <f>IF(Bangladesh_Appointment_Trends[[#This Row],[Appointment Status]]="No-Show",1,0)</f>
        <v>0</v>
      </c>
      <c r="Q214" s="7"/>
    </row>
    <row r="215" spans="1:17" x14ac:dyDescent="0.3">
      <c r="A215">
        <v>11</v>
      </c>
      <c r="B215" t="s">
        <v>8</v>
      </c>
      <c r="C215" t="s">
        <v>9</v>
      </c>
      <c r="D215" t="s">
        <v>20</v>
      </c>
      <c r="E215" t="s">
        <v>22</v>
      </c>
      <c r="F215">
        <v>651</v>
      </c>
      <c r="G215">
        <v>19</v>
      </c>
      <c r="H215" s="3">
        <v>45299</v>
      </c>
      <c r="I215" t="s">
        <v>48</v>
      </c>
      <c r="J215" t="str">
        <f t="shared" si="6"/>
        <v>Monday</v>
      </c>
      <c r="K215" t="str">
        <f t="shared" si="7"/>
        <v>Weekday</v>
      </c>
      <c r="L215" s="7">
        <f>IF(Bangladesh_Appointment_Trends[[#This Row],[Appointment Status]]="No-Show",1,0)</f>
        <v>1</v>
      </c>
      <c r="Q215" s="7"/>
    </row>
    <row r="216" spans="1:17" x14ac:dyDescent="0.3">
      <c r="A216">
        <v>20</v>
      </c>
      <c r="B216" t="s">
        <v>8</v>
      </c>
      <c r="C216" t="s">
        <v>19</v>
      </c>
      <c r="D216" t="s">
        <v>20</v>
      </c>
      <c r="E216" t="s">
        <v>18</v>
      </c>
      <c r="F216">
        <v>503</v>
      </c>
      <c r="G216">
        <v>13</v>
      </c>
      <c r="H216" s="3">
        <v>44941</v>
      </c>
      <c r="I216" t="s">
        <v>47</v>
      </c>
      <c r="J216" t="str">
        <f t="shared" si="6"/>
        <v>Sunday</v>
      </c>
      <c r="K216" t="str">
        <f t="shared" si="7"/>
        <v>Weekday</v>
      </c>
      <c r="L216" s="7">
        <f>IF(Bangladesh_Appointment_Trends[[#This Row],[Appointment Status]]="No-Show",1,0)</f>
        <v>0</v>
      </c>
      <c r="Q216" s="7"/>
    </row>
    <row r="217" spans="1:17" x14ac:dyDescent="0.3">
      <c r="A217">
        <v>64</v>
      </c>
      <c r="B217" t="s">
        <v>12</v>
      </c>
      <c r="C217" t="s">
        <v>23</v>
      </c>
      <c r="D217" t="s">
        <v>20</v>
      </c>
      <c r="E217" t="s">
        <v>11</v>
      </c>
      <c r="F217">
        <v>613</v>
      </c>
      <c r="G217">
        <v>7</v>
      </c>
      <c r="H217" s="3">
        <v>45368</v>
      </c>
      <c r="I217" t="s">
        <v>45</v>
      </c>
      <c r="J217" t="str">
        <f t="shared" si="6"/>
        <v>Sunday</v>
      </c>
      <c r="K217" t="str">
        <f t="shared" si="7"/>
        <v>Weekday</v>
      </c>
      <c r="L217" s="7">
        <f>IF(Bangladesh_Appointment_Trends[[#This Row],[Appointment Status]]="No-Show",1,0)</f>
        <v>0</v>
      </c>
      <c r="Q217" s="7"/>
    </row>
    <row r="218" spans="1:17" x14ac:dyDescent="0.3">
      <c r="A218">
        <v>6</v>
      </c>
      <c r="B218" t="s">
        <v>8</v>
      </c>
      <c r="C218" t="s">
        <v>19</v>
      </c>
      <c r="D218" t="s">
        <v>17</v>
      </c>
      <c r="E218" t="s">
        <v>18</v>
      </c>
      <c r="F218">
        <v>1348</v>
      </c>
      <c r="G218">
        <v>15</v>
      </c>
      <c r="H218" s="3">
        <v>45368</v>
      </c>
      <c r="I218" t="s">
        <v>48</v>
      </c>
      <c r="J218" t="str">
        <f t="shared" si="6"/>
        <v>Sunday</v>
      </c>
      <c r="K218" t="str">
        <f t="shared" si="7"/>
        <v>Weekday</v>
      </c>
      <c r="L218" s="7">
        <f>IF(Bangladesh_Appointment_Trends[[#This Row],[Appointment Status]]="No-Show",1,0)</f>
        <v>0</v>
      </c>
      <c r="Q218" s="7"/>
    </row>
    <row r="219" spans="1:17" x14ac:dyDescent="0.3">
      <c r="A219">
        <v>5</v>
      </c>
      <c r="B219" t="s">
        <v>8</v>
      </c>
      <c r="C219" t="s">
        <v>19</v>
      </c>
      <c r="D219" t="s">
        <v>17</v>
      </c>
      <c r="E219" t="s">
        <v>11</v>
      </c>
      <c r="F219">
        <v>1251</v>
      </c>
      <c r="G219">
        <v>7</v>
      </c>
      <c r="H219" s="3">
        <v>45587</v>
      </c>
      <c r="I219" t="s">
        <v>48</v>
      </c>
      <c r="J219" t="str">
        <f t="shared" si="6"/>
        <v>Tuesday</v>
      </c>
      <c r="K219" t="str">
        <f t="shared" si="7"/>
        <v>Weekday</v>
      </c>
      <c r="L219" s="7">
        <f>IF(Bangladesh_Appointment_Trends[[#This Row],[Appointment Status]]="No-Show",1,0)</f>
        <v>0</v>
      </c>
      <c r="Q219" s="7"/>
    </row>
    <row r="220" spans="1:17" x14ac:dyDescent="0.3">
      <c r="A220">
        <v>52</v>
      </c>
      <c r="B220" t="s">
        <v>12</v>
      </c>
      <c r="C220" t="s">
        <v>19</v>
      </c>
      <c r="D220" t="s">
        <v>24</v>
      </c>
      <c r="E220" t="s">
        <v>11</v>
      </c>
      <c r="F220">
        <v>1149</v>
      </c>
      <c r="G220">
        <v>8</v>
      </c>
      <c r="H220" s="3">
        <v>45530</v>
      </c>
      <c r="I220" t="s">
        <v>46</v>
      </c>
      <c r="J220" t="str">
        <f t="shared" si="6"/>
        <v>Monday</v>
      </c>
      <c r="K220" t="str">
        <f t="shared" si="7"/>
        <v>Weekday</v>
      </c>
      <c r="L220" s="7">
        <f>IF(Bangladesh_Appointment_Trends[[#This Row],[Appointment Status]]="No-Show",1,0)</f>
        <v>0</v>
      </c>
      <c r="Q220" s="7"/>
    </row>
    <row r="221" spans="1:17" x14ac:dyDescent="0.3">
      <c r="A221">
        <v>16</v>
      </c>
      <c r="B221" t="s">
        <v>8</v>
      </c>
      <c r="C221" t="s">
        <v>9</v>
      </c>
      <c r="D221" t="s">
        <v>14</v>
      </c>
      <c r="E221" t="s">
        <v>11</v>
      </c>
      <c r="F221">
        <v>1674</v>
      </c>
      <c r="G221">
        <v>5</v>
      </c>
      <c r="H221" s="3">
        <v>45212</v>
      </c>
      <c r="I221" t="s">
        <v>48</v>
      </c>
      <c r="J221" t="str">
        <f t="shared" si="6"/>
        <v>Friday</v>
      </c>
      <c r="K221" t="str">
        <f t="shared" si="7"/>
        <v>Weekend</v>
      </c>
      <c r="L221" s="7">
        <f>IF(Bangladesh_Appointment_Trends[[#This Row],[Appointment Status]]="No-Show",1,0)</f>
        <v>0</v>
      </c>
      <c r="Q221" s="7"/>
    </row>
    <row r="222" spans="1:17" x14ac:dyDescent="0.3">
      <c r="A222">
        <v>73</v>
      </c>
      <c r="B222" t="s">
        <v>12</v>
      </c>
      <c r="C222" t="s">
        <v>15</v>
      </c>
      <c r="D222" t="s">
        <v>16</v>
      </c>
      <c r="E222" t="s">
        <v>11</v>
      </c>
      <c r="F222">
        <v>864</v>
      </c>
      <c r="G222">
        <v>14</v>
      </c>
      <c r="H222" s="3">
        <v>44943</v>
      </c>
      <c r="I222" t="s">
        <v>45</v>
      </c>
      <c r="J222" t="str">
        <f t="shared" si="6"/>
        <v>Tuesday</v>
      </c>
      <c r="K222" t="str">
        <f t="shared" si="7"/>
        <v>Weekday</v>
      </c>
      <c r="L222" s="7">
        <f>IF(Bangladesh_Appointment_Trends[[#This Row],[Appointment Status]]="No-Show",1,0)</f>
        <v>0</v>
      </c>
      <c r="Q222" s="7"/>
    </row>
    <row r="223" spans="1:17" x14ac:dyDescent="0.3">
      <c r="A223">
        <v>41</v>
      </c>
      <c r="B223" t="s">
        <v>12</v>
      </c>
      <c r="C223" t="s">
        <v>13</v>
      </c>
      <c r="D223" t="s">
        <v>16</v>
      </c>
      <c r="E223" t="s">
        <v>11</v>
      </c>
      <c r="F223">
        <v>707</v>
      </c>
      <c r="G223">
        <v>4</v>
      </c>
      <c r="H223" s="3">
        <v>44963</v>
      </c>
      <c r="I223" t="s">
        <v>46</v>
      </c>
      <c r="J223" t="str">
        <f t="shared" si="6"/>
        <v>Monday</v>
      </c>
      <c r="K223" t="str">
        <f t="shared" si="7"/>
        <v>Weekday</v>
      </c>
      <c r="L223" s="7">
        <f>IF(Bangladesh_Appointment_Trends[[#This Row],[Appointment Status]]="No-Show",1,0)</f>
        <v>0</v>
      </c>
      <c r="Q223" s="7"/>
    </row>
    <row r="224" spans="1:17" x14ac:dyDescent="0.3">
      <c r="A224">
        <v>36</v>
      </c>
      <c r="B224" t="s">
        <v>8</v>
      </c>
      <c r="C224" t="s">
        <v>19</v>
      </c>
      <c r="D224" t="s">
        <v>16</v>
      </c>
      <c r="E224" t="s">
        <v>22</v>
      </c>
      <c r="F224">
        <v>983</v>
      </c>
      <c r="G224">
        <v>10</v>
      </c>
      <c r="H224" s="3">
        <v>44974</v>
      </c>
      <c r="I224" t="s">
        <v>46</v>
      </c>
      <c r="J224" t="str">
        <f t="shared" si="6"/>
        <v>Friday</v>
      </c>
      <c r="K224" t="str">
        <f t="shared" si="7"/>
        <v>Weekend</v>
      </c>
      <c r="L224" s="7">
        <f>IF(Bangladesh_Appointment_Trends[[#This Row],[Appointment Status]]="No-Show",1,0)</f>
        <v>1</v>
      </c>
      <c r="Q224" s="7"/>
    </row>
    <row r="225" spans="1:17" x14ac:dyDescent="0.3">
      <c r="A225">
        <v>13</v>
      </c>
      <c r="B225" t="s">
        <v>12</v>
      </c>
      <c r="C225" t="s">
        <v>15</v>
      </c>
      <c r="D225" t="s">
        <v>24</v>
      </c>
      <c r="E225" t="s">
        <v>18</v>
      </c>
      <c r="F225">
        <v>904</v>
      </c>
      <c r="G225">
        <v>20</v>
      </c>
      <c r="H225" s="3">
        <v>45001</v>
      </c>
      <c r="I225" t="s">
        <v>48</v>
      </c>
      <c r="J225" t="str">
        <f t="shared" si="6"/>
        <v>Thursday</v>
      </c>
      <c r="K225" t="str">
        <f t="shared" si="7"/>
        <v>Weekday</v>
      </c>
      <c r="L225" s="7">
        <f>IF(Bangladesh_Appointment_Trends[[#This Row],[Appointment Status]]="No-Show",1,0)</f>
        <v>0</v>
      </c>
      <c r="Q225" s="7"/>
    </row>
    <row r="226" spans="1:17" x14ac:dyDescent="0.3">
      <c r="A226">
        <v>23</v>
      </c>
      <c r="B226" t="s">
        <v>8</v>
      </c>
      <c r="C226" t="s">
        <v>9</v>
      </c>
      <c r="D226" t="s">
        <v>17</v>
      </c>
      <c r="E226" t="s">
        <v>11</v>
      </c>
      <c r="F226">
        <v>1244</v>
      </c>
      <c r="G226">
        <v>15</v>
      </c>
      <c r="H226" s="3">
        <v>45091</v>
      </c>
      <c r="I226" t="s">
        <v>47</v>
      </c>
      <c r="J226" t="str">
        <f t="shared" si="6"/>
        <v>Wednesday</v>
      </c>
      <c r="K226" t="str">
        <f t="shared" si="7"/>
        <v>Weekday</v>
      </c>
      <c r="L226" s="7">
        <f>IF(Bangladesh_Appointment_Trends[[#This Row],[Appointment Status]]="No-Show",1,0)</f>
        <v>0</v>
      </c>
      <c r="Q226" s="7"/>
    </row>
    <row r="227" spans="1:17" x14ac:dyDescent="0.3">
      <c r="A227">
        <v>52</v>
      </c>
      <c r="B227" t="s">
        <v>8</v>
      </c>
      <c r="C227" t="s">
        <v>15</v>
      </c>
      <c r="D227" t="s">
        <v>10</v>
      </c>
      <c r="E227" t="s">
        <v>11</v>
      </c>
      <c r="F227">
        <v>1000</v>
      </c>
      <c r="G227">
        <v>18</v>
      </c>
      <c r="H227" s="3">
        <v>45304</v>
      </c>
      <c r="I227" t="s">
        <v>46</v>
      </c>
      <c r="J227" t="str">
        <f t="shared" si="6"/>
        <v>Saturday</v>
      </c>
      <c r="K227" t="str">
        <f t="shared" si="7"/>
        <v>Weekend</v>
      </c>
      <c r="L227" s="7">
        <f>IF(Bangladesh_Appointment_Trends[[#This Row],[Appointment Status]]="No-Show",1,0)</f>
        <v>0</v>
      </c>
      <c r="Q227" s="7"/>
    </row>
    <row r="228" spans="1:17" x14ac:dyDescent="0.3">
      <c r="A228">
        <v>7</v>
      </c>
      <c r="B228" t="s">
        <v>8</v>
      </c>
      <c r="C228" t="s">
        <v>21</v>
      </c>
      <c r="D228" t="s">
        <v>10</v>
      </c>
      <c r="E228" t="s">
        <v>22</v>
      </c>
      <c r="F228">
        <v>1063</v>
      </c>
      <c r="G228">
        <v>20</v>
      </c>
      <c r="H228" s="3">
        <v>44963</v>
      </c>
      <c r="I228" t="s">
        <v>48</v>
      </c>
      <c r="J228" t="str">
        <f t="shared" si="6"/>
        <v>Monday</v>
      </c>
      <c r="K228" t="str">
        <f t="shared" si="7"/>
        <v>Weekday</v>
      </c>
      <c r="L228" s="7">
        <f>IF(Bangladesh_Appointment_Trends[[#This Row],[Appointment Status]]="No-Show",1,0)</f>
        <v>1</v>
      </c>
      <c r="Q228" s="7"/>
    </row>
    <row r="229" spans="1:17" x14ac:dyDescent="0.3">
      <c r="A229">
        <v>24</v>
      </c>
      <c r="B229" t="s">
        <v>12</v>
      </c>
      <c r="C229" t="s">
        <v>15</v>
      </c>
      <c r="D229" t="s">
        <v>24</v>
      </c>
      <c r="E229" t="s">
        <v>22</v>
      </c>
      <c r="F229">
        <v>1046</v>
      </c>
      <c r="G229">
        <v>13</v>
      </c>
      <c r="H229" s="3">
        <v>44929</v>
      </c>
      <c r="I229" t="s">
        <v>47</v>
      </c>
      <c r="J229" t="str">
        <f t="shared" si="6"/>
        <v>Tuesday</v>
      </c>
      <c r="K229" t="str">
        <f t="shared" si="7"/>
        <v>Weekday</v>
      </c>
      <c r="L229" s="7">
        <f>IF(Bangladesh_Appointment_Trends[[#This Row],[Appointment Status]]="No-Show",1,0)</f>
        <v>1</v>
      </c>
      <c r="Q229" s="7"/>
    </row>
    <row r="230" spans="1:17" x14ac:dyDescent="0.3">
      <c r="A230">
        <v>28</v>
      </c>
      <c r="B230" t="s">
        <v>8</v>
      </c>
      <c r="C230" t="s">
        <v>15</v>
      </c>
      <c r="D230" t="s">
        <v>10</v>
      </c>
      <c r="E230" t="s">
        <v>18</v>
      </c>
      <c r="F230">
        <v>963</v>
      </c>
      <c r="G230">
        <v>8</v>
      </c>
      <c r="H230" s="3">
        <v>45426</v>
      </c>
      <c r="I230" t="s">
        <v>47</v>
      </c>
      <c r="J230" t="str">
        <f t="shared" si="6"/>
        <v>Tuesday</v>
      </c>
      <c r="K230" t="str">
        <f t="shared" si="7"/>
        <v>Weekday</v>
      </c>
      <c r="L230" s="7">
        <f>IF(Bangladesh_Appointment_Trends[[#This Row],[Appointment Status]]="No-Show",1,0)</f>
        <v>0</v>
      </c>
      <c r="Q230" s="7"/>
    </row>
    <row r="231" spans="1:17" x14ac:dyDescent="0.3">
      <c r="A231">
        <v>58</v>
      </c>
      <c r="B231" t="s">
        <v>8</v>
      </c>
      <c r="C231" t="s">
        <v>9</v>
      </c>
      <c r="D231" t="s">
        <v>16</v>
      </c>
      <c r="E231" t="s">
        <v>11</v>
      </c>
      <c r="F231">
        <v>790</v>
      </c>
      <c r="G231">
        <v>9</v>
      </c>
      <c r="H231" s="3">
        <v>45121</v>
      </c>
      <c r="I231" t="s">
        <v>45</v>
      </c>
      <c r="J231" t="str">
        <f t="shared" si="6"/>
        <v>Friday</v>
      </c>
      <c r="K231" t="str">
        <f t="shared" si="7"/>
        <v>Weekend</v>
      </c>
      <c r="L231" s="7">
        <f>IF(Bangladesh_Appointment_Trends[[#This Row],[Appointment Status]]="No-Show",1,0)</f>
        <v>0</v>
      </c>
      <c r="Q231" s="7"/>
    </row>
    <row r="232" spans="1:17" x14ac:dyDescent="0.3">
      <c r="A232">
        <v>37</v>
      </c>
      <c r="B232" t="s">
        <v>8</v>
      </c>
      <c r="C232" t="s">
        <v>9</v>
      </c>
      <c r="D232" t="s">
        <v>14</v>
      </c>
      <c r="E232" t="s">
        <v>11</v>
      </c>
      <c r="F232">
        <v>1516</v>
      </c>
      <c r="G232">
        <v>16</v>
      </c>
      <c r="H232" s="3">
        <v>45519</v>
      </c>
      <c r="I232" t="s">
        <v>46</v>
      </c>
      <c r="J232" t="str">
        <f t="shared" si="6"/>
        <v>Thursday</v>
      </c>
      <c r="K232" t="str">
        <f t="shared" si="7"/>
        <v>Weekday</v>
      </c>
      <c r="L232" s="7">
        <f>IF(Bangladesh_Appointment_Trends[[#This Row],[Appointment Status]]="No-Show",1,0)</f>
        <v>0</v>
      </c>
      <c r="Q232" s="7"/>
    </row>
    <row r="233" spans="1:17" x14ac:dyDescent="0.3">
      <c r="A233">
        <v>28</v>
      </c>
      <c r="B233" t="s">
        <v>12</v>
      </c>
      <c r="C233" t="s">
        <v>13</v>
      </c>
      <c r="D233" t="s">
        <v>20</v>
      </c>
      <c r="E233" t="s">
        <v>11</v>
      </c>
      <c r="F233">
        <v>666</v>
      </c>
      <c r="G233">
        <v>19</v>
      </c>
      <c r="H233" s="3">
        <v>45573</v>
      </c>
      <c r="I233" t="s">
        <v>47</v>
      </c>
      <c r="J233" t="str">
        <f t="shared" si="6"/>
        <v>Tuesday</v>
      </c>
      <c r="K233" t="str">
        <f t="shared" si="7"/>
        <v>Weekday</v>
      </c>
      <c r="L233" s="7">
        <f>IF(Bangladesh_Appointment_Trends[[#This Row],[Appointment Status]]="No-Show",1,0)</f>
        <v>0</v>
      </c>
      <c r="Q233" s="7"/>
    </row>
    <row r="234" spans="1:17" x14ac:dyDescent="0.3">
      <c r="A234">
        <v>79</v>
      </c>
      <c r="B234" t="s">
        <v>12</v>
      </c>
      <c r="C234" t="s">
        <v>15</v>
      </c>
      <c r="D234" t="s">
        <v>17</v>
      </c>
      <c r="E234" t="s">
        <v>11</v>
      </c>
      <c r="F234">
        <v>1272</v>
      </c>
      <c r="G234">
        <v>16</v>
      </c>
      <c r="H234" s="3">
        <v>44941</v>
      </c>
      <c r="I234" t="s">
        <v>45</v>
      </c>
      <c r="J234" t="str">
        <f t="shared" si="6"/>
        <v>Sunday</v>
      </c>
      <c r="K234" t="str">
        <f t="shared" si="7"/>
        <v>Weekday</v>
      </c>
      <c r="L234" s="7">
        <f>IF(Bangladesh_Appointment_Trends[[#This Row],[Appointment Status]]="No-Show",1,0)</f>
        <v>0</v>
      </c>
      <c r="Q234" s="7"/>
    </row>
    <row r="235" spans="1:17" x14ac:dyDescent="0.3">
      <c r="A235">
        <v>76</v>
      </c>
      <c r="B235" t="s">
        <v>8</v>
      </c>
      <c r="C235" t="s">
        <v>25</v>
      </c>
      <c r="D235" t="s">
        <v>17</v>
      </c>
      <c r="E235" t="s">
        <v>11</v>
      </c>
      <c r="F235">
        <v>1146</v>
      </c>
      <c r="G235">
        <v>7</v>
      </c>
      <c r="H235" s="3">
        <v>45495</v>
      </c>
      <c r="I235" t="s">
        <v>45</v>
      </c>
      <c r="J235" t="str">
        <f t="shared" si="6"/>
        <v>Monday</v>
      </c>
      <c r="K235" t="str">
        <f t="shared" si="7"/>
        <v>Weekday</v>
      </c>
      <c r="L235" s="7">
        <f>IF(Bangladesh_Appointment_Trends[[#This Row],[Appointment Status]]="No-Show",1,0)</f>
        <v>0</v>
      </c>
      <c r="Q235" s="7"/>
    </row>
    <row r="236" spans="1:17" x14ac:dyDescent="0.3">
      <c r="A236">
        <v>40</v>
      </c>
      <c r="B236" t="s">
        <v>12</v>
      </c>
      <c r="C236" t="s">
        <v>15</v>
      </c>
      <c r="D236" t="s">
        <v>24</v>
      </c>
      <c r="E236" t="s">
        <v>22</v>
      </c>
      <c r="F236">
        <v>1039</v>
      </c>
      <c r="G236">
        <v>14</v>
      </c>
      <c r="H236" s="3">
        <v>45073</v>
      </c>
      <c r="I236" t="s">
        <v>46</v>
      </c>
      <c r="J236" t="str">
        <f t="shared" si="6"/>
        <v>Saturday</v>
      </c>
      <c r="K236" t="str">
        <f t="shared" si="7"/>
        <v>Weekend</v>
      </c>
      <c r="L236" s="7">
        <f>IF(Bangladesh_Appointment_Trends[[#This Row],[Appointment Status]]="No-Show",1,0)</f>
        <v>1</v>
      </c>
      <c r="Q236" s="7"/>
    </row>
    <row r="237" spans="1:17" x14ac:dyDescent="0.3">
      <c r="A237">
        <v>42</v>
      </c>
      <c r="B237" t="s">
        <v>8</v>
      </c>
      <c r="C237" t="s">
        <v>25</v>
      </c>
      <c r="D237" t="s">
        <v>17</v>
      </c>
      <c r="E237" t="s">
        <v>11</v>
      </c>
      <c r="F237">
        <v>1345</v>
      </c>
      <c r="G237">
        <v>14</v>
      </c>
      <c r="H237" s="3">
        <v>45212</v>
      </c>
      <c r="I237" t="s">
        <v>46</v>
      </c>
      <c r="J237" t="str">
        <f t="shared" si="6"/>
        <v>Friday</v>
      </c>
      <c r="K237" t="str">
        <f t="shared" si="7"/>
        <v>Weekend</v>
      </c>
      <c r="L237" s="7">
        <f>IF(Bangladesh_Appointment_Trends[[#This Row],[Appointment Status]]="No-Show",1,0)</f>
        <v>0</v>
      </c>
      <c r="Q237" s="7"/>
    </row>
    <row r="238" spans="1:17" x14ac:dyDescent="0.3">
      <c r="A238">
        <v>29</v>
      </c>
      <c r="B238" t="s">
        <v>8</v>
      </c>
      <c r="C238" t="s">
        <v>15</v>
      </c>
      <c r="D238" t="s">
        <v>16</v>
      </c>
      <c r="E238" t="s">
        <v>11</v>
      </c>
      <c r="F238">
        <v>848</v>
      </c>
      <c r="G238">
        <v>4</v>
      </c>
      <c r="H238" s="3">
        <v>45308</v>
      </c>
      <c r="I238" t="s">
        <v>47</v>
      </c>
      <c r="J238" t="str">
        <f t="shared" si="6"/>
        <v>Wednesday</v>
      </c>
      <c r="K238" t="str">
        <f t="shared" si="7"/>
        <v>Weekday</v>
      </c>
      <c r="L238" s="7">
        <f>IF(Bangladesh_Appointment_Trends[[#This Row],[Appointment Status]]="No-Show",1,0)</f>
        <v>0</v>
      </c>
      <c r="Q238" s="7"/>
    </row>
    <row r="239" spans="1:17" x14ac:dyDescent="0.3">
      <c r="A239">
        <v>22</v>
      </c>
      <c r="B239" t="s">
        <v>12</v>
      </c>
      <c r="C239" t="s">
        <v>15</v>
      </c>
      <c r="D239" t="s">
        <v>10</v>
      </c>
      <c r="E239" t="s">
        <v>11</v>
      </c>
      <c r="F239">
        <v>1145</v>
      </c>
      <c r="G239">
        <v>15</v>
      </c>
      <c r="H239" s="3">
        <v>45372</v>
      </c>
      <c r="I239" t="s">
        <v>47</v>
      </c>
      <c r="J239" t="str">
        <f t="shared" si="6"/>
        <v>Thursday</v>
      </c>
      <c r="K239" t="str">
        <f t="shared" si="7"/>
        <v>Weekday</v>
      </c>
      <c r="L239" s="7">
        <f>IF(Bangladesh_Appointment_Trends[[#This Row],[Appointment Status]]="No-Show",1,0)</f>
        <v>0</v>
      </c>
      <c r="Q239" s="7"/>
    </row>
    <row r="240" spans="1:17" x14ac:dyDescent="0.3">
      <c r="A240">
        <v>70</v>
      </c>
      <c r="B240" t="s">
        <v>8</v>
      </c>
      <c r="C240" t="s">
        <v>23</v>
      </c>
      <c r="D240" t="s">
        <v>16</v>
      </c>
      <c r="E240" t="s">
        <v>11</v>
      </c>
      <c r="F240">
        <v>704</v>
      </c>
      <c r="G240">
        <v>3</v>
      </c>
      <c r="H240" s="3">
        <v>45131</v>
      </c>
      <c r="I240" t="s">
        <v>45</v>
      </c>
      <c r="J240" t="str">
        <f t="shared" si="6"/>
        <v>Monday</v>
      </c>
      <c r="K240" t="str">
        <f t="shared" si="7"/>
        <v>Weekday</v>
      </c>
      <c r="L240" s="7">
        <f>IF(Bangladesh_Appointment_Trends[[#This Row],[Appointment Status]]="No-Show",1,0)</f>
        <v>0</v>
      </c>
      <c r="Q240" s="7"/>
    </row>
    <row r="241" spans="1:17" x14ac:dyDescent="0.3">
      <c r="A241">
        <v>58</v>
      </c>
      <c r="B241" t="s">
        <v>8</v>
      </c>
      <c r="C241" t="s">
        <v>26</v>
      </c>
      <c r="D241" t="s">
        <v>24</v>
      </c>
      <c r="E241" t="s">
        <v>11</v>
      </c>
      <c r="F241">
        <v>1083</v>
      </c>
      <c r="G241">
        <v>5</v>
      </c>
      <c r="H241" s="3">
        <v>45568</v>
      </c>
      <c r="I241" t="s">
        <v>45</v>
      </c>
      <c r="J241" t="str">
        <f t="shared" si="6"/>
        <v>Thursday</v>
      </c>
      <c r="K241" t="str">
        <f t="shared" si="7"/>
        <v>Weekday</v>
      </c>
      <c r="L241" s="7">
        <f>IF(Bangladesh_Appointment_Trends[[#This Row],[Appointment Status]]="No-Show",1,0)</f>
        <v>0</v>
      </c>
      <c r="Q241" s="7"/>
    </row>
    <row r="242" spans="1:17" x14ac:dyDescent="0.3">
      <c r="A242">
        <v>39</v>
      </c>
      <c r="B242" t="s">
        <v>8</v>
      </c>
      <c r="C242" t="s">
        <v>13</v>
      </c>
      <c r="D242" t="s">
        <v>16</v>
      </c>
      <c r="E242" t="s">
        <v>11</v>
      </c>
      <c r="F242">
        <v>719</v>
      </c>
      <c r="G242">
        <v>1</v>
      </c>
      <c r="H242" s="3">
        <v>45297</v>
      </c>
      <c r="I242" t="s">
        <v>46</v>
      </c>
      <c r="J242" t="str">
        <f t="shared" si="6"/>
        <v>Saturday</v>
      </c>
      <c r="K242" t="str">
        <f t="shared" si="7"/>
        <v>Weekend</v>
      </c>
      <c r="L242" s="7">
        <f>IF(Bangladesh_Appointment_Trends[[#This Row],[Appointment Status]]="No-Show",1,0)</f>
        <v>0</v>
      </c>
      <c r="Q242" s="7"/>
    </row>
    <row r="243" spans="1:17" x14ac:dyDescent="0.3">
      <c r="A243">
        <v>65</v>
      </c>
      <c r="B243" t="s">
        <v>8</v>
      </c>
      <c r="C243" t="s">
        <v>19</v>
      </c>
      <c r="D243" t="s">
        <v>10</v>
      </c>
      <c r="E243" t="s">
        <v>11</v>
      </c>
      <c r="F243">
        <v>945</v>
      </c>
      <c r="G243">
        <v>3</v>
      </c>
      <c r="H243" s="3">
        <v>45112</v>
      </c>
      <c r="I243" t="s">
        <v>45</v>
      </c>
      <c r="J243" t="str">
        <f t="shared" si="6"/>
        <v>Wednesday</v>
      </c>
      <c r="K243" t="str">
        <f t="shared" si="7"/>
        <v>Weekday</v>
      </c>
      <c r="L243" s="7">
        <f>IF(Bangladesh_Appointment_Trends[[#This Row],[Appointment Status]]="No-Show",1,0)</f>
        <v>0</v>
      </c>
      <c r="Q243" s="7"/>
    </row>
    <row r="244" spans="1:17" x14ac:dyDescent="0.3">
      <c r="A244">
        <v>45</v>
      </c>
      <c r="B244" t="s">
        <v>8</v>
      </c>
      <c r="C244" t="s">
        <v>21</v>
      </c>
      <c r="D244" t="s">
        <v>14</v>
      </c>
      <c r="E244" t="s">
        <v>18</v>
      </c>
      <c r="F244">
        <v>1411</v>
      </c>
      <c r="G244">
        <v>15</v>
      </c>
      <c r="H244" s="3">
        <v>45068</v>
      </c>
      <c r="I244" t="s">
        <v>46</v>
      </c>
      <c r="J244" t="str">
        <f t="shared" si="6"/>
        <v>Monday</v>
      </c>
      <c r="K244" t="str">
        <f t="shared" si="7"/>
        <v>Weekday</v>
      </c>
      <c r="L244" s="7">
        <f>IF(Bangladesh_Appointment_Trends[[#This Row],[Appointment Status]]="No-Show",1,0)</f>
        <v>0</v>
      </c>
      <c r="Q244" s="7"/>
    </row>
    <row r="245" spans="1:17" x14ac:dyDescent="0.3">
      <c r="A245">
        <v>37</v>
      </c>
      <c r="B245" t="s">
        <v>12</v>
      </c>
      <c r="C245" t="s">
        <v>15</v>
      </c>
      <c r="D245" t="s">
        <v>24</v>
      </c>
      <c r="E245" t="s">
        <v>22</v>
      </c>
      <c r="F245">
        <v>969</v>
      </c>
      <c r="G245">
        <v>8</v>
      </c>
      <c r="H245" s="3">
        <v>45317</v>
      </c>
      <c r="I245" t="s">
        <v>46</v>
      </c>
      <c r="J245" t="str">
        <f t="shared" si="6"/>
        <v>Friday</v>
      </c>
      <c r="K245" t="str">
        <f t="shared" si="7"/>
        <v>Weekend</v>
      </c>
      <c r="L245" s="7">
        <f>IF(Bangladesh_Appointment_Trends[[#This Row],[Appointment Status]]="No-Show",1,0)</f>
        <v>1</v>
      </c>
      <c r="Q245" s="7"/>
    </row>
    <row r="246" spans="1:17" x14ac:dyDescent="0.3">
      <c r="A246">
        <v>72</v>
      </c>
      <c r="B246" t="s">
        <v>12</v>
      </c>
      <c r="C246" t="s">
        <v>26</v>
      </c>
      <c r="D246" t="s">
        <v>14</v>
      </c>
      <c r="E246" t="s">
        <v>11</v>
      </c>
      <c r="F246">
        <v>1416</v>
      </c>
      <c r="G246">
        <v>4</v>
      </c>
      <c r="H246" s="3">
        <v>44943</v>
      </c>
      <c r="I246" t="s">
        <v>45</v>
      </c>
      <c r="J246" t="str">
        <f t="shared" si="6"/>
        <v>Tuesday</v>
      </c>
      <c r="K246" t="str">
        <f t="shared" si="7"/>
        <v>Weekday</v>
      </c>
      <c r="L246" s="7">
        <f>IF(Bangladesh_Appointment_Trends[[#This Row],[Appointment Status]]="No-Show",1,0)</f>
        <v>0</v>
      </c>
      <c r="Q246" s="7"/>
    </row>
    <row r="247" spans="1:17" x14ac:dyDescent="0.3">
      <c r="A247">
        <v>37</v>
      </c>
      <c r="B247" t="s">
        <v>8</v>
      </c>
      <c r="C247" t="s">
        <v>9</v>
      </c>
      <c r="D247" t="s">
        <v>20</v>
      </c>
      <c r="E247" t="s">
        <v>11</v>
      </c>
      <c r="F247">
        <v>546</v>
      </c>
      <c r="G247">
        <v>2</v>
      </c>
      <c r="H247" s="3">
        <v>44949</v>
      </c>
      <c r="I247" t="s">
        <v>46</v>
      </c>
      <c r="J247" t="str">
        <f t="shared" si="6"/>
        <v>Monday</v>
      </c>
      <c r="K247" t="str">
        <f t="shared" si="7"/>
        <v>Weekday</v>
      </c>
      <c r="L247" s="7">
        <f>IF(Bangladesh_Appointment_Trends[[#This Row],[Appointment Status]]="No-Show",1,0)</f>
        <v>0</v>
      </c>
      <c r="Q247" s="7"/>
    </row>
    <row r="248" spans="1:17" x14ac:dyDescent="0.3">
      <c r="A248">
        <v>18</v>
      </c>
      <c r="B248" t="s">
        <v>12</v>
      </c>
      <c r="C248" t="s">
        <v>23</v>
      </c>
      <c r="D248" t="s">
        <v>14</v>
      </c>
      <c r="E248" t="s">
        <v>18</v>
      </c>
      <c r="F248">
        <v>1553</v>
      </c>
      <c r="G248">
        <v>10</v>
      </c>
      <c r="H248" s="3">
        <v>45255</v>
      </c>
      <c r="I248" t="s">
        <v>47</v>
      </c>
      <c r="J248" t="str">
        <f t="shared" si="6"/>
        <v>Saturday</v>
      </c>
      <c r="K248" t="str">
        <f t="shared" si="7"/>
        <v>Weekend</v>
      </c>
      <c r="L248" s="7">
        <f>IF(Bangladesh_Appointment_Trends[[#This Row],[Appointment Status]]="No-Show",1,0)</f>
        <v>0</v>
      </c>
      <c r="Q248" s="7"/>
    </row>
    <row r="249" spans="1:17" x14ac:dyDescent="0.3">
      <c r="A249">
        <v>25</v>
      </c>
      <c r="B249" t="s">
        <v>12</v>
      </c>
      <c r="C249" t="s">
        <v>25</v>
      </c>
      <c r="D249" t="s">
        <v>20</v>
      </c>
      <c r="E249" t="s">
        <v>11</v>
      </c>
      <c r="F249">
        <v>507</v>
      </c>
      <c r="G249">
        <v>4</v>
      </c>
      <c r="H249" s="3">
        <v>45171</v>
      </c>
      <c r="I249" t="s">
        <v>47</v>
      </c>
      <c r="J249" t="str">
        <f t="shared" si="6"/>
        <v>Saturday</v>
      </c>
      <c r="K249" t="str">
        <f t="shared" si="7"/>
        <v>Weekend</v>
      </c>
      <c r="L249" s="7">
        <f>IF(Bangladesh_Appointment_Trends[[#This Row],[Appointment Status]]="No-Show",1,0)</f>
        <v>0</v>
      </c>
      <c r="Q249" s="7"/>
    </row>
    <row r="250" spans="1:17" x14ac:dyDescent="0.3">
      <c r="A250">
        <v>52</v>
      </c>
      <c r="B250" t="s">
        <v>12</v>
      </c>
      <c r="C250" t="s">
        <v>23</v>
      </c>
      <c r="D250" t="s">
        <v>20</v>
      </c>
      <c r="E250" t="s">
        <v>11</v>
      </c>
      <c r="F250">
        <v>635</v>
      </c>
      <c r="G250">
        <v>3</v>
      </c>
      <c r="H250" s="3">
        <v>45256</v>
      </c>
      <c r="I250" t="s">
        <v>46</v>
      </c>
      <c r="J250" t="str">
        <f t="shared" si="6"/>
        <v>Sunday</v>
      </c>
      <c r="K250" t="str">
        <f t="shared" si="7"/>
        <v>Weekday</v>
      </c>
      <c r="L250" s="7">
        <f>IF(Bangladesh_Appointment_Trends[[#This Row],[Appointment Status]]="No-Show",1,0)</f>
        <v>0</v>
      </c>
      <c r="Q250" s="7"/>
    </row>
    <row r="251" spans="1:17" x14ac:dyDescent="0.3">
      <c r="A251">
        <v>24</v>
      </c>
      <c r="B251" t="s">
        <v>8</v>
      </c>
      <c r="C251" t="s">
        <v>9</v>
      </c>
      <c r="D251" t="s">
        <v>14</v>
      </c>
      <c r="E251" t="s">
        <v>18</v>
      </c>
      <c r="F251">
        <v>1469</v>
      </c>
      <c r="G251">
        <v>2</v>
      </c>
      <c r="H251" s="3">
        <v>45000</v>
      </c>
      <c r="I251" t="s">
        <v>47</v>
      </c>
      <c r="J251" t="str">
        <f t="shared" si="6"/>
        <v>Wednesday</v>
      </c>
      <c r="K251" t="str">
        <f t="shared" si="7"/>
        <v>Weekday</v>
      </c>
      <c r="L251" s="7">
        <f>IF(Bangladesh_Appointment_Trends[[#This Row],[Appointment Status]]="No-Show",1,0)</f>
        <v>0</v>
      </c>
      <c r="Q251" s="7"/>
    </row>
    <row r="252" spans="1:17" x14ac:dyDescent="0.3">
      <c r="A252">
        <v>12</v>
      </c>
      <c r="B252" t="s">
        <v>8</v>
      </c>
      <c r="C252" t="s">
        <v>9</v>
      </c>
      <c r="D252" t="s">
        <v>24</v>
      </c>
      <c r="E252" t="s">
        <v>11</v>
      </c>
      <c r="F252">
        <v>1082</v>
      </c>
      <c r="G252">
        <v>17</v>
      </c>
      <c r="H252" s="3">
        <v>45051</v>
      </c>
      <c r="I252" t="s">
        <v>48</v>
      </c>
      <c r="J252" t="str">
        <f t="shared" si="6"/>
        <v>Friday</v>
      </c>
      <c r="K252" t="str">
        <f t="shared" si="7"/>
        <v>Weekend</v>
      </c>
      <c r="L252" s="7">
        <f>IF(Bangladesh_Appointment_Trends[[#This Row],[Appointment Status]]="No-Show",1,0)</f>
        <v>0</v>
      </c>
      <c r="Q252" s="7"/>
    </row>
    <row r="253" spans="1:17" x14ac:dyDescent="0.3">
      <c r="A253">
        <v>11</v>
      </c>
      <c r="B253" t="s">
        <v>8</v>
      </c>
      <c r="C253" t="s">
        <v>25</v>
      </c>
      <c r="D253" t="s">
        <v>10</v>
      </c>
      <c r="E253" t="s">
        <v>11</v>
      </c>
      <c r="F253">
        <v>1149</v>
      </c>
      <c r="G253">
        <v>20</v>
      </c>
      <c r="H253" s="3">
        <v>45622</v>
      </c>
      <c r="I253" t="s">
        <v>48</v>
      </c>
      <c r="J253" t="str">
        <f t="shared" si="6"/>
        <v>Tuesday</v>
      </c>
      <c r="K253" t="str">
        <f t="shared" si="7"/>
        <v>Weekday</v>
      </c>
      <c r="L253" s="7">
        <f>IF(Bangladesh_Appointment_Trends[[#This Row],[Appointment Status]]="No-Show",1,0)</f>
        <v>0</v>
      </c>
      <c r="Q253" s="7"/>
    </row>
    <row r="254" spans="1:17" x14ac:dyDescent="0.3">
      <c r="A254">
        <v>71</v>
      </c>
      <c r="B254" t="s">
        <v>8</v>
      </c>
      <c r="C254" t="s">
        <v>15</v>
      </c>
      <c r="D254" t="s">
        <v>16</v>
      </c>
      <c r="E254" t="s">
        <v>11</v>
      </c>
      <c r="F254">
        <v>927</v>
      </c>
      <c r="G254">
        <v>13</v>
      </c>
      <c r="H254" s="3">
        <v>45219</v>
      </c>
      <c r="I254" t="s">
        <v>45</v>
      </c>
      <c r="J254" t="str">
        <f t="shared" si="6"/>
        <v>Friday</v>
      </c>
      <c r="K254" t="str">
        <f t="shared" si="7"/>
        <v>Weekend</v>
      </c>
      <c r="L254" s="7">
        <f>IF(Bangladesh_Appointment_Trends[[#This Row],[Appointment Status]]="No-Show",1,0)</f>
        <v>0</v>
      </c>
      <c r="Q254" s="7"/>
    </row>
    <row r="255" spans="1:17" x14ac:dyDescent="0.3">
      <c r="A255">
        <v>21</v>
      </c>
      <c r="B255" t="s">
        <v>8</v>
      </c>
      <c r="C255" t="s">
        <v>26</v>
      </c>
      <c r="D255" t="s">
        <v>16</v>
      </c>
      <c r="E255" t="s">
        <v>11</v>
      </c>
      <c r="F255">
        <v>801</v>
      </c>
      <c r="G255">
        <v>5</v>
      </c>
      <c r="H255" s="3">
        <v>45632</v>
      </c>
      <c r="I255" t="s">
        <v>47</v>
      </c>
      <c r="J255" t="str">
        <f t="shared" si="6"/>
        <v>Friday</v>
      </c>
      <c r="K255" t="str">
        <f t="shared" si="7"/>
        <v>Weekend</v>
      </c>
      <c r="L255" s="7">
        <f>IF(Bangladesh_Appointment_Trends[[#This Row],[Appointment Status]]="No-Show",1,0)</f>
        <v>0</v>
      </c>
      <c r="Q255" s="7"/>
    </row>
    <row r="256" spans="1:17" x14ac:dyDescent="0.3">
      <c r="A256">
        <v>37</v>
      </c>
      <c r="B256" t="s">
        <v>12</v>
      </c>
      <c r="C256" t="s">
        <v>23</v>
      </c>
      <c r="D256" t="s">
        <v>10</v>
      </c>
      <c r="E256" t="s">
        <v>11</v>
      </c>
      <c r="F256">
        <v>974</v>
      </c>
      <c r="G256">
        <v>9</v>
      </c>
      <c r="H256" s="3">
        <v>45541</v>
      </c>
      <c r="I256" t="s">
        <v>46</v>
      </c>
      <c r="J256" t="str">
        <f t="shared" si="6"/>
        <v>Friday</v>
      </c>
      <c r="K256" t="str">
        <f t="shared" si="7"/>
        <v>Weekend</v>
      </c>
      <c r="L256" s="7">
        <f>IF(Bangladesh_Appointment_Trends[[#This Row],[Appointment Status]]="No-Show",1,0)</f>
        <v>0</v>
      </c>
      <c r="Q256" s="7"/>
    </row>
    <row r="257" spans="1:17" x14ac:dyDescent="0.3">
      <c r="A257">
        <v>52</v>
      </c>
      <c r="B257" t="s">
        <v>8</v>
      </c>
      <c r="C257" t="s">
        <v>15</v>
      </c>
      <c r="D257" t="s">
        <v>20</v>
      </c>
      <c r="E257" t="s">
        <v>18</v>
      </c>
      <c r="F257">
        <v>615</v>
      </c>
      <c r="G257">
        <v>6</v>
      </c>
      <c r="H257" s="3">
        <v>45470</v>
      </c>
      <c r="I257" t="s">
        <v>46</v>
      </c>
      <c r="J257" t="str">
        <f t="shared" si="6"/>
        <v>Thursday</v>
      </c>
      <c r="K257" t="str">
        <f t="shared" si="7"/>
        <v>Weekday</v>
      </c>
      <c r="L257" s="7">
        <f>IF(Bangladesh_Appointment_Trends[[#This Row],[Appointment Status]]="No-Show",1,0)</f>
        <v>0</v>
      </c>
      <c r="Q257" s="7"/>
    </row>
    <row r="258" spans="1:17" x14ac:dyDescent="0.3">
      <c r="A258">
        <v>63</v>
      </c>
      <c r="B258" t="s">
        <v>12</v>
      </c>
      <c r="C258" t="s">
        <v>23</v>
      </c>
      <c r="D258" t="s">
        <v>20</v>
      </c>
      <c r="E258" t="s">
        <v>11</v>
      </c>
      <c r="F258">
        <v>602</v>
      </c>
      <c r="G258">
        <v>5</v>
      </c>
      <c r="H258" s="3">
        <v>45278</v>
      </c>
      <c r="I258" t="s">
        <v>45</v>
      </c>
      <c r="J258" t="str">
        <f t="shared" ref="J258:J321" si="8">TEXT(H258,"dddd")</f>
        <v>Monday</v>
      </c>
      <c r="K258" t="str">
        <f t="shared" ref="K258:K321" si="9">IF(WEEKDAY(H258,1)&gt;5,"Weekend","Weekday")</f>
        <v>Weekday</v>
      </c>
      <c r="L258" s="7">
        <f>IF(Bangladesh_Appointment_Trends[[#This Row],[Appointment Status]]="No-Show",1,0)</f>
        <v>0</v>
      </c>
      <c r="Q258" s="7"/>
    </row>
    <row r="259" spans="1:17" x14ac:dyDescent="0.3">
      <c r="A259">
        <v>26</v>
      </c>
      <c r="B259" t="s">
        <v>8</v>
      </c>
      <c r="C259" t="s">
        <v>9</v>
      </c>
      <c r="D259" t="s">
        <v>24</v>
      </c>
      <c r="E259" t="s">
        <v>11</v>
      </c>
      <c r="F259">
        <v>1091</v>
      </c>
      <c r="G259">
        <v>10</v>
      </c>
      <c r="H259" s="3">
        <v>45187</v>
      </c>
      <c r="I259" t="s">
        <v>47</v>
      </c>
      <c r="J259" t="str">
        <f t="shared" si="8"/>
        <v>Monday</v>
      </c>
      <c r="K259" t="str">
        <f t="shared" si="9"/>
        <v>Weekday</v>
      </c>
      <c r="L259" s="7">
        <f>IF(Bangladesh_Appointment_Trends[[#This Row],[Appointment Status]]="No-Show",1,0)</f>
        <v>0</v>
      </c>
      <c r="Q259" s="7"/>
    </row>
    <row r="260" spans="1:17" x14ac:dyDescent="0.3">
      <c r="A260">
        <v>34</v>
      </c>
      <c r="B260" t="s">
        <v>8</v>
      </c>
      <c r="C260" t="s">
        <v>23</v>
      </c>
      <c r="D260" t="s">
        <v>17</v>
      </c>
      <c r="E260" t="s">
        <v>18</v>
      </c>
      <c r="F260">
        <v>1348</v>
      </c>
      <c r="G260">
        <v>8</v>
      </c>
      <c r="H260" s="3">
        <v>45508</v>
      </c>
      <c r="I260" t="s">
        <v>47</v>
      </c>
      <c r="J260" t="str">
        <f t="shared" si="8"/>
        <v>Sunday</v>
      </c>
      <c r="K260" t="str">
        <f t="shared" si="9"/>
        <v>Weekday</v>
      </c>
      <c r="L260" s="7">
        <f>IF(Bangladesh_Appointment_Trends[[#This Row],[Appointment Status]]="No-Show",1,0)</f>
        <v>0</v>
      </c>
      <c r="Q260" s="7"/>
    </row>
    <row r="261" spans="1:17" x14ac:dyDescent="0.3">
      <c r="A261">
        <v>42</v>
      </c>
      <c r="B261" t="s">
        <v>12</v>
      </c>
      <c r="C261" t="s">
        <v>23</v>
      </c>
      <c r="D261" t="s">
        <v>14</v>
      </c>
      <c r="E261" t="s">
        <v>11</v>
      </c>
      <c r="F261">
        <v>1641</v>
      </c>
      <c r="G261">
        <v>7</v>
      </c>
      <c r="H261" s="3">
        <v>45155</v>
      </c>
      <c r="I261" t="s">
        <v>46</v>
      </c>
      <c r="J261" t="str">
        <f t="shared" si="8"/>
        <v>Thursday</v>
      </c>
      <c r="K261" t="str">
        <f t="shared" si="9"/>
        <v>Weekday</v>
      </c>
      <c r="L261" s="7">
        <f>IF(Bangladesh_Appointment_Trends[[#This Row],[Appointment Status]]="No-Show",1,0)</f>
        <v>0</v>
      </c>
      <c r="Q261" s="7"/>
    </row>
    <row r="262" spans="1:17" x14ac:dyDescent="0.3">
      <c r="A262">
        <v>55</v>
      </c>
      <c r="B262" t="s">
        <v>12</v>
      </c>
      <c r="C262" t="s">
        <v>15</v>
      </c>
      <c r="D262" t="s">
        <v>20</v>
      </c>
      <c r="E262" t="s">
        <v>11</v>
      </c>
      <c r="F262">
        <v>578</v>
      </c>
      <c r="G262">
        <v>7</v>
      </c>
      <c r="H262" s="3">
        <v>45316</v>
      </c>
      <c r="I262" t="s">
        <v>46</v>
      </c>
      <c r="J262" t="str">
        <f t="shared" si="8"/>
        <v>Thursday</v>
      </c>
      <c r="K262" t="str">
        <f t="shared" si="9"/>
        <v>Weekday</v>
      </c>
      <c r="L262" s="7">
        <f>IF(Bangladesh_Appointment_Trends[[#This Row],[Appointment Status]]="No-Show",1,0)</f>
        <v>0</v>
      </c>
      <c r="Q262" s="7"/>
    </row>
    <row r="263" spans="1:17" x14ac:dyDescent="0.3">
      <c r="A263">
        <v>58</v>
      </c>
      <c r="B263" t="s">
        <v>12</v>
      </c>
      <c r="C263" t="s">
        <v>9</v>
      </c>
      <c r="D263" t="s">
        <v>16</v>
      </c>
      <c r="E263" t="s">
        <v>22</v>
      </c>
      <c r="F263">
        <v>918</v>
      </c>
      <c r="G263">
        <v>6</v>
      </c>
      <c r="H263" s="3">
        <v>45183</v>
      </c>
      <c r="I263" t="s">
        <v>45</v>
      </c>
      <c r="J263" t="str">
        <f t="shared" si="8"/>
        <v>Thursday</v>
      </c>
      <c r="K263" t="str">
        <f t="shared" si="9"/>
        <v>Weekday</v>
      </c>
      <c r="L263" s="7">
        <f>IF(Bangladesh_Appointment_Trends[[#This Row],[Appointment Status]]="No-Show",1,0)</f>
        <v>1</v>
      </c>
      <c r="Q263" s="7"/>
    </row>
    <row r="264" spans="1:17" x14ac:dyDescent="0.3">
      <c r="A264">
        <v>12</v>
      </c>
      <c r="B264" t="s">
        <v>12</v>
      </c>
      <c r="C264" t="s">
        <v>21</v>
      </c>
      <c r="D264" t="s">
        <v>24</v>
      </c>
      <c r="E264" t="s">
        <v>11</v>
      </c>
      <c r="F264">
        <v>981</v>
      </c>
      <c r="G264">
        <v>20</v>
      </c>
      <c r="H264" s="3">
        <v>45091</v>
      </c>
      <c r="I264" t="s">
        <v>48</v>
      </c>
      <c r="J264" t="str">
        <f t="shared" si="8"/>
        <v>Wednesday</v>
      </c>
      <c r="K264" t="str">
        <f t="shared" si="9"/>
        <v>Weekday</v>
      </c>
      <c r="L264" s="7">
        <f>IF(Bangladesh_Appointment_Trends[[#This Row],[Appointment Status]]="No-Show",1,0)</f>
        <v>0</v>
      </c>
      <c r="Q264" s="7"/>
    </row>
    <row r="265" spans="1:17" x14ac:dyDescent="0.3">
      <c r="A265">
        <v>31</v>
      </c>
      <c r="B265" t="s">
        <v>12</v>
      </c>
      <c r="C265" t="s">
        <v>15</v>
      </c>
      <c r="D265" t="s">
        <v>14</v>
      </c>
      <c r="E265" t="s">
        <v>18</v>
      </c>
      <c r="F265">
        <v>1491</v>
      </c>
      <c r="G265">
        <v>3</v>
      </c>
      <c r="H265" s="3">
        <v>45548</v>
      </c>
      <c r="I265" t="s">
        <v>47</v>
      </c>
      <c r="J265" t="str">
        <f t="shared" si="8"/>
        <v>Friday</v>
      </c>
      <c r="K265" t="str">
        <f t="shared" si="9"/>
        <v>Weekend</v>
      </c>
      <c r="L265" s="7">
        <f>IF(Bangladesh_Appointment_Trends[[#This Row],[Appointment Status]]="No-Show",1,0)</f>
        <v>0</v>
      </c>
      <c r="Q265" s="7"/>
    </row>
    <row r="266" spans="1:17" x14ac:dyDescent="0.3">
      <c r="A266">
        <v>31</v>
      </c>
      <c r="B266" t="s">
        <v>8</v>
      </c>
      <c r="C266" t="s">
        <v>19</v>
      </c>
      <c r="D266" t="s">
        <v>24</v>
      </c>
      <c r="E266" t="s">
        <v>18</v>
      </c>
      <c r="F266">
        <v>1074</v>
      </c>
      <c r="G266">
        <v>19</v>
      </c>
      <c r="H266" s="3">
        <v>45358</v>
      </c>
      <c r="I266" t="s">
        <v>47</v>
      </c>
      <c r="J266" t="str">
        <f t="shared" si="8"/>
        <v>Thursday</v>
      </c>
      <c r="K266" t="str">
        <f t="shared" si="9"/>
        <v>Weekday</v>
      </c>
      <c r="L266" s="7">
        <f>IF(Bangladesh_Appointment_Trends[[#This Row],[Appointment Status]]="No-Show",1,0)</f>
        <v>0</v>
      </c>
      <c r="Q266" s="7"/>
    </row>
    <row r="267" spans="1:17" x14ac:dyDescent="0.3">
      <c r="A267">
        <v>25</v>
      </c>
      <c r="B267" t="s">
        <v>8</v>
      </c>
      <c r="C267" t="s">
        <v>9</v>
      </c>
      <c r="D267" t="s">
        <v>14</v>
      </c>
      <c r="E267" t="s">
        <v>11</v>
      </c>
      <c r="F267">
        <v>1638</v>
      </c>
      <c r="G267">
        <v>15</v>
      </c>
      <c r="H267" s="3">
        <v>45638</v>
      </c>
      <c r="I267" t="s">
        <v>47</v>
      </c>
      <c r="J267" t="str">
        <f t="shared" si="8"/>
        <v>Thursday</v>
      </c>
      <c r="K267" t="str">
        <f t="shared" si="9"/>
        <v>Weekday</v>
      </c>
      <c r="L267" s="7">
        <f>IF(Bangladesh_Appointment_Trends[[#This Row],[Appointment Status]]="No-Show",1,0)</f>
        <v>0</v>
      </c>
      <c r="Q267" s="7"/>
    </row>
    <row r="268" spans="1:17" x14ac:dyDescent="0.3">
      <c r="A268">
        <v>34</v>
      </c>
      <c r="B268" t="s">
        <v>8</v>
      </c>
      <c r="C268" t="s">
        <v>9</v>
      </c>
      <c r="D268" t="s">
        <v>14</v>
      </c>
      <c r="E268" t="s">
        <v>11</v>
      </c>
      <c r="F268">
        <v>1659</v>
      </c>
      <c r="G268">
        <v>4</v>
      </c>
      <c r="H268" s="3">
        <v>45008</v>
      </c>
      <c r="I268" t="s">
        <v>47</v>
      </c>
      <c r="J268" t="str">
        <f t="shared" si="8"/>
        <v>Thursday</v>
      </c>
      <c r="K268" t="str">
        <f t="shared" si="9"/>
        <v>Weekday</v>
      </c>
      <c r="L268" s="7">
        <f>IF(Bangladesh_Appointment_Trends[[#This Row],[Appointment Status]]="No-Show",1,0)</f>
        <v>0</v>
      </c>
      <c r="Q268" s="7"/>
    </row>
    <row r="269" spans="1:17" x14ac:dyDescent="0.3">
      <c r="A269">
        <v>32</v>
      </c>
      <c r="B269" t="s">
        <v>8</v>
      </c>
      <c r="C269" t="s">
        <v>9</v>
      </c>
      <c r="D269" t="s">
        <v>10</v>
      </c>
      <c r="E269" t="s">
        <v>22</v>
      </c>
      <c r="F269">
        <v>1062</v>
      </c>
      <c r="G269">
        <v>12</v>
      </c>
      <c r="H269" s="3">
        <v>45458</v>
      </c>
      <c r="I269" t="s">
        <v>47</v>
      </c>
      <c r="J269" t="str">
        <f t="shared" si="8"/>
        <v>Saturday</v>
      </c>
      <c r="K269" t="str">
        <f t="shared" si="9"/>
        <v>Weekend</v>
      </c>
      <c r="L269" s="7">
        <f>IF(Bangladesh_Appointment_Trends[[#This Row],[Appointment Status]]="No-Show",1,0)</f>
        <v>1</v>
      </c>
      <c r="Q269" s="7"/>
    </row>
    <row r="270" spans="1:17" x14ac:dyDescent="0.3">
      <c r="A270">
        <v>68</v>
      </c>
      <c r="B270" t="s">
        <v>8</v>
      </c>
      <c r="C270" t="s">
        <v>9</v>
      </c>
      <c r="D270" t="s">
        <v>20</v>
      </c>
      <c r="E270" t="s">
        <v>11</v>
      </c>
      <c r="F270">
        <v>447</v>
      </c>
      <c r="G270">
        <v>6</v>
      </c>
      <c r="H270" s="3">
        <v>45188</v>
      </c>
      <c r="I270" t="s">
        <v>45</v>
      </c>
      <c r="J270" t="str">
        <f t="shared" si="8"/>
        <v>Tuesday</v>
      </c>
      <c r="K270" t="str">
        <f t="shared" si="9"/>
        <v>Weekday</v>
      </c>
      <c r="L270" s="7">
        <f>IF(Bangladesh_Appointment_Trends[[#This Row],[Appointment Status]]="No-Show",1,0)</f>
        <v>0</v>
      </c>
      <c r="Q270" s="7"/>
    </row>
    <row r="271" spans="1:17" x14ac:dyDescent="0.3">
      <c r="A271">
        <v>73</v>
      </c>
      <c r="B271" t="s">
        <v>8</v>
      </c>
      <c r="C271" t="s">
        <v>15</v>
      </c>
      <c r="D271" t="s">
        <v>24</v>
      </c>
      <c r="E271" t="s">
        <v>18</v>
      </c>
      <c r="F271">
        <v>1015</v>
      </c>
      <c r="G271">
        <v>19</v>
      </c>
      <c r="H271" s="3">
        <v>45118</v>
      </c>
      <c r="I271" t="s">
        <v>45</v>
      </c>
      <c r="J271" t="str">
        <f t="shared" si="8"/>
        <v>Tuesday</v>
      </c>
      <c r="K271" t="str">
        <f t="shared" si="9"/>
        <v>Weekday</v>
      </c>
      <c r="L271" s="7">
        <f>IF(Bangladesh_Appointment_Trends[[#This Row],[Appointment Status]]="No-Show",1,0)</f>
        <v>0</v>
      </c>
      <c r="Q271" s="7"/>
    </row>
    <row r="272" spans="1:17" x14ac:dyDescent="0.3">
      <c r="A272">
        <v>65</v>
      </c>
      <c r="B272" t="s">
        <v>12</v>
      </c>
      <c r="C272" t="s">
        <v>23</v>
      </c>
      <c r="D272" t="s">
        <v>24</v>
      </c>
      <c r="E272" t="s">
        <v>11</v>
      </c>
      <c r="F272">
        <v>1124</v>
      </c>
      <c r="G272">
        <v>4</v>
      </c>
      <c r="H272" s="3">
        <v>45000</v>
      </c>
      <c r="I272" t="s">
        <v>45</v>
      </c>
      <c r="J272" t="str">
        <f t="shared" si="8"/>
        <v>Wednesday</v>
      </c>
      <c r="K272" t="str">
        <f t="shared" si="9"/>
        <v>Weekday</v>
      </c>
      <c r="L272" s="7">
        <f>IF(Bangladesh_Appointment_Trends[[#This Row],[Appointment Status]]="No-Show",1,0)</f>
        <v>0</v>
      </c>
      <c r="Q272" s="7"/>
    </row>
    <row r="273" spans="1:17" x14ac:dyDescent="0.3">
      <c r="A273">
        <v>52</v>
      </c>
      <c r="B273" t="s">
        <v>8</v>
      </c>
      <c r="C273" t="s">
        <v>15</v>
      </c>
      <c r="D273" t="s">
        <v>10</v>
      </c>
      <c r="E273" t="s">
        <v>11</v>
      </c>
      <c r="F273">
        <v>1046</v>
      </c>
      <c r="G273">
        <v>15</v>
      </c>
      <c r="H273" s="3">
        <v>45363</v>
      </c>
      <c r="I273" t="s">
        <v>46</v>
      </c>
      <c r="J273" t="str">
        <f t="shared" si="8"/>
        <v>Tuesday</v>
      </c>
      <c r="K273" t="str">
        <f t="shared" si="9"/>
        <v>Weekday</v>
      </c>
      <c r="L273" s="7">
        <f>IF(Bangladesh_Appointment_Trends[[#This Row],[Appointment Status]]="No-Show",1,0)</f>
        <v>0</v>
      </c>
      <c r="Q273" s="7"/>
    </row>
    <row r="274" spans="1:17" x14ac:dyDescent="0.3">
      <c r="A274">
        <v>23</v>
      </c>
      <c r="B274" t="s">
        <v>12</v>
      </c>
      <c r="C274" t="s">
        <v>15</v>
      </c>
      <c r="D274" t="s">
        <v>16</v>
      </c>
      <c r="E274" t="s">
        <v>11</v>
      </c>
      <c r="F274">
        <v>762</v>
      </c>
      <c r="G274">
        <v>9</v>
      </c>
      <c r="H274" s="3">
        <v>45325</v>
      </c>
      <c r="I274" t="s">
        <v>47</v>
      </c>
      <c r="J274" t="str">
        <f t="shared" si="8"/>
        <v>Saturday</v>
      </c>
      <c r="K274" t="str">
        <f t="shared" si="9"/>
        <v>Weekend</v>
      </c>
      <c r="L274" s="7">
        <f>IF(Bangladesh_Appointment_Trends[[#This Row],[Appointment Status]]="No-Show",1,0)</f>
        <v>0</v>
      </c>
      <c r="Q274" s="7"/>
    </row>
    <row r="275" spans="1:17" x14ac:dyDescent="0.3">
      <c r="A275">
        <v>8</v>
      </c>
      <c r="B275" t="s">
        <v>8</v>
      </c>
      <c r="C275" t="s">
        <v>15</v>
      </c>
      <c r="D275" t="s">
        <v>16</v>
      </c>
      <c r="E275" t="s">
        <v>22</v>
      </c>
      <c r="F275">
        <v>993</v>
      </c>
      <c r="G275">
        <v>5</v>
      </c>
      <c r="H275" s="3">
        <v>45552</v>
      </c>
      <c r="I275" t="s">
        <v>48</v>
      </c>
      <c r="J275" t="str">
        <f t="shared" si="8"/>
        <v>Tuesday</v>
      </c>
      <c r="K275" t="str">
        <f t="shared" si="9"/>
        <v>Weekday</v>
      </c>
      <c r="L275" s="7">
        <f>IF(Bangladesh_Appointment_Trends[[#This Row],[Appointment Status]]="No-Show",1,0)</f>
        <v>1</v>
      </c>
      <c r="Q275" s="7"/>
    </row>
    <row r="276" spans="1:17" x14ac:dyDescent="0.3">
      <c r="A276">
        <v>39</v>
      </c>
      <c r="B276" t="s">
        <v>8</v>
      </c>
      <c r="C276" t="s">
        <v>15</v>
      </c>
      <c r="D276" t="s">
        <v>20</v>
      </c>
      <c r="E276" t="s">
        <v>22</v>
      </c>
      <c r="F276">
        <v>412</v>
      </c>
      <c r="G276">
        <v>13</v>
      </c>
      <c r="H276" s="3">
        <v>44988</v>
      </c>
      <c r="I276" t="s">
        <v>46</v>
      </c>
      <c r="J276" t="str">
        <f t="shared" si="8"/>
        <v>Friday</v>
      </c>
      <c r="K276" t="str">
        <f t="shared" si="9"/>
        <v>Weekend</v>
      </c>
      <c r="L276" s="7">
        <f>IF(Bangladesh_Appointment_Trends[[#This Row],[Appointment Status]]="No-Show",1,0)</f>
        <v>1</v>
      </c>
      <c r="Q276" s="7"/>
    </row>
    <row r="277" spans="1:17" x14ac:dyDescent="0.3">
      <c r="A277">
        <v>68</v>
      </c>
      <c r="B277" t="s">
        <v>8</v>
      </c>
      <c r="C277" t="s">
        <v>9</v>
      </c>
      <c r="D277" t="s">
        <v>20</v>
      </c>
      <c r="E277" t="s">
        <v>11</v>
      </c>
      <c r="F277">
        <v>588</v>
      </c>
      <c r="G277">
        <v>18</v>
      </c>
      <c r="H277" s="3">
        <v>45249</v>
      </c>
      <c r="I277" t="s">
        <v>45</v>
      </c>
      <c r="J277" t="str">
        <f t="shared" si="8"/>
        <v>Sunday</v>
      </c>
      <c r="K277" t="str">
        <f t="shared" si="9"/>
        <v>Weekday</v>
      </c>
      <c r="L277" s="7">
        <f>IF(Bangladesh_Appointment_Trends[[#This Row],[Appointment Status]]="No-Show",1,0)</f>
        <v>0</v>
      </c>
      <c r="Q277" s="7"/>
    </row>
    <row r="278" spans="1:17" x14ac:dyDescent="0.3">
      <c r="A278">
        <v>53</v>
      </c>
      <c r="B278" t="s">
        <v>12</v>
      </c>
      <c r="C278" t="s">
        <v>19</v>
      </c>
      <c r="D278" t="s">
        <v>17</v>
      </c>
      <c r="E278" t="s">
        <v>11</v>
      </c>
      <c r="F278">
        <v>1386</v>
      </c>
      <c r="G278">
        <v>5</v>
      </c>
      <c r="H278" s="3">
        <v>45432</v>
      </c>
      <c r="I278" t="s">
        <v>46</v>
      </c>
      <c r="J278" t="str">
        <f t="shared" si="8"/>
        <v>Monday</v>
      </c>
      <c r="K278" t="str">
        <f t="shared" si="9"/>
        <v>Weekday</v>
      </c>
      <c r="L278" s="7">
        <f>IF(Bangladesh_Appointment_Trends[[#This Row],[Appointment Status]]="No-Show",1,0)</f>
        <v>0</v>
      </c>
      <c r="Q278" s="7"/>
    </row>
    <row r="279" spans="1:17" x14ac:dyDescent="0.3">
      <c r="A279">
        <v>21</v>
      </c>
      <c r="B279" t="s">
        <v>8</v>
      </c>
      <c r="C279" t="s">
        <v>25</v>
      </c>
      <c r="D279" t="s">
        <v>10</v>
      </c>
      <c r="E279" t="s">
        <v>18</v>
      </c>
      <c r="F279">
        <v>1107</v>
      </c>
      <c r="G279">
        <v>16</v>
      </c>
      <c r="H279" s="3">
        <v>45173</v>
      </c>
      <c r="I279" t="s">
        <v>47</v>
      </c>
      <c r="J279" t="str">
        <f t="shared" si="8"/>
        <v>Monday</v>
      </c>
      <c r="K279" t="str">
        <f t="shared" si="9"/>
        <v>Weekday</v>
      </c>
      <c r="L279" s="7">
        <f>IF(Bangladesh_Appointment_Trends[[#This Row],[Appointment Status]]="No-Show",1,0)</f>
        <v>0</v>
      </c>
      <c r="Q279" s="7"/>
    </row>
    <row r="280" spans="1:17" x14ac:dyDescent="0.3">
      <c r="A280">
        <v>48</v>
      </c>
      <c r="B280" t="s">
        <v>8</v>
      </c>
      <c r="C280" t="s">
        <v>15</v>
      </c>
      <c r="D280" t="s">
        <v>16</v>
      </c>
      <c r="E280" t="s">
        <v>11</v>
      </c>
      <c r="F280">
        <v>813</v>
      </c>
      <c r="G280">
        <v>19</v>
      </c>
      <c r="H280" s="3">
        <v>45141</v>
      </c>
      <c r="I280" t="s">
        <v>46</v>
      </c>
      <c r="J280" t="str">
        <f t="shared" si="8"/>
        <v>Thursday</v>
      </c>
      <c r="K280" t="str">
        <f t="shared" si="9"/>
        <v>Weekday</v>
      </c>
      <c r="L280" s="7">
        <f>IF(Bangladesh_Appointment_Trends[[#This Row],[Appointment Status]]="No-Show",1,0)</f>
        <v>0</v>
      </c>
      <c r="Q280" s="7"/>
    </row>
    <row r="281" spans="1:17" x14ac:dyDescent="0.3">
      <c r="A281">
        <v>34</v>
      </c>
      <c r="B281" t="s">
        <v>12</v>
      </c>
      <c r="C281" t="s">
        <v>13</v>
      </c>
      <c r="D281" t="s">
        <v>14</v>
      </c>
      <c r="E281" t="s">
        <v>11</v>
      </c>
      <c r="F281">
        <v>1421</v>
      </c>
      <c r="G281">
        <v>14</v>
      </c>
      <c r="H281" s="3">
        <v>45348</v>
      </c>
      <c r="I281" t="s">
        <v>47</v>
      </c>
      <c r="J281" t="str">
        <f t="shared" si="8"/>
        <v>Monday</v>
      </c>
      <c r="K281" t="str">
        <f t="shared" si="9"/>
        <v>Weekday</v>
      </c>
      <c r="L281" s="7">
        <f>IF(Bangladesh_Appointment_Trends[[#This Row],[Appointment Status]]="No-Show",1,0)</f>
        <v>0</v>
      </c>
      <c r="Q281" s="7"/>
    </row>
    <row r="282" spans="1:17" x14ac:dyDescent="0.3">
      <c r="A282">
        <v>50</v>
      </c>
      <c r="B282" t="s">
        <v>12</v>
      </c>
      <c r="C282" t="s">
        <v>23</v>
      </c>
      <c r="D282" t="s">
        <v>24</v>
      </c>
      <c r="E282" t="s">
        <v>11</v>
      </c>
      <c r="F282">
        <v>1113</v>
      </c>
      <c r="G282">
        <v>16</v>
      </c>
      <c r="H282" s="3">
        <v>45367</v>
      </c>
      <c r="I282" t="s">
        <v>46</v>
      </c>
      <c r="J282" t="str">
        <f t="shared" si="8"/>
        <v>Saturday</v>
      </c>
      <c r="K282" t="str">
        <f t="shared" si="9"/>
        <v>Weekend</v>
      </c>
      <c r="L282" s="7">
        <f>IF(Bangladesh_Appointment_Trends[[#This Row],[Appointment Status]]="No-Show",1,0)</f>
        <v>0</v>
      </c>
      <c r="Q282" s="7"/>
    </row>
    <row r="283" spans="1:17" x14ac:dyDescent="0.3">
      <c r="A283">
        <v>10</v>
      </c>
      <c r="B283" t="s">
        <v>8</v>
      </c>
      <c r="C283" t="s">
        <v>9</v>
      </c>
      <c r="D283" t="s">
        <v>20</v>
      </c>
      <c r="E283" t="s">
        <v>11</v>
      </c>
      <c r="F283">
        <v>570</v>
      </c>
      <c r="G283">
        <v>15</v>
      </c>
      <c r="H283" s="3">
        <v>45334</v>
      </c>
      <c r="I283" t="s">
        <v>48</v>
      </c>
      <c r="J283" t="str">
        <f t="shared" si="8"/>
        <v>Monday</v>
      </c>
      <c r="K283" t="str">
        <f t="shared" si="9"/>
        <v>Weekday</v>
      </c>
      <c r="L283" s="7">
        <f>IF(Bangladesh_Appointment_Trends[[#This Row],[Appointment Status]]="No-Show",1,0)</f>
        <v>0</v>
      </c>
      <c r="Q283" s="7"/>
    </row>
    <row r="284" spans="1:17" x14ac:dyDescent="0.3">
      <c r="A284">
        <v>41</v>
      </c>
      <c r="B284" t="s">
        <v>12</v>
      </c>
      <c r="C284" t="s">
        <v>21</v>
      </c>
      <c r="D284" t="s">
        <v>24</v>
      </c>
      <c r="E284" t="s">
        <v>22</v>
      </c>
      <c r="F284">
        <v>953</v>
      </c>
      <c r="G284">
        <v>4</v>
      </c>
      <c r="H284" s="3">
        <v>45146</v>
      </c>
      <c r="I284" t="s">
        <v>46</v>
      </c>
      <c r="J284" t="str">
        <f t="shared" si="8"/>
        <v>Tuesday</v>
      </c>
      <c r="K284" t="str">
        <f t="shared" si="9"/>
        <v>Weekday</v>
      </c>
      <c r="L284" s="7">
        <f>IF(Bangladesh_Appointment_Trends[[#This Row],[Appointment Status]]="No-Show",1,0)</f>
        <v>1</v>
      </c>
      <c r="Q284" s="7"/>
    </row>
    <row r="285" spans="1:17" x14ac:dyDescent="0.3">
      <c r="A285">
        <v>28</v>
      </c>
      <c r="B285" t="s">
        <v>8</v>
      </c>
      <c r="C285" t="s">
        <v>26</v>
      </c>
      <c r="D285" t="s">
        <v>24</v>
      </c>
      <c r="E285" t="s">
        <v>11</v>
      </c>
      <c r="F285">
        <v>1197</v>
      </c>
      <c r="G285">
        <v>7</v>
      </c>
      <c r="H285" s="3">
        <v>45101</v>
      </c>
      <c r="I285" t="s">
        <v>47</v>
      </c>
      <c r="J285" t="str">
        <f t="shared" si="8"/>
        <v>Saturday</v>
      </c>
      <c r="K285" t="str">
        <f t="shared" si="9"/>
        <v>Weekend</v>
      </c>
      <c r="L285" s="7">
        <f>IF(Bangladesh_Appointment_Trends[[#This Row],[Appointment Status]]="No-Show",1,0)</f>
        <v>0</v>
      </c>
      <c r="Q285" s="7"/>
    </row>
    <row r="286" spans="1:17" x14ac:dyDescent="0.3">
      <c r="A286">
        <v>50</v>
      </c>
      <c r="B286" t="s">
        <v>12</v>
      </c>
      <c r="C286" t="s">
        <v>15</v>
      </c>
      <c r="D286" t="s">
        <v>17</v>
      </c>
      <c r="E286" t="s">
        <v>11</v>
      </c>
      <c r="F286">
        <v>1225</v>
      </c>
      <c r="G286">
        <v>16</v>
      </c>
      <c r="H286" s="3">
        <v>45094</v>
      </c>
      <c r="I286" t="s">
        <v>46</v>
      </c>
      <c r="J286" t="str">
        <f t="shared" si="8"/>
        <v>Saturday</v>
      </c>
      <c r="K286" t="str">
        <f t="shared" si="9"/>
        <v>Weekend</v>
      </c>
      <c r="L286" s="7">
        <f>IF(Bangladesh_Appointment_Trends[[#This Row],[Appointment Status]]="No-Show",1,0)</f>
        <v>0</v>
      </c>
      <c r="Q286" s="7"/>
    </row>
    <row r="287" spans="1:17" x14ac:dyDescent="0.3">
      <c r="A287">
        <v>57</v>
      </c>
      <c r="B287" t="s">
        <v>12</v>
      </c>
      <c r="C287" t="s">
        <v>9</v>
      </c>
      <c r="D287" t="s">
        <v>16</v>
      </c>
      <c r="E287" t="s">
        <v>11</v>
      </c>
      <c r="F287">
        <v>976</v>
      </c>
      <c r="G287">
        <v>8</v>
      </c>
      <c r="H287" s="3">
        <v>45267</v>
      </c>
      <c r="I287" t="s">
        <v>45</v>
      </c>
      <c r="J287" t="str">
        <f t="shared" si="8"/>
        <v>Thursday</v>
      </c>
      <c r="K287" t="str">
        <f t="shared" si="9"/>
        <v>Weekday</v>
      </c>
      <c r="L287" s="7">
        <f>IF(Bangladesh_Appointment_Trends[[#This Row],[Appointment Status]]="No-Show",1,0)</f>
        <v>0</v>
      </c>
      <c r="Q287" s="7"/>
    </row>
    <row r="288" spans="1:17" x14ac:dyDescent="0.3">
      <c r="A288">
        <v>64</v>
      </c>
      <c r="B288" t="s">
        <v>8</v>
      </c>
      <c r="C288" t="s">
        <v>21</v>
      </c>
      <c r="D288" t="s">
        <v>20</v>
      </c>
      <c r="E288" t="s">
        <v>18</v>
      </c>
      <c r="F288">
        <v>603</v>
      </c>
      <c r="G288">
        <v>17</v>
      </c>
      <c r="H288" s="3">
        <v>45180</v>
      </c>
      <c r="I288" t="s">
        <v>45</v>
      </c>
      <c r="J288" t="str">
        <f t="shared" si="8"/>
        <v>Monday</v>
      </c>
      <c r="K288" t="str">
        <f t="shared" si="9"/>
        <v>Weekday</v>
      </c>
      <c r="L288" s="7">
        <f>IF(Bangladesh_Appointment_Trends[[#This Row],[Appointment Status]]="No-Show",1,0)</f>
        <v>0</v>
      </c>
      <c r="Q288" s="7"/>
    </row>
    <row r="289" spans="1:17" x14ac:dyDescent="0.3">
      <c r="A289">
        <v>67</v>
      </c>
      <c r="B289" t="s">
        <v>12</v>
      </c>
      <c r="C289" t="s">
        <v>23</v>
      </c>
      <c r="D289" t="s">
        <v>24</v>
      </c>
      <c r="E289" t="s">
        <v>11</v>
      </c>
      <c r="F289">
        <v>1093</v>
      </c>
      <c r="G289">
        <v>16</v>
      </c>
      <c r="H289" s="3">
        <v>45522</v>
      </c>
      <c r="I289" t="s">
        <v>45</v>
      </c>
      <c r="J289" t="str">
        <f t="shared" si="8"/>
        <v>Sunday</v>
      </c>
      <c r="K289" t="str">
        <f t="shared" si="9"/>
        <v>Weekday</v>
      </c>
      <c r="L289" s="7">
        <f>IF(Bangladesh_Appointment_Trends[[#This Row],[Appointment Status]]="No-Show",1,0)</f>
        <v>0</v>
      </c>
      <c r="Q289" s="7"/>
    </row>
    <row r="290" spans="1:17" x14ac:dyDescent="0.3">
      <c r="A290">
        <v>36</v>
      </c>
      <c r="B290" t="s">
        <v>8</v>
      </c>
      <c r="C290" t="s">
        <v>15</v>
      </c>
      <c r="D290" t="s">
        <v>20</v>
      </c>
      <c r="E290" t="s">
        <v>11</v>
      </c>
      <c r="F290">
        <v>568</v>
      </c>
      <c r="G290">
        <v>10</v>
      </c>
      <c r="H290" s="3">
        <v>45017</v>
      </c>
      <c r="I290" t="s">
        <v>46</v>
      </c>
      <c r="J290" t="str">
        <f t="shared" si="8"/>
        <v>Saturday</v>
      </c>
      <c r="K290" t="str">
        <f t="shared" si="9"/>
        <v>Weekend</v>
      </c>
      <c r="L290" s="7">
        <f>IF(Bangladesh_Appointment_Trends[[#This Row],[Appointment Status]]="No-Show",1,0)</f>
        <v>0</v>
      </c>
      <c r="Q290" s="7"/>
    </row>
    <row r="291" spans="1:17" x14ac:dyDescent="0.3">
      <c r="A291">
        <v>37</v>
      </c>
      <c r="B291" t="s">
        <v>12</v>
      </c>
      <c r="C291" t="s">
        <v>25</v>
      </c>
      <c r="D291" t="s">
        <v>14</v>
      </c>
      <c r="E291" t="s">
        <v>11</v>
      </c>
      <c r="F291">
        <v>1551</v>
      </c>
      <c r="G291">
        <v>10</v>
      </c>
      <c r="H291" s="3">
        <v>45263</v>
      </c>
      <c r="I291" t="s">
        <v>46</v>
      </c>
      <c r="J291" t="str">
        <f t="shared" si="8"/>
        <v>Sunday</v>
      </c>
      <c r="K291" t="str">
        <f t="shared" si="9"/>
        <v>Weekday</v>
      </c>
      <c r="L291" s="7">
        <f>IF(Bangladesh_Appointment_Trends[[#This Row],[Appointment Status]]="No-Show",1,0)</f>
        <v>0</v>
      </c>
      <c r="Q291" s="7"/>
    </row>
    <row r="292" spans="1:17" x14ac:dyDescent="0.3">
      <c r="A292">
        <v>71</v>
      </c>
      <c r="B292" t="s">
        <v>12</v>
      </c>
      <c r="C292" t="s">
        <v>25</v>
      </c>
      <c r="D292" t="s">
        <v>17</v>
      </c>
      <c r="E292" t="s">
        <v>18</v>
      </c>
      <c r="F292">
        <v>1134</v>
      </c>
      <c r="G292">
        <v>2</v>
      </c>
      <c r="H292" s="3">
        <v>45020</v>
      </c>
      <c r="I292" t="s">
        <v>45</v>
      </c>
      <c r="J292" t="str">
        <f t="shared" si="8"/>
        <v>Tuesday</v>
      </c>
      <c r="K292" t="str">
        <f t="shared" si="9"/>
        <v>Weekday</v>
      </c>
      <c r="L292" s="7">
        <f>IF(Bangladesh_Appointment_Trends[[#This Row],[Appointment Status]]="No-Show",1,0)</f>
        <v>0</v>
      </c>
      <c r="Q292" s="7"/>
    </row>
    <row r="293" spans="1:17" x14ac:dyDescent="0.3">
      <c r="A293">
        <v>22</v>
      </c>
      <c r="B293" t="s">
        <v>8</v>
      </c>
      <c r="C293" t="s">
        <v>23</v>
      </c>
      <c r="D293" t="s">
        <v>14</v>
      </c>
      <c r="E293" t="s">
        <v>11</v>
      </c>
      <c r="F293">
        <v>1583</v>
      </c>
      <c r="G293">
        <v>9</v>
      </c>
      <c r="H293" s="3">
        <v>45548</v>
      </c>
      <c r="I293" t="s">
        <v>47</v>
      </c>
      <c r="J293" t="str">
        <f t="shared" si="8"/>
        <v>Friday</v>
      </c>
      <c r="K293" t="str">
        <f t="shared" si="9"/>
        <v>Weekend</v>
      </c>
      <c r="L293" s="7">
        <f>IF(Bangladesh_Appointment_Trends[[#This Row],[Appointment Status]]="No-Show",1,0)</f>
        <v>0</v>
      </c>
      <c r="Q293" s="7"/>
    </row>
    <row r="294" spans="1:17" x14ac:dyDescent="0.3">
      <c r="A294">
        <v>29</v>
      </c>
      <c r="B294" t="s">
        <v>12</v>
      </c>
      <c r="C294" t="s">
        <v>25</v>
      </c>
      <c r="D294" t="s">
        <v>20</v>
      </c>
      <c r="E294" t="s">
        <v>11</v>
      </c>
      <c r="F294">
        <v>685</v>
      </c>
      <c r="G294">
        <v>17</v>
      </c>
      <c r="H294" s="3">
        <v>45297</v>
      </c>
      <c r="I294" t="s">
        <v>47</v>
      </c>
      <c r="J294" t="str">
        <f t="shared" si="8"/>
        <v>Saturday</v>
      </c>
      <c r="K294" t="str">
        <f t="shared" si="9"/>
        <v>Weekend</v>
      </c>
      <c r="L294" s="7">
        <f>IF(Bangladesh_Appointment_Trends[[#This Row],[Appointment Status]]="No-Show",1,0)</f>
        <v>0</v>
      </c>
      <c r="Q294" s="7"/>
    </row>
    <row r="295" spans="1:17" x14ac:dyDescent="0.3">
      <c r="A295">
        <v>58</v>
      </c>
      <c r="B295" t="s">
        <v>8</v>
      </c>
      <c r="C295" t="s">
        <v>25</v>
      </c>
      <c r="D295" t="s">
        <v>20</v>
      </c>
      <c r="E295" t="s">
        <v>11</v>
      </c>
      <c r="F295">
        <v>456</v>
      </c>
      <c r="G295">
        <v>11</v>
      </c>
      <c r="H295" s="3">
        <v>45348</v>
      </c>
      <c r="I295" t="s">
        <v>45</v>
      </c>
      <c r="J295" t="str">
        <f t="shared" si="8"/>
        <v>Monday</v>
      </c>
      <c r="K295" t="str">
        <f t="shared" si="9"/>
        <v>Weekday</v>
      </c>
      <c r="L295" s="7">
        <f>IF(Bangladesh_Appointment_Trends[[#This Row],[Appointment Status]]="No-Show",1,0)</f>
        <v>0</v>
      </c>
      <c r="Q295" s="7"/>
    </row>
    <row r="296" spans="1:17" x14ac:dyDescent="0.3">
      <c r="A296">
        <v>62</v>
      </c>
      <c r="B296" t="s">
        <v>8</v>
      </c>
      <c r="C296" t="s">
        <v>15</v>
      </c>
      <c r="D296" t="s">
        <v>16</v>
      </c>
      <c r="E296" t="s">
        <v>11</v>
      </c>
      <c r="F296">
        <v>921</v>
      </c>
      <c r="G296">
        <v>10</v>
      </c>
      <c r="H296" s="3">
        <v>44971</v>
      </c>
      <c r="I296" t="s">
        <v>45</v>
      </c>
      <c r="J296" t="str">
        <f t="shared" si="8"/>
        <v>Tuesday</v>
      </c>
      <c r="K296" t="str">
        <f t="shared" si="9"/>
        <v>Weekday</v>
      </c>
      <c r="L296" s="7">
        <f>IF(Bangladesh_Appointment_Trends[[#This Row],[Appointment Status]]="No-Show",1,0)</f>
        <v>0</v>
      </c>
      <c r="Q296" s="7"/>
    </row>
    <row r="297" spans="1:17" x14ac:dyDescent="0.3">
      <c r="A297">
        <v>71</v>
      </c>
      <c r="B297" t="s">
        <v>8</v>
      </c>
      <c r="C297" t="s">
        <v>15</v>
      </c>
      <c r="D297" t="s">
        <v>24</v>
      </c>
      <c r="E297" t="s">
        <v>11</v>
      </c>
      <c r="F297">
        <v>1062</v>
      </c>
      <c r="G297">
        <v>17</v>
      </c>
      <c r="H297" s="3">
        <v>45448</v>
      </c>
      <c r="I297" t="s">
        <v>45</v>
      </c>
      <c r="J297" t="str">
        <f t="shared" si="8"/>
        <v>Wednesday</v>
      </c>
      <c r="K297" t="str">
        <f t="shared" si="9"/>
        <v>Weekday</v>
      </c>
      <c r="L297" s="7">
        <f>IF(Bangladesh_Appointment_Trends[[#This Row],[Appointment Status]]="No-Show",1,0)</f>
        <v>0</v>
      </c>
      <c r="Q297" s="7"/>
    </row>
    <row r="298" spans="1:17" x14ac:dyDescent="0.3">
      <c r="A298">
        <v>50</v>
      </c>
      <c r="B298" t="s">
        <v>12</v>
      </c>
      <c r="C298" t="s">
        <v>19</v>
      </c>
      <c r="D298" t="s">
        <v>24</v>
      </c>
      <c r="E298" t="s">
        <v>18</v>
      </c>
      <c r="F298">
        <v>918</v>
      </c>
      <c r="G298">
        <v>4</v>
      </c>
      <c r="H298" s="3">
        <v>45398</v>
      </c>
      <c r="I298" t="s">
        <v>46</v>
      </c>
      <c r="J298" t="str">
        <f t="shared" si="8"/>
        <v>Tuesday</v>
      </c>
      <c r="K298" t="str">
        <f t="shared" si="9"/>
        <v>Weekday</v>
      </c>
      <c r="L298" s="7">
        <f>IF(Bangladesh_Appointment_Trends[[#This Row],[Appointment Status]]="No-Show",1,0)</f>
        <v>0</v>
      </c>
      <c r="Q298" s="7"/>
    </row>
    <row r="299" spans="1:17" x14ac:dyDescent="0.3">
      <c r="A299">
        <v>28</v>
      </c>
      <c r="B299" t="s">
        <v>12</v>
      </c>
      <c r="C299" t="s">
        <v>21</v>
      </c>
      <c r="D299" t="s">
        <v>14</v>
      </c>
      <c r="E299" t="s">
        <v>11</v>
      </c>
      <c r="F299">
        <v>1663</v>
      </c>
      <c r="G299">
        <v>16</v>
      </c>
      <c r="H299" s="3">
        <v>45611</v>
      </c>
      <c r="I299" t="s">
        <v>47</v>
      </c>
      <c r="J299" t="str">
        <f t="shared" si="8"/>
        <v>Friday</v>
      </c>
      <c r="K299" t="str">
        <f t="shared" si="9"/>
        <v>Weekend</v>
      </c>
      <c r="L299" s="7">
        <f>IF(Bangladesh_Appointment_Trends[[#This Row],[Appointment Status]]="No-Show",1,0)</f>
        <v>0</v>
      </c>
      <c r="Q299" s="7"/>
    </row>
    <row r="300" spans="1:17" x14ac:dyDescent="0.3">
      <c r="A300">
        <v>36</v>
      </c>
      <c r="B300" t="s">
        <v>8</v>
      </c>
      <c r="C300" t="s">
        <v>15</v>
      </c>
      <c r="D300" t="s">
        <v>17</v>
      </c>
      <c r="E300" t="s">
        <v>18</v>
      </c>
      <c r="F300">
        <v>1381</v>
      </c>
      <c r="G300">
        <v>20</v>
      </c>
      <c r="H300" s="3">
        <v>45214</v>
      </c>
      <c r="I300" t="s">
        <v>46</v>
      </c>
      <c r="J300" t="str">
        <f t="shared" si="8"/>
        <v>Sunday</v>
      </c>
      <c r="K300" t="str">
        <f t="shared" si="9"/>
        <v>Weekday</v>
      </c>
      <c r="L300" s="7">
        <f>IF(Bangladesh_Appointment_Trends[[#This Row],[Appointment Status]]="No-Show",1,0)</f>
        <v>0</v>
      </c>
      <c r="Q300" s="7"/>
    </row>
    <row r="301" spans="1:17" x14ac:dyDescent="0.3">
      <c r="A301">
        <v>51</v>
      </c>
      <c r="B301" t="s">
        <v>8</v>
      </c>
      <c r="C301" t="s">
        <v>19</v>
      </c>
      <c r="D301" t="s">
        <v>10</v>
      </c>
      <c r="E301" t="s">
        <v>11</v>
      </c>
      <c r="F301">
        <v>1012</v>
      </c>
      <c r="G301">
        <v>15</v>
      </c>
      <c r="H301" s="3">
        <v>45355</v>
      </c>
      <c r="I301" t="s">
        <v>46</v>
      </c>
      <c r="J301" t="str">
        <f t="shared" si="8"/>
        <v>Monday</v>
      </c>
      <c r="K301" t="str">
        <f t="shared" si="9"/>
        <v>Weekday</v>
      </c>
      <c r="L301" s="7">
        <f>IF(Bangladesh_Appointment_Trends[[#This Row],[Appointment Status]]="No-Show",1,0)</f>
        <v>0</v>
      </c>
      <c r="Q301" s="7"/>
    </row>
    <row r="302" spans="1:17" x14ac:dyDescent="0.3">
      <c r="A302">
        <v>27</v>
      </c>
      <c r="B302" t="s">
        <v>8</v>
      </c>
      <c r="C302" t="s">
        <v>23</v>
      </c>
      <c r="D302" t="s">
        <v>24</v>
      </c>
      <c r="E302" t="s">
        <v>18</v>
      </c>
      <c r="F302">
        <v>929</v>
      </c>
      <c r="G302">
        <v>5</v>
      </c>
      <c r="H302" s="3">
        <v>44993</v>
      </c>
      <c r="I302" t="s">
        <v>47</v>
      </c>
      <c r="J302" t="str">
        <f t="shared" si="8"/>
        <v>Wednesday</v>
      </c>
      <c r="K302" t="str">
        <f t="shared" si="9"/>
        <v>Weekday</v>
      </c>
      <c r="L302" s="7">
        <f>IF(Bangladesh_Appointment_Trends[[#This Row],[Appointment Status]]="No-Show",1,0)</f>
        <v>0</v>
      </c>
      <c r="Q302" s="7"/>
    </row>
    <row r="303" spans="1:17" x14ac:dyDescent="0.3">
      <c r="A303">
        <v>70</v>
      </c>
      <c r="B303" t="s">
        <v>12</v>
      </c>
      <c r="C303" t="s">
        <v>9</v>
      </c>
      <c r="D303" t="s">
        <v>16</v>
      </c>
      <c r="E303" t="s">
        <v>11</v>
      </c>
      <c r="F303">
        <v>834</v>
      </c>
      <c r="G303">
        <v>6</v>
      </c>
      <c r="H303" s="3">
        <v>45012</v>
      </c>
      <c r="I303" t="s">
        <v>45</v>
      </c>
      <c r="J303" t="str">
        <f t="shared" si="8"/>
        <v>Monday</v>
      </c>
      <c r="K303" t="str">
        <f t="shared" si="9"/>
        <v>Weekday</v>
      </c>
      <c r="L303" s="7">
        <f>IF(Bangladesh_Appointment_Trends[[#This Row],[Appointment Status]]="No-Show",1,0)</f>
        <v>0</v>
      </c>
      <c r="Q303" s="7"/>
    </row>
    <row r="304" spans="1:17" x14ac:dyDescent="0.3">
      <c r="A304">
        <v>31</v>
      </c>
      <c r="B304" t="s">
        <v>12</v>
      </c>
      <c r="C304" t="s">
        <v>23</v>
      </c>
      <c r="D304" t="s">
        <v>14</v>
      </c>
      <c r="E304" t="s">
        <v>11</v>
      </c>
      <c r="F304">
        <v>1466</v>
      </c>
      <c r="G304">
        <v>17</v>
      </c>
      <c r="H304" s="3">
        <v>45459</v>
      </c>
      <c r="I304" t="s">
        <v>47</v>
      </c>
      <c r="J304" t="str">
        <f t="shared" si="8"/>
        <v>Sunday</v>
      </c>
      <c r="K304" t="str">
        <f t="shared" si="9"/>
        <v>Weekday</v>
      </c>
      <c r="L304" s="7">
        <f>IF(Bangladesh_Appointment_Trends[[#This Row],[Appointment Status]]="No-Show",1,0)</f>
        <v>0</v>
      </c>
      <c r="Q304" s="7"/>
    </row>
    <row r="305" spans="1:17" x14ac:dyDescent="0.3">
      <c r="A305">
        <v>6</v>
      </c>
      <c r="B305" t="s">
        <v>8</v>
      </c>
      <c r="C305" t="s">
        <v>13</v>
      </c>
      <c r="D305" t="s">
        <v>14</v>
      </c>
      <c r="E305" t="s">
        <v>22</v>
      </c>
      <c r="F305">
        <v>1464</v>
      </c>
      <c r="G305">
        <v>1</v>
      </c>
      <c r="H305" s="3">
        <v>45154</v>
      </c>
      <c r="I305" t="s">
        <v>48</v>
      </c>
      <c r="J305" t="str">
        <f t="shared" si="8"/>
        <v>Wednesday</v>
      </c>
      <c r="K305" t="str">
        <f t="shared" si="9"/>
        <v>Weekday</v>
      </c>
      <c r="L305" s="7">
        <f>IF(Bangladesh_Appointment_Trends[[#This Row],[Appointment Status]]="No-Show",1,0)</f>
        <v>1</v>
      </c>
      <c r="Q305" s="7"/>
    </row>
    <row r="306" spans="1:17" x14ac:dyDescent="0.3">
      <c r="A306">
        <v>21</v>
      </c>
      <c r="B306" t="s">
        <v>8</v>
      </c>
      <c r="C306" t="s">
        <v>19</v>
      </c>
      <c r="D306" t="s">
        <v>10</v>
      </c>
      <c r="E306" t="s">
        <v>18</v>
      </c>
      <c r="F306">
        <v>1191</v>
      </c>
      <c r="G306">
        <v>19</v>
      </c>
      <c r="H306" s="3">
        <v>45600</v>
      </c>
      <c r="I306" t="s">
        <v>47</v>
      </c>
      <c r="J306" t="str">
        <f t="shared" si="8"/>
        <v>Monday</v>
      </c>
      <c r="K306" t="str">
        <f t="shared" si="9"/>
        <v>Weekday</v>
      </c>
      <c r="L306" s="7">
        <f>IF(Bangladesh_Appointment_Trends[[#This Row],[Appointment Status]]="No-Show",1,0)</f>
        <v>0</v>
      </c>
      <c r="Q306" s="7"/>
    </row>
    <row r="307" spans="1:17" x14ac:dyDescent="0.3">
      <c r="A307">
        <v>37</v>
      </c>
      <c r="B307" t="s">
        <v>8</v>
      </c>
      <c r="C307" t="s">
        <v>9</v>
      </c>
      <c r="D307" t="s">
        <v>16</v>
      </c>
      <c r="E307" t="s">
        <v>11</v>
      </c>
      <c r="F307">
        <v>724</v>
      </c>
      <c r="G307">
        <v>4</v>
      </c>
      <c r="H307" s="3">
        <v>45120</v>
      </c>
      <c r="I307" t="s">
        <v>46</v>
      </c>
      <c r="J307" t="str">
        <f t="shared" si="8"/>
        <v>Thursday</v>
      </c>
      <c r="K307" t="str">
        <f t="shared" si="9"/>
        <v>Weekday</v>
      </c>
      <c r="L307" s="7">
        <f>IF(Bangladesh_Appointment_Trends[[#This Row],[Appointment Status]]="No-Show",1,0)</f>
        <v>0</v>
      </c>
      <c r="Q307" s="7"/>
    </row>
    <row r="308" spans="1:17" x14ac:dyDescent="0.3">
      <c r="A308">
        <v>13</v>
      </c>
      <c r="B308" t="s">
        <v>8</v>
      </c>
      <c r="C308" t="s">
        <v>9</v>
      </c>
      <c r="D308" t="s">
        <v>17</v>
      </c>
      <c r="E308" t="s">
        <v>11</v>
      </c>
      <c r="F308">
        <v>1136</v>
      </c>
      <c r="G308">
        <v>17</v>
      </c>
      <c r="H308" s="3">
        <v>45408</v>
      </c>
      <c r="I308" t="s">
        <v>48</v>
      </c>
      <c r="J308" t="str">
        <f t="shared" si="8"/>
        <v>Friday</v>
      </c>
      <c r="K308" t="str">
        <f t="shared" si="9"/>
        <v>Weekend</v>
      </c>
      <c r="L308" s="7">
        <f>IF(Bangladesh_Appointment_Trends[[#This Row],[Appointment Status]]="No-Show",1,0)</f>
        <v>0</v>
      </c>
      <c r="Q308" s="7"/>
    </row>
    <row r="309" spans="1:17" x14ac:dyDescent="0.3">
      <c r="A309">
        <v>47</v>
      </c>
      <c r="B309" t="s">
        <v>8</v>
      </c>
      <c r="C309" t="s">
        <v>19</v>
      </c>
      <c r="D309" t="s">
        <v>16</v>
      </c>
      <c r="E309" t="s">
        <v>18</v>
      </c>
      <c r="F309">
        <v>700</v>
      </c>
      <c r="G309">
        <v>9</v>
      </c>
      <c r="H309" s="3">
        <v>45609</v>
      </c>
      <c r="I309" t="s">
        <v>46</v>
      </c>
      <c r="J309" t="str">
        <f t="shared" si="8"/>
        <v>Wednesday</v>
      </c>
      <c r="K309" t="str">
        <f t="shared" si="9"/>
        <v>Weekday</v>
      </c>
      <c r="L309" s="7">
        <f>IF(Bangladesh_Appointment_Trends[[#This Row],[Appointment Status]]="No-Show",1,0)</f>
        <v>0</v>
      </c>
      <c r="Q309" s="7"/>
    </row>
    <row r="310" spans="1:17" x14ac:dyDescent="0.3">
      <c r="A310">
        <v>52</v>
      </c>
      <c r="B310" t="s">
        <v>12</v>
      </c>
      <c r="C310" t="s">
        <v>9</v>
      </c>
      <c r="D310" t="s">
        <v>17</v>
      </c>
      <c r="E310" t="s">
        <v>11</v>
      </c>
      <c r="F310">
        <v>1136</v>
      </c>
      <c r="G310">
        <v>2</v>
      </c>
      <c r="H310" s="3">
        <v>45628</v>
      </c>
      <c r="I310" t="s">
        <v>46</v>
      </c>
      <c r="J310" t="str">
        <f t="shared" si="8"/>
        <v>Monday</v>
      </c>
      <c r="K310" t="str">
        <f t="shared" si="9"/>
        <v>Weekday</v>
      </c>
      <c r="L310" s="7">
        <f>IF(Bangladesh_Appointment_Trends[[#This Row],[Appointment Status]]="No-Show",1,0)</f>
        <v>0</v>
      </c>
      <c r="Q310" s="7"/>
    </row>
    <row r="311" spans="1:17" x14ac:dyDescent="0.3">
      <c r="A311">
        <v>43</v>
      </c>
      <c r="B311" t="s">
        <v>12</v>
      </c>
      <c r="C311" t="s">
        <v>9</v>
      </c>
      <c r="D311" t="s">
        <v>16</v>
      </c>
      <c r="E311" t="s">
        <v>18</v>
      </c>
      <c r="F311">
        <v>840</v>
      </c>
      <c r="G311">
        <v>8</v>
      </c>
      <c r="H311" s="3">
        <v>45019</v>
      </c>
      <c r="I311" t="s">
        <v>46</v>
      </c>
      <c r="J311" t="str">
        <f t="shared" si="8"/>
        <v>Monday</v>
      </c>
      <c r="K311" t="str">
        <f t="shared" si="9"/>
        <v>Weekday</v>
      </c>
      <c r="L311" s="7">
        <f>IF(Bangladesh_Appointment_Trends[[#This Row],[Appointment Status]]="No-Show",1,0)</f>
        <v>0</v>
      </c>
      <c r="Q311" s="7"/>
    </row>
    <row r="312" spans="1:17" x14ac:dyDescent="0.3">
      <c r="A312">
        <v>46</v>
      </c>
      <c r="B312" t="s">
        <v>12</v>
      </c>
      <c r="C312" t="s">
        <v>9</v>
      </c>
      <c r="D312" t="s">
        <v>16</v>
      </c>
      <c r="E312" t="s">
        <v>18</v>
      </c>
      <c r="F312">
        <v>931</v>
      </c>
      <c r="G312">
        <v>15</v>
      </c>
      <c r="H312" s="3">
        <v>45618</v>
      </c>
      <c r="I312" t="s">
        <v>46</v>
      </c>
      <c r="J312" t="str">
        <f t="shared" si="8"/>
        <v>Friday</v>
      </c>
      <c r="K312" t="str">
        <f t="shared" si="9"/>
        <v>Weekend</v>
      </c>
      <c r="L312" s="7">
        <f>IF(Bangladesh_Appointment_Trends[[#This Row],[Appointment Status]]="No-Show",1,0)</f>
        <v>0</v>
      </c>
      <c r="Q312" s="7"/>
    </row>
    <row r="313" spans="1:17" x14ac:dyDescent="0.3">
      <c r="A313">
        <v>30</v>
      </c>
      <c r="B313" t="s">
        <v>12</v>
      </c>
      <c r="C313" t="s">
        <v>15</v>
      </c>
      <c r="D313" t="s">
        <v>20</v>
      </c>
      <c r="E313" t="s">
        <v>11</v>
      </c>
      <c r="F313">
        <v>535</v>
      </c>
      <c r="G313">
        <v>7</v>
      </c>
      <c r="H313" s="3">
        <v>45207</v>
      </c>
      <c r="I313" t="s">
        <v>47</v>
      </c>
      <c r="J313" t="str">
        <f t="shared" si="8"/>
        <v>Sunday</v>
      </c>
      <c r="K313" t="str">
        <f t="shared" si="9"/>
        <v>Weekday</v>
      </c>
      <c r="L313" s="7">
        <f>IF(Bangladesh_Appointment_Trends[[#This Row],[Appointment Status]]="No-Show",1,0)</f>
        <v>0</v>
      </c>
      <c r="Q313" s="7"/>
    </row>
    <row r="314" spans="1:17" x14ac:dyDescent="0.3">
      <c r="A314">
        <v>54</v>
      </c>
      <c r="B314" t="s">
        <v>8</v>
      </c>
      <c r="C314" t="s">
        <v>15</v>
      </c>
      <c r="D314" t="s">
        <v>14</v>
      </c>
      <c r="E314" t="s">
        <v>11</v>
      </c>
      <c r="F314">
        <v>1587</v>
      </c>
      <c r="G314">
        <v>6</v>
      </c>
      <c r="H314" s="3">
        <v>45620</v>
      </c>
      <c r="I314" t="s">
        <v>46</v>
      </c>
      <c r="J314" t="str">
        <f t="shared" si="8"/>
        <v>Sunday</v>
      </c>
      <c r="K314" t="str">
        <f t="shared" si="9"/>
        <v>Weekday</v>
      </c>
      <c r="L314" s="7">
        <f>IF(Bangladesh_Appointment_Trends[[#This Row],[Appointment Status]]="No-Show",1,0)</f>
        <v>0</v>
      </c>
      <c r="Q314" s="7"/>
    </row>
    <row r="315" spans="1:17" x14ac:dyDescent="0.3">
      <c r="A315">
        <v>29</v>
      </c>
      <c r="B315" t="s">
        <v>12</v>
      </c>
      <c r="C315" t="s">
        <v>9</v>
      </c>
      <c r="D315" t="s">
        <v>16</v>
      </c>
      <c r="E315" t="s">
        <v>11</v>
      </c>
      <c r="F315">
        <v>827</v>
      </c>
      <c r="G315">
        <v>1</v>
      </c>
      <c r="H315" s="3">
        <v>45245</v>
      </c>
      <c r="I315" t="s">
        <v>47</v>
      </c>
      <c r="J315" t="str">
        <f t="shared" si="8"/>
        <v>Wednesday</v>
      </c>
      <c r="K315" t="str">
        <f t="shared" si="9"/>
        <v>Weekday</v>
      </c>
      <c r="L315" s="7">
        <f>IF(Bangladesh_Appointment_Trends[[#This Row],[Appointment Status]]="No-Show",1,0)</f>
        <v>0</v>
      </c>
      <c r="Q315" s="7"/>
    </row>
    <row r="316" spans="1:17" x14ac:dyDescent="0.3">
      <c r="A316">
        <v>28</v>
      </c>
      <c r="B316" t="s">
        <v>8</v>
      </c>
      <c r="C316" t="s">
        <v>9</v>
      </c>
      <c r="D316" t="s">
        <v>10</v>
      </c>
      <c r="E316" t="s">
        <v>11</v>
      </c>
      <c r="F316">
        <v>1100</v>
      </c>
      <c r="G316">
        <v>15</v>
      </c>
      <c r="H316" s="3">
        <v>45241</v>
      </c>
      <c r="I316" t="s">
        <v>47</v>
      </c>
      <c r="J316" t="str">
        <f t="shared" si="8"/>
        <v>Saturday</v>
      </c>
      <c r="K316" t="str">
        <f t="shared" si="9"/>
        <v>Weekend</v>
      </c>
      <c r="L316" s="7">
        <f>IF(Bangladesh_Appointment_Trends[[#This Row],[Appointment Status]]="No-Show",1,0)</f>
        <v>0</v>
      </c>
      <c r="Q316" s="7"/>
    </row>
    <row r="317" spans="1:17" x14ac:dyDescent="0.3">
      <c r="A317">
        <v>17</v>
      </c>
      <c r="B317" t="s">
        <v>12</v>
      </c>
      <c r="C317" t="s">
        <v>15</v>
      </c>
      <c r="D317" t="s">
        <v>16</v>
      </c>
      <c r="E317" t="s">
        <v>11</v>
      </c>
      <c r="F317">
        <v>826</v>
      </c>
      <c r="G317">
        <v>7</v>
      </c>
      <c r="H317" s="3">
        <v>45331</v>
      </c>
      <c r="I317" t="s">
        <v>48</v>
      </c>
      <c r="J317" t="str">
        <f t="shared" si="8"/>
        <v>Friday</v>
      </c>
      <c r="K317" t="str">
        <f t="shared" si="9"/>
        <v>Weekend</v>
      </c>
      <c r="L317" s="7">
        <f>IF(Bangladesh_Appointment_Trends[[#This Row],[Appointment Status]]="No-Show",1,0)</f>
        <v>0</v>
      </c>
      <c r="Q317" s="7"/>
    </row>
    <row r="318" spans="1:17" x14ac:dyDescent="0.3">
      <c r="A318">
        <v>64</v>
      </c>
      <c r="B318" t="s">
        <v>12</v>
      </c>
      <c r="C318" t="s">
        <v>23</v>
      </c>
      <c r="D318" t="s">
        <v>24</v>
      </c>
      <c r="E318" t="s">
        <v>22</v>
      </c>
      <c r="F318">
        <v>1156</v>
      </c>
      <c r="G318">
        <v>17</v>
      </c>
      <c r="H318" s="3">
        <v>45298</v>
      </c>
      <c r="I318" t="s">
        <v>45</v>
      </c>
      <c r="J318" t="str">
        <f t="shared" si="8"/>
        <v>Sunday</v>
      </c>
      <c r="K318" t="str">
        <f t="shared" si="9"/>
        <v>Weekday</v>
      </c>
      <c r="L318" s="7">
        <f>IF(Bangladesh_Appointment_Trends[[#This Row],[Appointment Status]]="No-Show",1,0)</f>
        <v>1</v>
      </c>
      <c r="Q318" s="7"/>
    </row>
    <row r="319" spans="1:17" x14ac:dyDescent="0.3">
      <c r="A319">
        <v>11</v>
      </c>
      <c r="B319" t="s">
        <v>12</v>
      </c>
      <c r="C319" t="s">
        <v>23</v>
      </c>
      <c r="D319" t="s">
        <v>14</v>
      </c>
      <c r="E319" t="s">
        <v>11</v>
      </c>
      <c r="F319">
        <v>1563</v>
      </c>
      <c r="G319">
        <v>2</v>
      </c>
      <c r="H319" s="3">
        <v>45548</v>
      </c>
      <c r="I319" t="s">
        <v>48</v>
      </c>
      <c r="J319" t="str">
        <f t="shared" si="8"/>
        <v>Friday</v>
      </c>
      <c r="K319" t="str">
        <f t="shared" si="9"/>
        <v>Weekend</v>
      </c>
      <c r="L319" s="7">
        <f>IF(Bangladesh_Appointment_Trends[[#This Row],[Appointment Status]]="No-Show",1,0)</f>
        <v>0</v>
      </c>
      <c r="Q319" s="7"/>
    </row>
    <row r="320" spans="1:17" x14ac:dyDescent="0.3">
      <c r="A320">
        <v>61</v>
      </c>
      <c r="B320" t="s">
        <v>12</v>
      </c>
      <c r="C320" t="s">
        <v>15</v>
      </c>
      <c r="D320" t="s">
        <v>24</v>
      </c>
      <c r="E320" t="s">
        <v>18</v>
      </c>
      <c r="F320">
        <v>934</v>
      </c>
      <c r="G320">
        <v>9</v>
      </c>
      <c r="H320" s="3">
        <v>45628</v>
      </c>
      <c r="I320" t="s">
        <v>45</v>
      </c>
      <c r="J320" t="str">
        <f t="shared" si="8"/>
        <v>Monday</v>
      </c>
      <c r="K320" t="str">
        <f t="shared" si="9"/>
        <v>Weekday</v>
      </c>
      <c r="L320" s="7">
        <f>IF(Bangladesh_Appointment_Trends[[#This Row],[Appointment Status]]="No-Show",1,0)</f>
        <v>0</v>
      </c>
      <c r="Q320" s="7"/>
    </row>
    <row r="321" spans="1:17" x14ac:dyDescent="0.3">
      <c r="A321">
        <v>40</v>
      </c>
      <c r="B321" t="s">
        <v>8</v>
      </c>
      <c r="C321" t="s">
        <v>13</v>
      </c>
      <c r="D321" t="s">
        <v>14</v>
      </c>
      <c r="E321" t="s">
        <v>11</v>
      </c>
      <c r="F321">
        <v>1593</v>
      </c>
      <c r="G321">
        <v>9</v>
      </c>
      <c r="H321" s="3">
        <v>45634</v>
      </c>
      <c r="I321" t="s">
        <v>46</v>
      </c>
      <c r="J321" t="str">
        <f t="shared" si="8"/>
        <v>Sunday</v>
      </c>
      <c r="K321" t="str">
        <f t="shared" si="9"/>
        <v>Weekday</v>
      </c>
      <c r="L321" s="7">
        <f>IF(Bangladesh_Appointment_Trends[[#This Row],[Appointment Status]]="No-Show",1,0)</f>
        <v>0</v>
      </c>
      <c r="Q321" s="7"/>
    </row>
    <row r="322" spans="1:17" x14ac:dyDescent="0.3">
      <c r="A322">
        <v>49</v>
      </c>
      <c r="B322" t="s">
        <v>12</v>
      </c>
      <c r="C322" t="s">
        <v>9</v>
      </c>
      <c r="D322" t="s">
        <v>24</v>
      </c>
      <c r="E322" t="s">
        <v>11</v>
      </c>
      <c r="F322">
        <v>1090</v>
      </c>
      <c r="G322">
        <v>13</v>
      </c>
      <c r="H322" s="3">
        <v>44964</v>
      </c>
      <c r="I322" t="s">
        <v>46</v>
      </c>
      <c r="J322" t="str">
        <f t="shared" ref="J322:J385" si="10">TEXT(H322,"dddd")</f>
        <v>Tuesday</v>
      </c>
      <c r="K322" t="str">
        <f t="shared" ref="K322:K385" si="11">IF(WEEKDAY(H322,1)&gt;5,"Weekend","Weekday")</f>
        <v>Weekday</v>
      </c>
      <c r="L322" s="7">
        <f>IF(Bangladesh_Appointment_Trends[[#This Row],[Appointment Status]]="No-Show",1,0)</f>
        <v>0</v>
      </c>
      <c r="Q322" s="7"/>
    </row>
    <row r="323" spans="1:17" x14ac:dyDescent="0.3">
      <c r="A323">
        <v>24</v>
      </c>
      <c r="B323" t="s">
        <v>8</v>
      </c>
      <c r="C323" t="s">
        <v>23</v>
      </c>
      <c r="D323" t="s">
        <v>16</v>
      </c>
      <c r="E323" t="s">
        <v>11</v>
      </c>
      <c r="F323">
        <v>803</v>
      </c>
      <c r="G323">
        <v>6</v>
      </c>
      <c r="H323" s="3">
        <v>45528</v>
      </c>
      <c r="I323" t="s">
        <v>47</v>
      </c>
      <c r="J323" t="str">
        <f t="shared" si="10"/>
        <v>Saturday</v>
      </c>
      <c r="K323" t="str">
        <f t="shared" si="11"/>
        <v>Weekend</v>
      </c>
      <c r="L323" s="7">
        <f>IF(Bangladesh_Appointment_Trends[[#This Row],[Appointment Status]]="No-Show",1,0)</f>
        <v>0</v>
      </c>
      <c r="Q323" s="7"/>
    </row>
    <row r="324" spans="1:17" x14ac:dyDescent="0.3">
      <c r="A324">
        <v>69</v>
      </c>
      <c r="B324" t="s">
        <v>12</v>
      </c>
      <c r="C324" t="s">
        <v>19</v>
      </c>
      <c r="D324" t="s">
        <v>16</v>
      </c>
      <c r="E324" t="s">
        <v>11</v>
      </c>
      <c r="F324">
        <v>722</v>
      </c>
      <c r="G324">
        <v>6</v>
      </c>
      <c r="H324" s="3">
        <v>45547</v>
      </c>
      <c r="I324" t="s">
        <v>45</v>
      </c>
      <c r="J324" t="str">
        <f t="shared" si="10"/>
        <v>Thursday</v>
      </c>
      <c r="K324" t="str">
        <f t="shared" si="11"/>
        <v>Weekday</v>
      </c>
      <c r="L324" s="7">
        <f>IF(Bangladesh_Appointment_Trends[[#This Row],[Appointment Status]]="No-Show",1,0)</f>
        <v>0</v>
      </c>
      <c r="Q324" s="7"/>
    </row>
    <row r="325" spans="1:17" x14ac:dyDescent="0.3">
      <c r="A325">
        <v>12</v>
      </c>
      <c r="B325" t="s">
        <v>12</v>
      </c>
      <c r="C325" t="s">
        <v>26</v>
      </c>
      <c r="D325" t="s">
        <v>20</v>
      </c>
      <c r="E325" t="s">
        <v>11</v>
      </c>
      <c r="F325">
        <v>664</v>
      </c>
      <c r="G325">
        <v>20</v>
      </c>
      <c r="H325" s="3">
        <v>45035</v>
      </c>
      <c r="I325" t="s">
        <v>48</v>
      </c>
      <c r="J325" t="str">
        <f t="shared" si="10"/>
        <v>Wednesday</v>
      </c>
      <c r="K325" t="str">
        <f t="shared" si="11"/>
        <v>Weekday</v>
      </c>
      <c r="L325" s="7">
        <f>IF(Bangladesh_Appointment_Trends[[#This Row],[Appointment Status]]="No-Show",1,0)</f>
        <v>0</v>
      </c>
      <c r="Q325" s="7"/>
    </row>
    <row r="326" spans="1:17" x14ac:dyDescent="0.3">
      <c r="A326">
        <v>20</v>
      </c>
      <c r="B326" t="s">
        <v>12</v>
      </c>
      <c r="C326" t="s">
        <v>23</v>
      </c>
      <c r="D326" t="s">
        <v>10</v>
      </c>
      <c r="E326" t="s">
        <v>11</v>
      </c>
      <c r="F326">
        <v>1189</v>
      </c>
      <c r="G326">
        <v>20</v>
      </c>
      <c r="H326" s="3">
        <v>45511</v>
      </c>
      <c r="I326" t="s">
        <v>47</v>
      </c>
      <c r="J326" t="str">
        <f t="shared" si="10"/>
        <v>Wednesday</v>
      </c>
      <c r="K326" t="str">
        <f t="shared" si="11"/>
        <v>Weekday</v>
      </c>
      <c r="L326" s="7">
        <f>IF(Bangladesh_Appointment_Trends[[#This Row],[Appointment Status]]="No-Show",1,0)</f>
        <v>0</v>
      </c>
      <c r="Q326" s="7"/>
    </row>
    <row r="327" spans="1:17" x14ac:dyDescent="0.3">
      <c r="A327">
        <v>18</v>
      </c>
      <c r="B327" t="s">
        <v>8</v>
      </c>
      <c r="C327" t="s">
        <v>23</v>
      </c>
      <c r="D327" t="s">
        <v>24</v>
      </c>
      <c r="E327" t="s">
        <v>18</v>
      </c>
      <c r="F327">
        <v>1159</v>
      </c>
      <c r="G327">
        <v>3</v>
      </c>
      <c r="H327" s="3">
        <v>45545</v>
      </c>
      <c r="I327" t="s">
        <v>47</v>
      </c>
      <c r="J327" t="str">
        <f t="shared" si="10"/>
        <v>Tuesday</v>
      </c>
      <c r="K327" t="str">
        <f t="shared" si="11"/>
        <v>Weekday</v>
      </c>
      <c r="L327" s="7">
        <f>IF(Bangladesh_Appointment_Trends[[#This Row],[Appointment Status]]="No-Show",1,0)</f>
        <v>0</v>
      </c>
      <c r="Q327" s="7"/>
    </row>
    <row r="328" spans="1:17" x14ac:dyDescent="0.3">
      <c r="A328">
        <v>19</v>
      </c>
      <c r="B328" t="s">
        <v>8</v>
      </c>
      <c r="C328" t="s">
        <v>25</v>
      </c>
      <c r="D328" t="s">
        <v>17</v>
      </c>
      <c r="E328" t="s">
        <v>11</v>
      </c>
      <c r="F328">
        <v>1174</v>
      </c>
      <c r="G328">
        <v>17</v>
      </c>
      <c r="H328" s="3">
        <v>45224</v>
      </c>
      <c r="I328" t="s">
        <v>47</v>
      </c>
      <c r="J328" t="str">
        <f t="shared" si="10"/>
        <v>Wednesday</v>
      </c>
      <c r="K328" t="str">
        <f t="shared" si="11"/>
        <v>Weekday</v>
      </c>
      <c r="L328" s="7">
        <f>IF(Bangladesh_Appointment_Trends[[#This Row],[Appointment Status]]="No-Show",1,0)</f>
        <v>0</v>
      </c>
      <c r="Q328" s="7"/>
    </row>
    <row r="329" spans="1:17" x14ac:dyDescent="0.3">
      <c r="A329">
        <v>70</v>
      </c>
      <c r="B329" t="s">
        <v>12</v>
      </c>
      <c r="C329" t="s">
        <v>15</v>
      </c>
      <c r="D329" t="s">
        <v>20</v>
      </c>
      <c r="E329" t="s">
        <v>11</v>
      </c>
      <c r="F329">
        <v>471</v>
      </c>
      <c r="G329">
        <v>17</v>
      </c>
      <c r="H329" s="3">
        <v>45581</v>
      </c>
      <c r="I329" t="s">
        <v>45</v>
      </c>
      <c r="J329" t="str">
        <f t="shared" si="10"/>
        <v>Wednesday</v>
      </c>
      <c r="K329" t="str">
        <f t="shared" si="11"/>
        <v>Weekday</v>
      </c>
      <c r="L329" s="7">
        <f>IF(Bangladesh_Appointment_Trends[[#This Row],[Appointment Status]]="No-Show",1,0)</f>
        <v>0</v>
      </c>
      <c r="Q329" s="7"/>
    </row>
    <row r="330" spans="1:17" x14ac:dyDescent="0.3">
      <c r="A330">
        <v>36</v>
      </c>
      <c r="B330" t="s">
        <v>12</v>
      </c>
      <c r="C330" t="s">
        <v>15</v>
      </c>
      <c r="D330" t="s">
        <v>24</v>
      </c>
      <c r="E330" t="s">
        <v>11</v>
      </c>
      <c r="F330">
        <v>1158</v>
      </c>
      <c r="G330">
        <v>12</v>
      </c>
      <c r="H330" s="3">
        <v>45415</v>
      </c>
      <c r="I330" t="s">
        <v>46</v>
      </c>
      <c r="J330" t="str">
        <f t="shared" si="10"/>
        <v>Friday</v>
      </c>
      <c r="K330" t="str">
        <f t="shared" si="11"/>
        <v>Weekend</v>
      </c>
      <c r="L330" s="7">
        <f>IF(Bangladesh_Appointment_Trends[[#This Row],[Appointment Status]]="No-Show",1,0)</f>
        <v>0</v>
      </c>
      <c r="Q330" s="7"/>
    </row>
    <row r="331" spans="1:17" x14ac:dyDescent="0.3">
      <c r="A331">
        <v>67</v>
      </c>
      <c r="B331" t="s">
        <v>8</v>
      </c>
      <c r="C331" t="s">
        <v>23</v>
      </c>
      <c r="D331" t="s">
        <v>24</v>
      </c>
      <c r="E331" t="s">
        <v>11</v>
      </c>
      <c r="F331">
        <v>1087</v>
      </c>
      <c r="G331">
        <v>16</v>
      </c>
      <c r="H331" s="3">
        <v>45483</v>
      </c>
      <c r="I331" t="s">
        <v>45</v>
      </c>
      <c r="J331" t="str">
        <f t="shared" si="10"/>
        <v>Wednesday</v>
      </c>
      <c r="K331" t="str">
        <f t="shared" si="11"/>
        <v>Weekday</v>
      </c>
      <c r="L331" s="7">
        <f>IF(Bangladesh_Appointment_Trends[[#This Row],[Appointment Status]]="No-Show",1,0)</f>
        <v>0</v>
      </c>
      <c r="Q331" s="7"/>
    </row>
    <row r="332" spans="1:17" x14ac:dyDescent="0.3">
      <c r="A332">
        <v>55</v>
      </c>
      <c r="B332" t="s">
        <v>12</v>
      </c>
      <c r="C332" t="s">
        <v>9</v>
      </c>
      <c r="D332" t="s">
        <v>20</v>
      </c>
      <c r="E332" t="s">
        <v>11</v>
      </c>
      <c r="F332">
        <v>572</v>
      </c>
      <c r="G332">
        <v>15</v>
      </c>
      <c r="H332" s="3">
        <v>45205</v>
      </c>
      <c r="I332" t="s">
        <v>46</v>
      </c>
      <c r="J332" t="str">
        <f t="shared" si="10"/>
        <v>Friday</v>
      </c>
      <c r="K332" t="str">
        <f t="shared" si="11"/>
        <v>Weekend</v>
      </c>
      <c r="L332" s="7">
        <f>IF(Bangladesh_Appointment_Trends[[#This Row],[Appointment Status]]="No-Show",1,0)</f>
        <v>0</v>
      </c>
      <c r="Q332" s="7"/>
    </row>
    <row r="333" spans="1:17" x14ac:dyDescent="0.3">
      <c r="A333">
        <v>29</v>
      </c>
      <c r="B333" t="s">
        <v>12</v>
      </c>
      <c r="C333" t="s">
        <v>23</v>
      </c>
      <c r="D333" t="s">
        <v>16</v>
      </c>
      <c r="E333" t="s">
        <v>11</v>
      </c>
      <c r="F333">
        <v>989</v>
      </c>
      <c r="G333">
        <v>13</v>
      </c>
      <c r="H333" s="3">
        <v>45400</v>
      </c>
      <c r="I333" t="s">
        <v>47</v>
      </c>
      <c r="J333" t="str">
        <f t="shared" si="10"/>
        <v>Thursday</v>
      </c>
      <c r="K333" t="str">
        <f t="shared" si="11"/>
        <v>Weekday</v>
      </c>
      <c r="L333" s="7">
        <f>IF(Bangladesh_Appointment_Trends[[#This Row],[Appointment Status]]="No-Show",1,0)</f>
        <v>0</v>
      </c>
      <c r="Q333" s="7"/>
    </row>
    <row r="334" spans="1:17" x14ac:dyDescent="0.3">
      <c r="A334">
        <v>62</v>
      </c>
      <c r="B334" t="s">
        <v>8</v>
      </c>
      <c r="C334" t="s">
        <v>15</v>
      </c>
      <c r="D334" t="s">
        <v>24</v>
      </c>
      <c r="E334" t="s">
        <v>11</v>
      </c>
      <c r="F334">
        <v>944</v>
      </c>
      <c r="G334">
        <v>1</v>
      </c>
      <c r="H334" s="3">
        <v>44944</v>
      </c>
      <c r="I334" t="s">
        <v>45</v>
      </c>
      <c r="J334" t="str">
        <f t="shared" si="10"/>
        <v>Wednesday</v>
      </c>
      <c r="K334" t="str">
        <f t="shared" si="11"/>
        <v>Weekday</v>
      </c>
      <c r="L334" s="7">
        <f>IF(Bangladesh_Appointment_Trends[[#This Row],[Appointment Status]]="No-Show",1,0)</f>
        <v>0</v>
      </c>
      <c r="Q334" s="7"/>
    </row>
    <row r="335" spans="1:17" x14ac:dyDescent="0.3">
      <c r="A335">
        <v>67</v>
      </c>
      <c r="B335" t="s">
        <v>8</v>
      </c>
      <c r="C335" t="s">
        <v>9</v>
      </c>
      <c r="D335" t="s">
        <v>16</v>
      </c>
      <c r="E335" t="s">
        <v>11</v>
      </c>
      <c r="F335">
        <v>760</v>
      </c>
      <c r="G335">
        <v>17</v>
      </c>
      <c r="H335" s="3">
        <v>45356</v>
      </c>
      <c r="I335" t="s">
        <v>45</v>
      </c>
      <c r="J335" t="str">
        <f t="shared" si="10"/>
        <v>Tuesday</v>
      </c>
      <c r="K335" t="str">
        <f t="shared" si="11"/>
        <v>Weekday</v>
      </c>
      <c r="L335" s="7">
        <f>IF(Bangladesh_Appointment_Trends[[#This Row],[Appointment Status]]="No-Show",1,0)</f>
        <v>0</v>
      </c>
      <c r="Q335" s="7"/>
    </row>
    <row r="336" spans="1:17" x14ac:dyDescent="0.3">
      <c r="A336">
        <v>66</v>
      </c>
      <c r="B336" t="s">
        <v>12</v>
      </c>
      <c r="C336" t="s">
        <v>9</v>
      </c>
      <c r="D336" t="s">
        <v>20</v>
      </c>
      <c r="E336" t="s">
        <v>11</v>
      </c>
      <c r="F336">
        <v>482</v>
      </c>
      <c r="G336">
        <v>3</v>
      </c>
      <c r="H336" s="3">
        <v>45067</v>
      </c>
      <c r="I336" t="s">
        <v>45</v>
      </c>
      <c r="J336" t="str">
        <f t="shared" si="10"/>
        <v>Sunday</v>
      </c>
      <c r="K336" t="str">
        <f t="shared" si="11"/>
        <v>Weekday</v>
      </c>
      <c r="L336" s="7">
        <f>IF(Bangladesh_Appointment_Trends[[#This Row],[Appointment Status]]="No-Show",1,0)</f>
        <v>0</v>
      </c>
      <c r="Q336" s="7"/>
    </row>
    <row r="337" spans="1:17" x14ac:dyDescent="0.3">
      <c r="A337">
        <v>26</v>
      </c>
      <c r="B337" t="s">
        <v>8</v>
      </c>
      <c r="C337" t="s">
        <v>9</v>
      </c>
      <c r="D337" t="s">
        <v>16</v>
      </c>
      <c r="E337" t="s">
        <v>18</v>
      </c>
      <c r="F337">
        <v>822</v>
      </c>
      <c r="G337">
        <v>15</v>
      </c>
      <c r="H337" s="3">
        <v>45358</v>
      </c>
      <c r="I337" t="s">
        <v>47</v>
      </c>
      <c r="J337" t="str">
        <f t="shared" si="10"/>
        <v>Thursday</v>
      </c>
      <c r="K337" t="str">
        <f t="shared" si="11"/>
        <v>Weekday</v>
      </c>
      <c r="L337" s="7">
        <f>IF(Bangladesh_Appointment_Trends[[#This Row],[Appointment Status]]="No-Show",1,0)</f>
        <v>0</v>
      </c>
      <c r="Q337" s="7"/>
    </row>
    <row r="338" spans="1:17" x14ac:dyDescent="0.3">
      <c r="A338">
        <v>62</v>
      </c>
      <c r="B338" t="s">
        <v>8</v>
      </c>
      <c r="C338" t="s">
        <v>19</v>
      </c>
      <c r="D338" t="s">
        <v>14</v>
      </c>
      <c r="E338" t="s">
        <v>11</v>
      </c>
      <c r="F338">
        <v>1415</v>
      </c>
      <c r="G338">
        <v>4</v>
      </c>
      <c r="H338" s="3">
        <v>45262</v>
      </c>
      <c r="I338" t="s">
        <v>45</v>
      </c>
      <c r="J338" t="str">
        <f t="shared" si="10"/>
        <v>Saturday</v>
      </c>
      <c r="K338" t="str">
        <f t="shared" si="11"/>
        <v>Weekend</v>
      </c>
      <c r="L338" s="7">
        <f>IF(Bangladesh_Appointment_Trends[[#This Row],[Appointment Status]]="No-Show",1,0)</f>
        <v>0</v>
      </c>
      <c r="Q338" s="7"/>
    </row>
    <row r="339" spans="1:17" x14ac:dyDescent="0.3">
      <c r="A339">
        <v>62</v>
      </c>
      <c r="B339" t="s">
        <v>12</v>
      </c>
      <c r="C339" t="s">
        <v>9</v>
      </c>
      <c r="D339" t="s">
        <v>17</v>
      </c>
      <c r="E339" t="s">
        <v>11</v>
      </c>
      <c r="F339">
        <v>1165</v>
      </c>
      <c r="G339">
        <v>4</v>
      </c>
      <c r="H339" s="3">
        <v>45241</v>
      </c>
      <c r="I339" t="s">
        <v>45</v>
      </c>
      <c r="J339" t="str">
        <f t="shared" si="10"/>
        <v>Saturday</v>
      </c>
      <c r="K339" t="str">
        <f t="shared" si="11"/>
        <v>Weekend</v>
      </c>
      <c r="L339" s="7">
        <f>IF(Bangladesh_Appointment_Trends[[#This Row],[Appointment Status]]="No-Show",1,0)</f>
        <v>0</v>
      </c>
      <c r="Q339" s="7"/>
    </row>
    <row r="340" spans="1:17" x14ac:dyDescent="0.3">
      <c r="A340">
        <v>53</v>
      </c>
      <c r="B340" t="s">
        <v>8</v>
      </c>
      <c r="C340" t="s">
        <v>9</v>
      </c>
      <c r="D340" t="s">
        <v>24</v>
      </c>
      <c r="E340" t="s">
        <v>11</v>
      </c>
      <c r="F340">
        <v>1044</v>
      </c>
      <c r="G340">
        <v>18</v>
      </c>
      <c r="H340" s="3">
        <v>45120</v>
      </c>
      <c r="I340" t="s">
        <v>46</v>
      </c>
      <c r="J340" t="str">
        <f t="shared" si="10"/>
        <v>Thursday</v>
      </c>
      <c r="K340" t="str">
        <f t="shared" si="11"/>
        <v>Weekday</v>
      </c>
      <c r="L340" s="7">
        <f>IF(Bangladesh_Appointment_Trends[[#This Row],[Appointment Status]]="No-Show",1,0)</f>
        <v>0</v>
      </c>
      <c r="Q340" s="7"/>
    </row>
    <row r="341" spans="1:17" x14ac:dyDescent="0.3">
      <c r="A341">
        <v>56</v>
      </c>
      <c r="B341" t="s">
        <v>8</v>
      </c>
      <c r="C341" t="s">
        <v>9</v>
      </c>
      <c r="D341" t="s">
        <v>10</v>
      </c>
      <c r="E341" t="s">
        <v>11</v>
      </c>
      <c r="F341">
        <v>1061</v>
      </c>
      <c r="G341">
        <v>17</v>
      </c>
      <c r="H341" s="3">
        <v>45283</v>
      </c>
      <c r="I341" t="s">
        <v>45</v>
      </c>
      <c r="J341" t="str">
        <f t="shared" si="10"/>
        <v>Saturday</v>
      </c>
      <c r="K341" t="str">
        <f t="shared" si="11"/>
        <v>Weekend</v>
      </c>
      <c r="L341" s="7">
        <f>IF(Bangladesh_Appointment_Trends[[#This Row],[Appointment Status]]="No-Show",1,0)</f>
        <v>0</v>
      </c>
      <c r="Q341" s="7"/>
    </row>
    <row r="342" spans="1:17" x14ac:dyDescent="0.3">
      <c r="A342">
        <v>46</v>
      </c>
      <c r="B342" t="s">
        <v>12</v>
      </c>
      <c r="C342" t="s">
        <v>9</v>
      </c>
      <c r="D342" t="s">
        <v>17</v>
      </c>
      <c r="E342" t="s">
        <v>22</v>
      </c>
      <c r="F342">
        <v>1333</v>
      </c>
      <c r="G342">
        <v>19</v>
      </c>
      <c r="H342" s="3">
        <v>45174</v>
      </c>
      <c r="I342" t="s">
        <v>46</v>
      </c>
      <c r="J342" t="str">
        <f t="shared" si="10"/>
        <v>Tuesday</v>
      </c>
      <c r="K342" t="str">
        <f t="shared" si="11"/>
        <v>Weekday</v>
      </c>
      <c r="L342" s="7">
        <f>IF(Bangladesh_Appointment_Trends[[#This Row],[Appointment Status]]="No-Show",1,0)</f>
        <v>1</v>
      </c>
      <c r="Q342" s="7"/>
    </row>
    <row r="343" spans="1:17" x14ac:dyDescent="0.3">
      <c r="A343">
        <v>74</v>
      </c>
      <c r="B343" t="s">
        <v>12</v>
      </c>
      <c r="C343" t="s">
        <v>25</v>
      </c>
      <c r="D343" t="s">
        <v>16</v>
      </c>
      <c r="E343" t="s">
        <v>11</v>
      </c>
      <c r="F343">
        <v>843</v>
      </c>
      <c r="G343">
        <v>11</v>
      </c>
      <c r="H343" s="3">
        <v>45266</v>
      </c>
      <c r="I343" t="s">
        <v>45</v>
      </c>
      <c r="J343" t="str">
        <f t="shared" si="10"/>
        <v>Wednesday</v>
      </c>
      <c r="K343" t="str">
        <f t="shared" si="11"/>
        <v>Weekday</v>
      </c>
      <c r="L343" s="7">
        <f>IF(Bangladesh_Appointment_Trends[[#This Row],[Appointment Status]]="No-Show",1,0)</f>
        <v>0</v>
      </c>
      <c r="Q343" s="7"/>
    </row>
    <row r="344" spans="1:17" x14ac:dyDescent="0.3">
      <c r="A344">
        <v>19</v>
      </c>
      <c r="B344" t="s">
        <v>12</v>
      </c>
      <c r="C344" t="s">
        <v>15</v>
      </c>
      <c r="D344" t="s">
        <v>24</v>
      </c>
      <c r="E344" t="s">
        <v>11</v>
      </c>
      <c r="F344">
        <v>1087</v>
      </c>
      <c r="G344">
        <v>20</v>
      </c>
      <c r="H344" s="3">
        <v>45467</v>
      </c>
      <c r="I344" t="s">
        <v>47</v>
      </c>
      <c r="J344" t="str">
        <f t="shared" si="10"/>
        <v>Monday</v>
      </c>
      <c r="K344" t="str">
        <f t="shared" si="11"/>
        <v>Weekday</v>
      </c>
      <c r="L344" s="7">
        <f>IF(Bangladesh_Appointment_Trends[[#This Row],[Appointment Status]]="No-Show",1,0)</f>
        <v>0</v>
      </c>
      <c r="Q344" s="7"/>
    </row>
    <row r="345" spans="1:17" x14ac:dyDescent="0.3">
      <c r="A345">
        <v>58</v>
      </c>
      <c r="B345" t="s">
        <v>8</v>
      </c>
      <c r="C345" t="s">
        <v>19</v>
      </c>
      <c r="D345" t="s">
        <v>16</v>
      </c>
      <c r="E345" t="s">
        <v>11</v>
      </c>
      <c r="F345">
        <v>712</v>
      </c>
      <c r="G345">
        <v>3</v>
      </c>
      <c r="H345" s="3">
        <v>45591</v>
      </c>
      <c r="I345" t="s">
        <v>45</v>
      </c>
      <c r="J345" t="str">
        <f t="shared" si="10"/>
        <v>Saturday</v>
      </c>
      <c r="K345" t="str">
        <f t="shared" si="11"/>
        <v>Weekend</v>
      </c>
      <c r="L345" s="7">
        <f>IF(Bangladesh_Appointment_Trends[[#This Row],[Appointment Status]]="No-Show",1,0)</f>
        <v>0</v>
      </c>
      <c r="Q345" s="7"/>
    </row>
    <row r="346" spans="1:17" x14ac:dyDescent="0.3">
      <c r="A346">
        <v>64</v>
      </c>
      <c r="B346" t="s">
        <v>12</v>
      </c>
      <c r="C346" t="s">
        <v>19</v>
      </c>
      <c r="D346" t="s">
        <v>14</v>
      </c>
      <c r="E346" t="s">
        <v>11</v>
      </c>
      <c r="F346">
        <v>1583</v>
      </c>
      <c r="G346">
        <v>8</v>
      </c>
      <c r="H346" s="3">
        <v>44940</v>
      </c>
      <c r="I346" t="s">
        <v>45</v>
      </c>
      <c r="J346" t="str">
        <f t="shared" si="10"/>
        <v>Saturday</v>
      </c>
      <c r="K346" t="str">
        <f t="shared" si="11"/>
        <v>Weekend</v>
      </c>
      <c r="L346" s="7">
        <f>IF(Bangladesh_Appointment_Trends[[#This Row],[Appointment Status]]="No-Show",1,0)</f>
        <v>0</v>
      </c>
      <c r="Q346" s="7"/>
    </row>
    <row r="347" spans="1:17" x14ac:dyDescent="0.3">
      <c r="A347">
        <v>12</v>
      </c>
      <c r="B347" t="s">
        <v>8</v>
      </c>
      <c r="C347" t="s">
        <v>23</v>
      </c>
      <c r="D347" t="s">
        <v>20</v>
      </c>
      <c r="E347" t="s">
        <v>11</v>
      </c>
      <c r="F347">
        <v>510</v>
      </c>
      <c r="G347">
        <v>14</v>
      </c>
      <c r="H347" s="3">
        <v>45119</v>
      </c>
      <c r="I347" t="s">
        <v>48</v>
      </c>
      <c r="J347" t="str">
        <f t="shared" si="10"/>
        <v>Wednesday</v>
      </c>
      <c r="K347" t="str">
        <f t="shared" si="11"/>
        <v>Weekday</v>
      </c>
      <c r="L347" s="7">
        <f>IF(Bangladesh_Appointment_Trends[[#This Row],[Appointment Status]]="No-Show",1,0)</f>
        <v>0</v>
      </c>
      <c r="Q347" s="7"/>
    </row>
    <row r="348" spans="1:17" x14ac:dyDescent="0.3">
      <c r="A348">
        <v>57</v>
      </c>
      <c r="B348" t="s">
        <v>8</v>
      </c>
      <c r="C348" t="s">
        <v>19</v>
      </c>
      <c r="D348" t="s">
        <v>24</v>
      </c>
      <c r="E348" t="s">
        <v>11</v>
      </c>
      <c r="F348">
        <v>1189</v>
      </c>
      <c r="G348">
        <v>1</v>
      </c>
      <c r="H348" s="3">
        <v>44989</v>
      </c>
      <c r="I348" t="s">
        <v>45</v>
      </c>
      <c r="J348" t="str">
        <f t="shared" si="10"/>
        <v>Saturday</v>
      </c>
      <c r="K348" t="str">
        <f t="shared" si="11"/>
        <v>Weekend</v>
      </c>
      <c r="L348" s="7">
        <f>IF(Bangladesh_Appointment_Trends[[#This Row],[Appointment Status]]="No-Show",1,0)</f>
        <v>0</v>
      </c>
      <c r="Q348" s="7"/>
    </row>
    <row r="349" spans="1:17" x14ac:dyDescent="0.3">
      <c r="A349">
        <v>64</v>
      </c>
      <c r="B349" t="s">
        <v>12</v>
      </c>
      <c r="C349" t="s">
        <v>25</v>
      </c>
      <c r="D349" t="s">
        <v>14</v>
      </c>
      <c r="E349" t="s">
        <v>22</v>
      </c>
      <c r="F349">
        <v>1694</v>
      </c>
      <c r="G349">
        <v>14</v>
      </c>
      <c r="H349" s="3">
        <v>45069</v>
      </c>
      <c r="I349" t="s">
        <v>45</v>
      </c>
      <c r="J349" t="str">
        <f t="shared" si="10"/>
        <v>Tuesday</v>
      </c>
      <c r="K349" t="str">
        <f t="shared" si="11"/>
        <v>Weekday</v>
      </c>
      <c r="L349" s="7">
        <f>IF(Bangladesh_Appointment_Trends[[#This Row],[Appointment Status]]="No-Show",1,0)</f>
        <v>1</v>
      </c>
      <c r="Q349" s="7"/>
    </row>
    <row r="350" spans="1:17" x14ac:dyDescent="0.3">
      <c r="A350">
        <v>9</v>
      </c>
      <c r="B350" t="s">
        <v>8</v>
      </c>
      <c r="C350" t="s">
        <v>26</v>
      </c>
      <c r="D350" t="s">
        <v>14</v>
      </c>
      <c r="E350" t="s">
        <v>11</v>
      </c>
      <c r="F350">
        <v>1614</v>
      </c>
      <c r="G350">
        <v>2</v>
      </c>
      <c r="H350" s="3">
        <v>45571</v>
      </c>
      <c r="I350" t="s">
        <v>48</v>
      </c>
      <c r="J350" t="str">
        <f t="shared" si="10"/>
        <v>Sunday</v>
      </c>
      <c r="K350" t="str">
        <f t="shared" si="11"/>
        <v>Weekday</v>
      </c>
      <c r="L350" s="7">
        <f>IF(Bangladesh_Appointment_Trends[[#This Row],[Appointment Status]]="No-Show",1,0)</f>
        <v>0</v>
      </c>
      <c r="Q350" s="7"/>
    </row>
    <row r="351" spans="1:17" x14ac:dyDescent="0.3">
      <c r="A351">
        <v>72</v>
      </c>
      <c r="B351" t="s">
        <v>12</v>
      </c>
      <c r="C351" t="s">
        <v>15</v>
      </c>
      <c r="D351" t="s">
        <v>24</v>
      </c>
      <c r="E351" t="s">
        <v>11</v>
      </c>
      <c r="F351">
        <v>1019</v>
      </c>
      <c r="G351">
        <v>4</v>
      </c>
      <c r="H351" s="3">
        <v>45026</v>
      </c>
      <c r="I351" t="s">
        <v>45</v>
      </c>
      <c r="J351" t="str">
        <f t="shared" si="10"/>
        <v>Monday</v>
      </c>
      <c r="K351" t="str">
        <f t="shared" si="11"/>
        <v>Weekday</v>
      </c>
      <c r="L351" s="7">
        <f>IF(Bangladesh_Appointment_Trends[[#This Row],[Appointment Status]]="No-Show",1,0)</f>
        <v>0</v>
      </c>
      <c r="Q351" s="7"/>
    </row>
    <row r="352" spans="1:17" x14ac:dyDescent="0.3">
      <c r="A352">
        <v>10</v>
      </c>
      <c r="B352" t="s">
        <v>8</v>
      </c>
      <c r="C352" t="s">
        <v>15</v>
      </c>
      <c r="D352" t="s">
        <v>16</v>
      </c>
      <c r="E352" t="s">
        <v>11</v>
      </c>
      <c r="F352">
        <v>754</v>
      </c>
      <c r="G352">
        <v>19</v>
      </c>
      <c r="H352" s="3">
        <v>45583</v>
      </c>
      <c r="I352" t="s">
        <v>48</v>
      </c>
      <c r="J352" t="str">
        <f t="shared" si="10"/>
        <v>Friday</v>
      </c>
      <c r="K352" t="str">
        <f t="shared" si="11"/>
        <v>Weekend</v>
      </c>
      <c r="L352" s="7">
        <f>IF(Bangladesh_Appointment_Trends[[#This Row],[Appointment Status]]="No-Show",1,0)</f>
        <v>0</v>
      </c>
      <c r="Q352" s="7"/>
    </row>
    <row r="353" spans="1:17" x14ac:dyDescent="0.3">
      <c r="A353">
        <v>51</v>
      </c>
      <c r="B353" t="s">
        <v>8</v>
      </c>
      <c r="C353" t="s">
        <v>9</v>
      </c>
      <c r="D353" t="s">
        <v>10</v>
      </c>
      <c r="E353" t="s">
        <v>11</v>
      </c>
      <c r="F353">
        <v>926</v>
      </c>
      <c r="G353">
        <v>6</v>
      </c>
      <c r="H353" s="3">
        <v>45427</v>
      </c>
      <c r="I353" t="s">
        <v>46</v>
      </c>
      <c r="J353" t="str">
        <f t="shared" si="10"/>
        <v>Wednesday</v>
      </c>
      <c r="K353" t="str">
        <f t="shared" si="11"/>
        <v>Weekday</v>
      </c>
      <c r="L353" s="7">
        <f>IF(Bangladesh_Appointment_Trends[[#This Row],[Appointment Status]]="No-Show",1,0)</f>
        <v>0</v>
      </c>
      <c r="Q353" s="7"/>
    </row>
    <row r="354" spans="1:17" x14ac:dyDescent="0.3">
      <c r="A354">
        <v>59</v>
      </c>
      <c r="B354" t="s">
        <v>12</v>
      </c>
      <c r="C354" t="s">
        <v>15</v>
      </c>
      <c r="D354" t="s">
        <v>14</v>
      </c>
      <c r="E354" t="s">
        <v>11</v>
      </c>
      <c r="F354">
        <v>1517</v>
      </c>
      <c r="G354">
        <v>1</v>
      </c>
      <c r="H354" s="3">
        <v>45054</v>
      </c>
      <c r="I354" t="s">
        <v>45</v>
      </c>
      <c r="J354" t="str">
        <f t="shared" si="10"/>
        <v>Monday</v>
      </c>
      <c r="K354" t="str">
        <f t="shared" si="11"/>
        <v>Weekday</v>
      </c>
      <c r="L354" s="7">
        <f>IF(Bangladesh_Appointment_Trends[[#This Row],[Appointment Status]]="No-Show",1,0)</f>
        <v>0</v>
      </c>
      <c r="Q354" s="7"/>
    </row>
    <row r="355" spans="1:17" x14ac:dyDescent="0.3">
      <c r="A355">
        <v>44</v>
      </c>
      <c r="B355" t="s">
        <v>12</v>
      </c>
      <c r="C355" t="s">
        <v>19</v>
      </c>
      <c r="D355" t="s">
        <v>17</v>
      </c>
      <c r="E355" t="s">
        <v>18</v>
      </c>
      <c r="F355">
        <v>1320</v>
      </c>
      <c r="G355">
        <v>17</v>
      </c>
      <c r="H355" s="3">
        <v>45103</v>
      </c>
      <c r="I355" t="s">
        <v>46</v>
      </c>
      <c r="J355" t="str">
        <f t="shared" si="10"/>
        <v>Monday</v>
      </c>
      <c r="K355" t="str">
        <f t="shared" si="11"/>
        <v>Weekday</v>
      </c>
      <c r="L355" s="7">
        <f>IF(Bangladesh_Appointment_Trends[[#This Row],[Appointment Status]]="No-Show",1,0)</f>
        <v>0</v>
      </c>
      <c r="Q355" s="7"/>
    </row>
    <row r="356" spans="1:17" x14ac:dyDescent="0.3">
      <c r="A356">
        <v>56</v>
      </c>
      <c r="B356" t="s">
        <v>12</v>
      </c>
      <c r="C356" t="s">
        <v>21</v>
      </c>
      <c r="D356" t="s">
        <v>14</v>
      </c>
      <c r="E356" t="s">
        <v>18</v>
      </c>
      <c r="F356">
        <v>1630</v>
      </c>
      <c r="G356">
        <v>8</v>
      </c>
      <c r="H356" s="3">
        <v>45574</v>
      </c>
      <c r="I356" t="s">
        <v>45</v>
      </c>
      <c r="J356" t="str">
        <f t="shared" si="10"/>
        <v>Wednesday</v>
      </c>
      <c r="K356" t="str">
        <f t="shared" si="11"/>
        <v>Weekday</v>
      </c>
      <c r="L356" s="7">
        <f>IF(Bangladesh_Appointment_Trends[[#This Row],[Appointment Status]]="No-Show",1,0)</f>
        <v>0</v>
      </c>
      <c r="Q356" s="7"/>
    </row>
    <row r="357" spans="1:17" x14ac:dyDescent="0.3">
      <c r="A357">
        <v>20</v>
      </c>
      <c r="B357" t="s">
        <v>12</v>
      </c>
      <c r="C357" t="s">
        <v>15</v>
      </c>
      <c r="D357" t="s">
        <v>10</v>
      </c>
      <c r="E357" t="s">
        <v>11</v>
      </c>
      <c r="F357">
        <v>952</v>
      </c>
      <c r="G357">
        <v>19</v>
      </c>
      <c r="H357" s="3">
        <v>45631</v>
      </c>
      <c r="I357" t="s">
        <v>47</v>
      </c>
      <c r="J357" t="str">
        <f t="shared" si="10"/>
        <v>Thursday</v>
      </c>
      <c r="K357" t="str">
        <f t="shared" si="11"/>
        <v>Weekday</v>
      </c>
      <c r="L357" s="7">
        <f>IF(Bangladesh_Appointment_Trends[[#This Row],[Appointment Status]]="No-Show",1,0)</f>
        <v>0</v>
      </c>
      <c r="Q357" s="7"/>
    </row>
    <row r="358" spans="1:17" x14ac:dyDescent="0.3">
      <c r="A358">
        <v>17</v>
      </c>
      <c r="B358" t="s">
        <v>12</v>
      </c>
      <c r="C358" t="s">
        <v>15</v>
      </c>
      <c r="D358" t="s">
        <v>16</v>
      </c>
      <c r="E358" t="s">
        <v>18</v>
      </c>
      <c r="F358">
        <v>994</v>
      </c>
      <c r="G358">
        <v>1</v>
      </c>
      <c r="H358" s="3">
        <v>45209</v>
      </c>
      <c r="I358" t="s">
        <v>48</v>
      </c>
      <c r="J358" t="str">
        <f t="shared" si="10"/>
        <v>Tuesday</v>
      </c>
      <c r="K358" t="str">
        <f t="shared" si="11"/>
        <v>Weekday</v>
      </c>
      <c r="L358" s="7">
        <f>IF(Bangladesh_Appointment_Trends[[#This Row],[Appointment Status]]="No-Show",1,0)</f>
        <v>0</v>
      </c>
      <c r="Q358" s="7"/>
    </row>
    <row r="359" spans="1:17" x14ac:dyDescent="0.3">
      <c r="A359">
        <v>34</v>
      </c>
      <c r="B359" t="s">
        <v>12</v>
      </c>
      <c r="C359" t="s">
        <v>15</v>
      </c>
      <c r="D359" t="s">
        <v>16</v>
      </c>
      <c r="E359" t="s">
        <v>22</v>
      </c>
      <c r="F359">
        <v>932</v>
      </c>
      <c r="G359">
        <v>5</v>
      </c>
      <c r="H359" s="3">
        <v>45250</v>
      </c>
      <c r="I359" t="s">
        <v>47</v>
      </c>
      <c r="J359" t="str">
        <f t="shared" si="10"/>
        <v>Monday</v>
      </c>
      <c r="K359" t="str">
        <f t="shared" si="11"/>
        <v>Weekday</v>
      </c>
      <c r="L359" s="7">
        <f>IF(Bangladesh_Appointment_Trends[[#This Row],[Appointment Status]]="No-Show",1,0)</f>
        <v>1</v>
      </c>
      <c r="Q359" s="7"/>
    </row>
    <row r="360" spans="1:17" x14ac:dyDescent="0.3">
      <c r="A360">
        <v>23</v>
      </c>
      <c r="B360" t="s">
        <v>8</v>
      </c>
      <c r="C360" t="s">
        <v>23</v>
      </c>
      <c r="D360" t="s">
        <v>17</v>
      </c>
      <c r="E360" t="s">
        <v>18</v>
      </c>
      <c r="F360">
        <v>1257</v>
      </c>
      <c r="G360">
        <v>16</v>
      </c>
      <c r="H360" s="3">
        <v>45083</v>
      </c>
      <c r="I360" t="s">
        <v>47</v>
      </c>
      <c r="J360" t="str">
        <f t="shared" si="10"/>
        <v>Tuesday</v>
      </c>
      <c r="K360" t="str">
        <f t="shared" si="11"/>
        <v>Weekday</v>
      </c>
      <c r="L360" s="7">
        <f>IF(Bangladesh_Appointment_Trends[[#This Row],[Appointment Status]]="No-Show",1,0)</f>
        <v>0</v>
      </c>
      <c r="Q360" s="7"/>
    </row>
    <row r="361" spans="1:17" x14ac:dyDescent="0.3">
      <c r="A361">
        <v>21</v>
      </c>
      <c r="B361" t="s">
        <v>12</v>
      </c>
      <c r="C361" t="s">
        <v>19</v>
      </c>
      <c r="D361" t="s">
        <v>14</v>
      </c>
      <c r="E361" t="s">
        <v>11</v>
      </c>
      <c r="F361">
        <v>1668</v>
      </c>
      <c r="G361">
        <v>6</v>
      </c>
      <c r="H361" s="3">
        <v>45520</v>
      </c>
      <c r="I361" t="s">
        <v>47</v>
      </c>
      <c r="J361" t="str">
        <f t="shared" si="10"/>
        <v>Friday</v>
      </c>
      <c r="K361" t="str">
        <f t="shared" si="11"/>
        <v>Weekend</v>
      </c>
      <c r="L361" s="7">
        <f>IF(Bangladesh_Appointment_Trends[[#This Row],[Appointment Status]]="No-Show",1,0)</f>
        <v>0</v>
      </c>
      <c r="Q361" s="7"/>
    </row>
    <row r="362" spans="1:17" x14ac:dyDescent="0.3">
      <c r="A362">
        <v>67</v>
      </c>
      <c r="B362" t="s">
        <v>12</v>
      </c>
      <c r="C362" t="s">
        <v>15</v>
      </c>
      <c r="D362" t="s">
        <v>16</v>
      </c>
      <c r="E362" t="s">
        <v>18</v>
      </c>
      <c r="F362">
        <v>720</v>
      </c>
      <c r="G362">
        <v>8</v>
      </c>
      <c r="H362" s="3">
        <v>45528</v>
      </c>
      <c r="I362" t="s">
        <v>45</v>
      </c>
      <c r="J362" t="str">
        <f t="shared" si="10"/>
        <v>Saturday</v>
      </c>
      <c r="K362" t="str">
        <f t="shared" si="11"/>
        <v>Weekend</v>
      </c>
      <c r="L362" s="7">
        <f>IF(Bangladesh_Appointment_Trends[[#This Row],[Appointment Status]]="No-Show",1,0)</f>
        <v>0</v>
      </c>
      <c r="Q362" s="7"/>
    </row>
    <row r="363" spans="1:17" x14ac:dyDescent="0.3">
      <c r="A363">
        <v>23</v>
      </c>
      <c r="B363" t="s">
        <v>8</v>
      </c>
      <c r="C363" t="s">
        <v>21</v>
      </c>
      <c r="D363" t="s">
        <v>10</v>
      </c>
      <c r="E363" t="s">
        <v>11</v>
      </c>
      <c r="F363">
        <v>952</v>
      </c>
      <c r="G363">
        <v>13</v>
      </c>
      <c r="H363" s="3">
        <v>45257</v>
      </c>
      <c r="I363" t="s">
        <v>47</v>
      </c>
      <c r="J363" t="str">
        <f t="shared" si="10"/>
        <v>Monday</v>
      </c>
      <c r="K363" t="str">
        <f t="shared" si="11"/>
        <v>Weekday</v>
      </c>
      <c r="L363" s="7">
        <f>IF(Bangladesh_Appointment_Trends[[#This Row],[Appointment Status]]="No-Show",1,0)</f>
        <v>0</v>
      </c>
      <c r="Q363" s="7"/>
    </row>
    <row r="364" spans="1:17" x14ac:dyDescent="0.3">
      <c r="A364">
        <v>62</v>
      </c>
      <c r="B364" t="s">
        <v>12</v>
      </c>
      <c r="C364" t="s">
        <v>25</v>
      </c>
      <c r="D364" t="s">
        <v>24</v>
      </c>
      <c r="E364" t="s">
        <v>22</v>
      </c>
      <c r="F364">
        <v>1174</v>
      </c>
      <c r="G364">
        <v>16</v>
      </c>
      <c r="H364" s="3">
        <v>45538</v>
      </c>
      <c r="I364" t="s">
        <v>45</v>
      </c>
      <c r="J364" t="str">
        <f t="shared" si="10"/>
        <v>Tuesday</v>
      </c>
      <c r="K364" t="str">
        <f t="shared" si="11"/>
        <v>Weekday</v>
      </c>
      <c r="L364" s="7">
        <f>IF(Bangladesh_Appointment_Trends[[#This Row],[Appointment Status]]="No-Show",1,0)</f>
        <v>1</v>
      </c>
      <c r="Q364" s="7"/>
    </row>
    <row r="365" spans="1:17" x14ac:dyDescent="0.3">
      <c r="A365">
        <v>59</v>
      </c>
      <c r="B365" t="s">
        <v>8</v>
      </c>
      <c r="C365" t="s">
        <v>15</v>
      </c>
      <c r="D365" t="s">
        <v>20</v>
      </c>
      <c r="E365" t="s">
        <v>11</v>
      </c>
      <c r="F365">
        <v>680</v>
      </c>
      <c r="G365">
        <v>3</v>
      </c>
      <c r="H365" s="3">
        <v>45514</v>
      </c>
      <c r="I365" t="s">
        <v>45</v>
      </c>
      <c r="J365" t="str">
        <f t="shared" si="10"/>
        <v>Saturday</v>
      </c>
      <c r="K365" t="str">
        <f t="shared" si="11"/>
        <v>Weekend</v>
      </c>
      <c r="L365" s="7">
        <f>IF(Bangladesh_Appointment_Trends[[#This Row],[Appointment Status]]="No-Show",1,0)</f>
        <v>0</v>
      </c>
      <c r="Q365" s="7"/>
    </row>
    <row r="366" spans="1:17" x14ac:dyDescent="0.3">
      <c r="A366">
        <v>66</v>
      </c>
      <c r="B366" t="s">
        <v>8</v>
      </c>
      <c r="C366" t="s">
        <v>19</v>
      </c>
      <c r="D366" t="s">
        <v>20</v>
      </c>
      <c r="E366" t="s">
        <v>11</v>
      </c>
      <c r="F366">
        <v>613</v>
      </c>
      <c r="G366">
        <v>19</v>
      </c>
      <c r="H366" s="3">
        <v>45241</v>
      </c>
      <c r="I366" t="s">
        <v>45</v>
      </c>
      <c r="J366" t="str">
        <f t="shared" si="10"/>
        <v>Saturday</v>
      </c>
      <c r="K366" t="str">
        <f t="shared" si="11"/>
        <v>Weekend</v>
      </c>
      <c r="L366" s="7">
        <f>IF(Bangladesh_Appointment_Trends[[#This Row],[Appointment Status]]="No-Show",1,0)</f>
        <v>0</v>
      </c>
      <c r="Q366" s="7"/>
    </row>
    <row r="367" spans="1:17" x14ac:dyDescent="0.3">
      <c r="A367">
        <v>27</v>
      </c>
      <c r="B367" t="s">
        <v>8</v>
      </c>
      <c r="C367" t="s">
        <v>25</v>
      </c>
      <c r="D367" t="s">
        <v>20</v>
      </c>
      <c r="E367" t="s">
        <v>18</v>
      </c>
      <c r="F367">
        <v>430</v>
      </c>
      <c r="G367">
        <v>12</v>
      </c>
      <c r="H367" s="3">
        <v>44968</v>
      </c>
      <c r="I367" t="s">
        <v>47</v>
      </c>
      <c r="J367" t="str">
        <f t="shared" si="10"/>
        <v>Saturday</v>
      </c>
      <c r="K367" t="str">
        <f t="shared" si="11"/>
        <v>Weekend</v>
      </c>
      <c r="L367" s="7">
        <f>IF(Bangladesh_Appointment_Trends[[#This Row],[Appointment Status]]="No-Show",1,0)</f>
        <v>0</v>
      </c>
      <c r="Q367" s="7"/>
    </row>
    <row r="368" spans="1:17" x14ac:dyDescent="0.3">
      <c r="A368">
        <v>13</v>
      </c>
      <c r="B368" t="s">
        <v>12</v>
      </c>
      <c r="C368" t="s">
        <v>9</v>
      </c>
      <c r="D368" t="s">
        <v>14</v>
      </c>
      <c r="E368" t="s">
        <v>11</v>
      </c>
      <c r="F368">
        <v>1582</v>
      </c>
      <c r="G368">
        <v>16</v>
      </c>
      <c r="H368" s="3">
        <v>45643</v>
      </c>
      <c r="I368" t="s">
        <v>48</v>
      </c>
      <c r="J368" t="str">
        <f t="shared" si="10"/>
        <v>Tuesday</v>
      </c>
      <c r="K368" t="str">
        <f t="shared" si="11"/>
        <v>Weekday</v>
      </c>
      <c r="L368" s="7">
        <f>IF(Bangladesh_Appointment_Trends[[#This Row],[Appointment Status]]="No-Show",1,0)</f>
        <v>0</v>
      </c>
      <c r="Q368" s="7"/>
    </row>
    <row r="369" spans="1:17" x14ac:dyDescent="0.3">
      <c r="A369">
        <v>16</v>
      </c>
      <c r="B369" t="s">
        <v>12</v>
      </c>
      <c r="C369" t="s">
        <v>15</v>
      </c>
      <c r="D369" t="s">
        <v>17</v>
      </c>
      <c r="E369" t="s">
        <v>22</v>
      </c>
      <c r="F369">
        <v>1122</v>
      </c>
      <c r="G369">
        <v>11</v>
      </c>
      <c r="H369" s="3">
        <v>45569</v>
      </c>
      <c r="I369" t="s">
        <v>48</v>
      </c>
      <c r="J369" t="str">
        <f t="shared" si="10"/>
        <v>Friday</v>
      </c>
      <c r="K369" t="str">
        <f t="shared" si="11"/>
        <v>Weekend</v>
      </c>
      <c r="L369" s="7">
        <f>IF(Bangladesh_Appointment_Trends[[#This Row],[Appointment Status]]="No-Show",1,0)</f>
        <v>1</v>
      </c>
      <c r="Q369" s="7"/>
    </row>
    <row r="370" spans="1:17" x14ac:dyDescent="0.3">
      <c r="A370">
        <v>5</v>
      </c>
      <c r="B370" t="s">
        <v>12</v>
      </c>
      <c r="C370" t="s">
        <v>15</v>
      </c>
      <c r="D370" t="s">
        <v>16</v>
      </c>
      <c r="E370" t="s">
        <v>22</v>
      </c>
      <c r="F370">
        <v>731</v>
      </c>
      <c r="G370">
        <v>10</v>
      </c>
      <c r="H370" s="3">
        <v>45264</v>
      </c>
      <c r="I370" t="s">
        <v>48</v>
      </c>
      <c r="J370" t="str">
        <f t="shared" si="10"/>
        <v>Monday</v>
      </c>
      <c r="K370" t="str">
        <f t="shared" si="11"/>
        <v>Weekday</v>
      </c>
      <c r="L370" s="7">
        <f>IF(Bangladesh_Appointment_Trends[[#This Row],[Appointment Status]]="No-Show",1,0)</f>
        <v>1</v>
      </c>
      <c r="Q370" s="7"/>
    </row>
    <row r="371" spans="1:17" x14ac:dyDescent="0.3">
      <c r="A371">
        <v>62</v>
      </c>
      <c r="B371" t="s">
        <v>8</v>
      </c>
      <c r="C371" t="s">
        <v>15</v>
      </c>
      <c r="D371" t="s">
        <v>24</v>
      </c>
      <c r="E371" t="s">
        <v>11</v>
      </c>
      <c r="F371">
        <v>973</v>
      </c>
      <c r="G371">
        <v>20</v>
      </c>
      <c r="H371" s="3">
        <v>45247</v>
      </c>
      <c r="I371" t="s">
        <v>45</v>
      </c>
      <c r="J371" t="str">
        <f t="shared" si="10"/>
        <v>Friday</v>
      </c>
      <c r="K371" t="str">
        <f t="shared" si="11"/>
        <v>Weekend</v>
      </c>
      <c r="L371" s="7">
        <f>IF(Bangladesh_Appointment_Trends[[#This Row],[Appointment Status]]="No-Show",1,0)</f>
        <v>0</v>
      </c>
      <c r="Q371" s="7"/>
    </row>
    <row r="372" spans="1:17" x14ac:dyDescent="0.3">
      <c r="A372">
        <v>5</v>
      </c>
      <c r="B372" t="s">
        <v>12</v>
      </c>
      <c r="C372" t="s">
        <v>25</v>
      </c>
      <c r="D372" t="s">
        <v>10</v>
      </c>
      <c r="E372" t="s">
        <v>11</v>
      </c>
      <c r="F372">
        <v>909</v>
      </c>
      <c r="G372">
        <v>4</v>
      </c>
      <c r="H372" s="3">
        <v>44935</v>
      </c>
      <c r="I372" t="s">
        <v>48</v>
      </c>
      <c r="J372" t="str">
        <f t="shared" si="10"/>
        <v>Monday</v>
      </c>
      <c r="K372" t="str">
        <f t="shared" si="11"/>
        <v>Weekday</v>
      </c>
      <c r="L372" s="7">
        <f>IF(Bangladesh_Appointment_Trends[[#This Row],[Appointment Status]]="No-Show",1,0)</f>
        <v>0</v>
      </c>
      <c r="Q372" s="7"/>
    </row>
    <row r="373" spans="1:17" x14ac:dyDescent="0.3">
      <c r="A373">
        <v>38</v>
      </c>
      <c r="B373" t="s">
        <v>12</v>
      </c>
      <c r="C373" t="s">
        <v>21</v>
      </c>
      <c r="D373" t="s">
        <v>24</v>
      </c>
      <c r="E373" t="s">
        <v>11</v>
      </c>
      <c r="F373">
        <v>953</v>
      </c>
      <c r="G373">
        <v>12</v>
      </c>
      <c r="H373" s="3">
        <v>45218</v>
      </c>
      <c r="I373" t="s">
        <v>46</v>
      </c>
      <c r="J373" t="str">
        <f t="shared" si="10"/>
        <v>Thursday</v>
      </c>
      <c r="K373" t="str">
        <f t="shared" si="11"/>
        <v>Weekday</v>
      </c>
      <c r="L373" s="7">
        <f>IF(Bangladesh_Appointment_Trends[[#This Row],[Appointment Status]]="No-Show",1,0)</f>
        <v>0</v>
      </c>
      <c r="Q373" s="7"/>
    </row>
    <row r="374" spans="1:17" x14ac:dyDescent="0.3">
      <c r="A374">
        <v>52</v>
      </c>
      <c r="B374" t="s">
        <v>8</v>
      </c>
      <c r="C374" t="s">
        <v>15</v>
      </c>
      <c r="D374" t="s">
        <v>10</v>
      </c>
      <c r="E374" t="s">
        <v>11</v>
      </c>
      <c r="F374">
        <v>951</v>
      </c>
      <c r="G374">
        <v>2</v>
      </c>
      <c r="H374" s="3">
        <v>44962</v>
      </c>
      <c r="I374" t="s">
        <v>46</v>
      </c>
      <c r="J374" t="str">
        <f t="shared" si="10"/>
        <v>Sunday</v>
      </c>
      <c r="K374" t="str">
        <f t="shared" si="11"/>
        <v>Weekday</v>
      </c>
      <c r="L374" s="7">
        <f>IF(Bangladesh_Appointment_Trends[[#This Row],[Appointment Status]]="No-Show",1,0)</f>
        <v>0</v>
      </c>
      <c r="Q374" s="7"/>
    </row>
    <row r="375" spans="1:17" x14ac:dyDescent="0.3">
      <c r="A375">
        <v>5</v>
      </c>
      <c r="B375" t="s">
        <v>12</v>
      </c>
      <c r="C375" t="s">
        <v>15</v>
      </c>
      <c r="D375" t="s">
        <v>14</v>
      </c>
      <c r="E375" t="s">
        <v>11</v>
      </c>
      <c r="F375">
        <v>1547</v>
      </c>
      <c r="G375">
        <v>19</v>
      </c>
      <c r="H375" s="3">
        <v>45344</v>
      </c>
      <c r="I375" t="s">
        <v>48</v>
      </c>
      <c r="J375" t="str">
        <f t="shared" si="10"/>
        <v>Thursday</v>
      </c>
      <c r="K375" t="str">
        <f t="shared" si="11"/>
        <v>Weekday</v>
      </c>
      <c r="L375" s="7">
        <f>IF(Bangladesh_Appointment_Trends[[#This Row],[Appointment Status]]="No-Show",1,0)</f>
        <v>0</v>
      </c>
      <c r="Q375" s="7"/>
    </row>
    <row r="376" spans="1:17" x14ac:dyDescent="0.3">
      <c r="A376">
        <v>20</v>
      </c>
      <c r="B376" t="s">
        <v>12</v>
      </c>
      <c r="C376" t="s">
        <v>15</v>
      </c>
      <c r="D376" t="s">
        <v>20</v>
      </c>
      <c r="E376" t="s">
        <v>18</v>
      </c>
      <c r="F376">
        <v>559</v>
      </c>
      <c r="G376">
        <v>5</v>
      </c>
      <c r="H376" s="3">
        <v>45650</v>
      </c>
      <c r="I376" t="s">
        <v>47</v>
      </c>
      <c r="J376" t="str">
        <f t="shared" si="10"/>
        <v>Tuesday</v>
      </c>
      <c r="K376" t="str">
        <f t="shared" si="11"/>
        <v>Weekday</v>
      </c>
      <c r="L376" s="7">
        <f>IF(Bangladesh_Appointment_Trends[[#This Row],[Appointment Status]]="No-Show",1,0)</f>
        <v>0</v>
      </c>
      <c r="Q376" s="7"/>
    </row>
    <row r="377" spans="1:17" x14ac:dyDescent="0.3">
      <c r="A377">
        <v>65</v>
      </c>
      <c r="B377" t="s">
        <v>12</v>
      </c>
      <c r="C377" t="s">
        <v>15</v>
      </c>
      <c r="D377" t="s">
        <v>14</v>
      </c>
      <c r="E377" t="s">
        <v>11</v>
      </c>
      <c r="F377">
        <v>1413</v>
      </c>
      <c r="G377">
        <v>8</v>
      </c>
      <c r="H377" s="3">
        <v>45357</v>
      </c>
      <c r="I377" t="s">
        <v>45</v>
      </c>
      <c r="J377" t="str">
        <f t="shared" si="10"/>
        <v>Wednesday</v>
      </c>
      <c r="K377" t="str">
        <f t="shared" si="11"/>
        <v>Weekday</v>
      </c>
      <c r="L377" s="7">
        <f>IF(Bangladesh_Appointment_Trends[[#This Row],[Appointment Status]]="No-Show",1,0)</f>
        <v>0</v>
      </c>
      <c r="Q377" s="7"/>
    </row>
    <row r="378" spans="1:17" x14ac:dyDescent="0.3">
      <c r="A378">
        <v>68</v>
      </c>
      <c r="B378" t="s">
        <v>8</v>
      </c>
      <c r="C378" t="s">
        <v>25</v>
      </c>
      <c r="D378" t="s">
        <v>17</v>
      </c>
      <c r="E378" t="s">
        <v>11</v>
      </c>
      <c r="F378">
        <v>1277</v>
      </c>
      <c r="G378">
        <v>7</v>
      </c>
      <c r="H378" s="3">
        <v>45568</v>
      </c>
      <c r="I378" t="s">
        <v>45</v>
      </c>
      <c r="J378" t="str">
        <f t="shared" si="10"/>
        <v>Thursday</v>
      </c>
      <c r="K378" t="str">
        <f t="shared" si="11"/>
        <v>Weekday</v>
      </c>
      <c r="L378" s="7">
        <f>IF(Bangladesh_Appointment_Trends[[#This Row],[Appointment Status]]="No-Show",1,0)</f>
        <v>0</v>
      </c>
      <c r="Q378" s="7"/>
    </row>
    <row r="379" spans="1:17" x14ac:dyDescent="0.3">
      <c r="A379">
        <v>67</v>
      </c>
      <c r="B379" t="s">
        <v>12</v>
      </c>
      <c r="C379" t="s">
        <v>15</v>
      </c>
      <c r="D379" t="s">
        <v>17</v>
      </c>
      <c r="E379" t="s">
        <v>22</v>
      </c>
      <c r="F379">
        <v>1152</v>
      </c>
      <c r="G379">
        <v>14</v>
      </c>
      <c r="H379" s="3">
        <v>45129</v>
      </c>
      <c r="I379" t="s">
        <v>45</v>
      </c>
      <c r="J379" t="str">
        <f t="shared" si="10"/>
        <v>Saturday</v>
      </c>
      <c r="K379" t="str">
        <f t="shared" si="11"/>
        <v>Weekend</v>
      </c>
      <c r="L379" s="7">
        <f>IF(Bangladesh_Appointment_Trends[[#This Row],[Appointment Status]]="No-Show",1,0)</f>
        <v>1</v>
      </c>
      <c r="Q379" s="7"/>
    </row>
    <row r="380" spans="1:17" x14ac:dyDescent="0.3">
      <c r="A380">
        <v>73</v>
      </c>
      <c r="B380" t="s">
        <v>8</v>
      </c>
      <c r="C380" t="s">
        <v>15</v>
      </c>
      <c r="D380" t="s">
        <v>10</v>
      </c>
      <c r="E380" t="s">
        <v>11</v>
      </c>
      <c r="F380">
        <v>921</v>
      </c>
      <c r="G380">
        <v>3</v>
      </c>
      <c r="H380" s="3">
        <v>44958</v>
      </c>
      <c r="I380" t="s">
        <v>45</v>
      </c>
      <c r="J380" t="str">
        <f t="shared" si="10"/>
        <v>Wednesday</v>
      </c>
      <c r="K380" t="str">
        <f t="shared" si="11"/>
        <v>Weekday</v>
      </c>
      <c r="L380" s="7">
        <f>IF(Bangladesh_Appointment_Trends[[#This Row],[Appointment Status]]="No-Show",1,0)</f>
        <v>0</v>
      </c>
      <c r="Q380" s="7"/>
    </row>
    <row r="381" spans="1:17" x14ac:dyDescent="0.3">
      <c r="A381">
        <v>26</v>
      </c>
      <c r="B381" t="s">
        <v>8</v>
      </c>
      <c r="C381" t="s">
        <v>15</v>
      </c>
      <c r="D381" t="s">
        <v>16</v>
      </c>
      <c r="E381" t="s">
        <v>11</v>
      </c>
      <c r="F381">
        <v>729</v>
      </c>
      <c r="G381">
        <v>18</v>
      </c>
      <c r="H381" s="3">
        <v>44946</v>
      </c>
      <c r="I381" t="s">
        <v>47</v>
      </c>
      <c r="J381" t="str">
        <f t="shared" si="10"/>
        <v>Friday</v>
      </c>
      <c r="K381" t="str">
        <f t="shared" si="11"/>
        <v>Weekend</v>
      </c>
      <c r="L381" s="7">
        <f>IF(Bangladesh_Appointment_Trends[[#This Row],[Appointment Status]]="No-Show",1,0)</f>
        <v>0</v>
      </c>
      <c r="Q381" s="7"/>
    </row>
    <row r="382" spans="1:17" x14ac:dyDescent="0.3">
      <c r="A382">
        <v>71</v>
      </c>
      <c r="B382" t="s">
        <v>12</v>
      </c>
      <c r="C382" t="s">
        <v>19</v>
      </c>
      <c r="D382" t="s">
        <v>16</v>
      </c>
      <c r="E382" t="s">
        <v>22</v>
      </c>
      <c r="F382">
        <v>890</v>
      </c>
      <c r="G382">
        <v>16</v>
      </c>
      <c r="H382" s="3">
        <v>45465</v>
      </c>
      <c r="I382" t="s">
        <v>45</v>
      </c>
      <c r="J382" t="str">
        <f t="shared" si="10"/>
        <v>Saturday</v>
      </c>
      <c r="K382" t="str">
        <f t="shared" si="11"/>
        <v>Weekend</v>
      </c>
      <c r="L382" s="7">
        <f>IF(Bangladesh_Appointment_Trends[[#This Row],[Appointment Status]]="No-Show",1,0)</f>
        <v>1</v>
      </c>
      <c r="Q382" s="7"/>
    </row>
    <row r="383" spans="1:17" x14ac:dyDescent="0.3">
      <c r="A383">
        <v>30</v>
      </c>
      <c r="B383" t="s">
        <v>8</v>
      </c>
      <c r="C383" t="s">
        <v>9</v>
      </c>
      <c r="D383" t="s">
        <v>10</v>
      </c>
      <c r="E383" t="s">
        <v>11</v>
      </c>
      <c r="F383">
        <v>1159</v>
      </c>
      <c r="G383">
        <v>19</v>
      </c>
      <c r="H383" s="3">
        <v>45551</v>
      </c>
      <c r="I383" t="s">
        <v>47</v>
      </c>
      <c r="J383" t="str">
        <f t="shared" si="10"/>
        <v>Monday</v>
      </c>
      <c r="K383" t="str">
        <f t="shared" si="11"/>
        <v>Weekday</v>
      </c>
      <c r="L383" s="7">
        <f>IF(Bangladesh_Appointment_Trends[[#This Row],[Appointment Status]]="No-Show",1,0)</f>
        <v>0</v>
      </c>
      <c r="Q383" s="7"/>
    </row>
    <row r="384" spans="1:17" x14ac:dyDescent="0.3">
      <c r="A384">
        <v>20</v>
      </c>
      <c r="B384" t="s">
        <v>12</v>
      </c>
      <c r="C384" t="s">
        <v>23</v>
      </c>
      <c r="D384" t="s">
        <v>17</v>
      </c>
      <c r="E384" t="s">
        <v>18</v>
      </c>
      <c r="F384">
        <v>1304</v>
      </c>
      <c r="G384">
        <v>19</v>
      </c>
      <c r="H384" s="3">
        <v>45374</v>
      </c>
      <c r="I384" t="s">
        <v>47</v>
      </c>
      <c r="J384" t="str">
        <f t="shared" si="10"/>
        <v>Saturday</v>
      </c>
      <c r="K384" t="str">
        <f t="shared" si="11"/>
        <v>Weekend</v>
      </c>
      <c r="L384" s="7">
        <f>IF(Bangladesh_Appointment_Trends[[#This Row],[Appointment Status]]="No-Show",1,0)</f>
        <v>0</v>
      </c>
      <c r="Q384" s="7"/>
    </row>
    <row r="385" spans="1:17" x14ac:dyDescent="0.3">
      <c r="A385">
        <v>55</v>
      </c>
      <c r="B385" t="s">
        <v>12</v>
      </c>
      <c r="C385" t="s">
        <v>15</v>
      </c>
      <c r="D385" t="s">
        <v>17</v>
      </c>
      <c r="E385" t="s">
        <v>22</v>
      </c>
      <c r="F385">
        <v>1158</v>
      </c>
      <c r="G385">
        <v>18</v>
      </c>
      <c r="H385" s="3">
        <v>45088</v>
      </c>
      <c r="I385" t="s">
        <v>46</v>
      </c>
      <c r="J385" t="str">
        <f t="shared" si="10"/>
        <v>Sunday</v>
      </c>
      <c r="K385" t="str">
        <f t="shared" si="11"/>
        <v>Weekday</v>
      </c>
      <c r="L385" s="7">
        <f>IF(Bangladesh_Appointment_Trends[[#This Row],[Appointment Status]]="No-Show",1,0)</f>
        <v>1</v>
      </c>
      <c r="Q385" s="7"/>
    </row>
    <row r="386" spans="1:17" x14ac:dyDescent="0.3">
      <c r="A386">
        <v>61</v>
      </c>
      <c r="B386" t="s">
        <v>8</v>
      </c>
      <c r="C386" t="s">
        <v>25</v>
      </c>
      <c r="D386" t="s">
        <v>17</v>
      </c>
      <c r="E386" t="s">
        <v>22</v>
      </c>
      <c r="F386">
        <v>1363</v>
      </c>
      <c r="G386">
        <v>20</v>
      </c>
      <c r="H386" s="3">
        <v>45364</v>
      </c>
      <c r="I386" t="s">
        <v>45</v>
      </c>
      <c r="J386" t="str">
        <f t="shared" ref="J386:J449" si="12">TEXT(H386,"dddd")</f>
        <v>Wednesday</v>
      </c>
      <c r="K386" t="str">
        <f t="shared" ref="K386:K449" si="13">IF(WEEKDAY(H386,1)&gt;5,"Weekend","Weekday")</f>
        <v>Weekday</v>
      </c>
      <c r="L386" s="7">
        <f>IF(Bangladesh_Appointment_Trends[[#This Row],[Appointment Status]]="No-Show",1,0)</f>
        <v>1</v>
      </c>
      <c r="Q386" s="7"/>
    </row>
    <row r="387" spans="1:17" x14ac:dyDescent="0.3">
      <c r="A387">
        <v>33</v>
      </c>
      <c r="B387" t="s">
        <v>8</v>
      </c>
      <c r="C387" t="s">
        <v>19</v>
      </c>
      <c r="D387" t="s">
        <v>14</v>
      </c>
      <c r="E387" t="s">
        <v>11</v>
      </c>
      <c r="F387">
        <v>1411</v>
      </c>
      <c r="G387">
        <v>16</v>
      </c>
      <c r="H387" s="3">
        <v>44953</v>
      </c>
      <c r="I387" t="s">
        <v>47</v>
      </c>
      <c r="J387" t="str">
        <f t="shared" si="12"/>
        <v>Friday</v>
      </c>
      <c r="K387" t="str">
        <f t="shared" si="13"/>
        <v>Weekend</v>
      </c>
      <c r="L387" s="7">
        <f>IF(Bangladesh_Appointment_Trends[[#This Row],[Appointment Status]]="No-Show",1,0)</f>
        <v>0</v>
      </c>
      <c r="Q387" s="7"/>
    </row>
    <row r="388" spans="1:17" x14ac:dyDescent="0.3">
      <c r="A388">
        <v>73</v>
      </c>
      <c r="B388" t="s">
        <v>8</v>
      </c>
      <c r="C388" t="s">
        <v>15</v>
      </c>
      <c r="D388" t="s">
        <v>17</v>
      </c>
      <c r="E388" t="s">
        <v>11</v>
      </c>
      <c r="F388">
        <v>1218</v>
      </c>
      <c r="G388">
        <v>8</v>
      </c>
      <c r="H388" s="3">
        <v>45270</v>
      </c>
      <c r="I388" t="s">
        <v>45</v>
      </c>
      <c r="J388" t="str">
        <f t="shared" si="12"/>
        <v>Sunday</v>
      </c>
      <c r="K388" t="str">
        <f t="shared" si="13"/>
        <v>Weekday</v>
      </c>
      <c r="L388" s="7">
        <f>IF(Bangladesh_Appointment_Trends[[#This Row],[Appointment Status]]="No-Show",1,0)</f>
        <v>0</v>
      </c>
      <c r="Q388" s="7"/>
    </row>
    <row r="389" spans="1:17" x14ac:dyDescent="0.3">
      <c r="A389">
        <v>51</v>
      </c>
      <c r="B389" t="s">
        <v>12</v>
      </c>
      <c r="C389" t="s">
        <v>9</v>
      </c>
      <c r="D389" t="s">
        <v>24</v>
      </c>
      <c r="E389" t="s">
        <v>11</v>
      </c>
      <c r="F389">
        <v>1189</v>
      </c>
      <c r="G389">
        <v>1</v>
      </c>
      <c r="H389" s="3">
        <v>45049</v>
      </c>
      <c r="I389" t="s">
        <v>46</v>
      </c>
      <c r="J389" t="str">
        <f t="shared" si="12"/>
        <v>Wednesday</v>
      </c>
      <c r="K389" t="str">
        <f t="shared" si="13"/>
        <v>Weekday</v>
      </c>
      <c r="L389" s="7">
        <f>IF(Bangladesh_Appointment_Trends[[#This Row],[Appointment Status]]="No-Show",1,0)</f>
        <v>0</v>
      </c>
      <c r="Q389" s="7"/>
    </row>
    <row r="390" spans="1:17" x14ac:dyDescent="0.3">
      <c r="A390">
        <v>66</v>
      </c>
      <c r="B390" t="s">
        <v>12</v>
      </c>
      <c r="C390" t="s">
        <v>13</v>
      </c>
      <c r="D390" t="s">
        <v>20</v>
      </c>
      <c r="E390" t="s">
        <v>18</v>
      </c>
      <c r="F390">
        <v>647</v>
      </c>
      <c r="G390">
        <v>17</v>
      </c>
      <c r="H390" s="3">
        <v>45208</v>
      </c>
      <c r="I390" t="s">
        <v>45</v>
      </c>
      <c r="J390" t="str">
        <f t="shared" si="12"/>
        <v>Monday</v>
      </c>
      <c r="K390" t="str">
        <f t="shared" si="13"/>
        <v>Weekday</v>
      </c>
      <c r="L390" s="7">
        <f>IF(Bangladesh_Appointment_Trends[[#This Row],[Appointment Status]]="No-Show",1,0)</f>
        <v>0</v>
      </c>
      <c r="Q390" s="7"/>
    </row>
    <row r="391" spans="1:17" x14ac:dyDescent="0.3">
      <c r="A391">
        <v>73</v>
      </c>
      <c r="B391" t="s">
        <v>12</v>
      </c>
      <c r="C391" t="s">
        <v>21</v>
      </c>
      <c r="D391" t="s">
        <v>17</v>
      </c>
      <c r="E391" t="s">
        <v>18</v>
      </c>
      <c r="F391">
        <v>1226</v>
      </c>
      <c r="G391">
        <v>12</v>
      </c>
      <c r="H391" s="3">
        <v>45242</v>
      </c>
      <c r="I391" t="s">
        <v>45</v>
      </c>
      <c r="J391" t="str">
        <f t="shared" si="12"/>
        <v>Sunday</v>
      </c>
      <c r="K391" t="str">
        <f t="shared" si="13"/>
        <v>Weekday</v>
      </c>
      <c r="L391" s="7">
        <f>IF(Bangladesh_Appointment_Trends[[#This Row],[Appointment Status]]="No-Show",1,0)</f>
        <v>0</v>
      </c>
      <c r="Q391" s="7"/>
    </row>
    <row r="392" spans="1:17" x14ac:dyDescent="0.3">
      <c r="A392">
        <v>20</v>
      </c>
      <c r="B392" t="s">
        <v>12</v>
      </c>
      <c r="C392" t="s">
        <v>9</v>
      </c>
      <c r="D392" t="s">
        <v>10</v>
      </c>
      <c r="E392" t="s">
        <v>11</v>
      </c>
      <c r="F392">
        <v>974</v>
      </c>
      <c r="G392">
        <v>11</v>
      </c>
      <c r="H392" s="3">
        <v>45039</v>
      </c>
      <c r="I392" t="s">
        <v>47</v>
      </c>
      <c r="J392" t="str">
        <f t="shared" si="12"/>
        <v>Sunday</v>
      </c>
      <c r="K392" t="str">
        <f t="shared" si="13"/>
        <v>Weekday</v>
      </c>
      <c r="L392" s="7">
        <f>IF(Bangladesh_Appointment_Trends[[#This Row],[Appointment Status]]="No-Show",1,0)</f>
        <v>0</v>
      </c>
      <c r="Q392" s="7"/>
    </row>
    <row r="393" spans="1:17" x14ac:dyDescent="0.3">
      <c r="A393">
        <v>52</v>
      </c>
      <c r="B393" t="s">
        <v>12</v>
      </c>
      <c r="C393" t="s">
        <v>9</v>
      </c>
      <c r="D393" t="s">
        <v>20</v>
      </c>
      <c r="E393" t="s">
        <v>11</v>
      </c>
      <c r="F393">
        <v>603</v>
      </c>
      <c r="G393">
        <v>5</v>
      </c>
      <c r="H393" s="3">
        <v>45487</v>
      </c>
      <c r="I393" t="s">
        <v>46</v>
      </c>
      <c r="J393" t="str">
        <f t="shared" si="12"/>
        <v>Sunday</v>
      </c>
      <c r="K393" t="str">
        <f t="shared" si="13"/>
        <v>Weekday</v>
      </c>
      <c r="L393" s="7">
        <f>IF(Bangladesh_Appointment_Trends[[#This Row],[Appointment Status]]="No-Show",1,0)</f>
        <v>0</v>
      </c>
      <c r="Q393" s="7"/>
    </row>
    <row r="394" spans="1:17" x14ac:dyDescent="0.3">
      <c r="A394">
        <v>43</v>
      </c>
      <c r="B394" t="s">
        <v>12</v>
      </c>
      <c r="C394" t="s">
        <v>21</v>
      </c>
      <c r="D394" t="s">
        <v>14</v>
      </c>
      <c r="E394" t="s">
        <v>11</v>
      </c>
      <c r="F394">
        <v>1448</v>
      </c>
      <c r="G394">
        <v>12</v>
      </c>
      <c r="H394" s="3">
        <v>45078</v>
      </c>
      <c r="I394" t="s">
        <v>46</v>
      </c>
      <c r="J394" t="str">
        <f t="shared" si="12"/>
        <v>Thursday</v>
      </c>
      <c r="K394" t="str">
        <f t="shared" si="13"/>
        <v>Weekday</v>
      </c>
      <c r="L394" s="7">
        <f>IF(Bangladesh_Appointment_Trends[[#This Row],[Appointment Status]]="No-Show",1,0)</f>
        <v>0</v>
      </c>
      <c r="Q394" s="7"/>
    </row>
    <row r="395" spans="1:17" x14ac:dyDescent="0.3">
      <c r="A395">
        <v>37</v>
      </c>
      <c r="B395" t="s">
        <v>12</v>
      </c>
      <c r="C395" t="s">
        <v>19</v>
      </c>
      <c r="D395" t="s">
        <v>10</v>
      </c>
      <c r="E395" t="s">
        <v>11</v>
      </c>
      <c r="F395">
        <v>978</v>
      </c>
      <c r="G395">
        <v>17</v>
      </c>
      <c r="H395" s="3">
        <v>45217</v>
      </c>
      <c r="I395" t="s">
        <v>46</v>
      </c>
      <c r="J395" t="str">
        <f t="shared" si="12"/>
        <v>Wednesday</v>
      </c>
      <c r="K395" t="str">
        <f t="shared" si="13"/>
        <v>Weekday</v>
      </c>
      <c r="L395" s="7">
        <f>IF(Bangladesh_Appointment_Trends[[#This Row],[Appointment Status]]="No-Show",1,0)</f>
        <v>0</v>
      </c>
      <c r="Q395" s="7"/>
    </row>
    <row r="396" spans="1:17" x14ac:dyDescent="0.3">
      <c r="A396">
        <v>27</v>
      </c>
      <c r="B396" t="s">
        <v>12</v>
      </c>
      <c r="C396" t="s">
        <v>15</v>
      </c>
      <c r="D396" t="s">
        <v>20</v>
      </c>
      <c r="E396" t="s">
        <v>18</v>
      </c>
      <c r="F396">
        <v>640</v>
      </c>
      <c r="G396">
        <v>6</v>
      </c>
      <c r="H396" s="3">
        <v>45490</v>
      </c>
      <c r="I396" t="s">
        <v>47</v>
      </c>
      <c r="J396" t="str">
        <f t="shared" si="12"/>
        <v>Wednesday</v>
      </c>
      <c r="K396" t="str">
        <f t="shared" si="13"/>
        <v>Weekday</v>
      </c>
      <c r="L396" s="7">
        <f>IF(Bangladesh_Appointment_Trends[[#This Row],[Appointment Status]]="No-Show",1,0)</f>
        <v>0</v>
      </c>
      <c r="Q396" s="7"/>
    </row>
    <row r="397" spans="1:17" x14ac:dyDescent="0.3">
      <c r="A397">
        <v>14</v>
      </c>
      <c r="B397" t="s">
        <v>12</v>
      </c>
      <c r="C397" t="s">
        <v>21</v>
      </c>
      <c r="D397" t="s">
        <v>10</v>
      </c>
      <c r="E397" t="s">
        <v>11</v>
      </c>
      <c r="F397">
        <v>1053</v>
      </c>
      <c r="G397">
        <v>1</v>
      </c>
      <c r="H397" s="3">
        <v>45073</v>
      </c>
      <c r="I397" t="s">
        <v>48</v>
      </c>
      <c r="J397" t="str">
        <f t="shared" si="12"/>
        <v>Saturday</v>
      </c>
      <c r="K397" t="str">
        <f t="shared" si="13"/>
        <v>Weekend</v>
      </c>
      <c r="L397" s="7">
        <f>IF(Bangladesh_Appointment_Trends[[#This Row],[Appointment Status]]="No-Show",1,0)</f>
        <v>0</v>
      </c>
      <c r="Q397" s="7"/>
    </row>
    <row r="398" spans="1:17" x14ac:dyDescent="0.3">
      <c r="A398">
        <v>73</v>
      </c>
      <c r="B398" t="s">
        <v>12</v>
      </c>
      <c r="C398" t="s">
        <v>15</v>
      </c>
      <c r="D398" t="s">
        <v>14</v>
      </c>
      <c r="E398" t="s">
        <v>22</v>
      </c>
      <c r="F398">
        <v>1673</v>
      </c>
      <c r="G398">
        <v>5</v>
      </c>
      <c r="H398" s="3">
        <v>45391</v>
      </c>
      <c r="I398" t="s">
        <v>45</v>
      </c>
      <c r="J398" t="str">
        <f t="shared" si="12"/>
        <v>Tuesday</v>
      </c>
      <c r="K398" t="str">
        <f t="shared" si="13"/>
        <v>Weekday</v>
      </c>
      <c r="L398" s="7">
        <f>IF(Bangladesh_Appointment_Trends[[#This Row],[Appointment Status]]="No-Show",1,0)</f>
        <v>1</v>
      </c>
      <c r="Q398" s="7"/>
    </row>
    <row r="399" spans="1:17" x14ac:dyDescent="0.3">
      <c r="A399">
        <v>38</v>
      </c>
      <c r="B399" t="s">
        <v>8</v>
      </c>
      <c r="C399" t="s">
        <v>19</v>
      </c>
      <c r="D399" t="s">
        <v>24</v>
      </c>
      <c r="E399" t="s">
        <v>18</v>
      </c>
      <c r="F399">
        <v>995</v>
      </c>
      <c r="G399">
        <v>14</v>
      </c>
      <c r="H399" s="3">
        <v>45482</v>
      </c>
      <c r="I399" t="s">
        <v>46</v>
      </c>
      <c r="J399" t="str">
        <f t="shared" si="12"/>
        <v>Tuesday</v>
      </c>
      <c r="K399" t="str">
        <f t="shared" si="13"/>
        <v>Weekday</v>
      </c>
      <c r="L399" s="7">
        <f>IF(Bangladesh_Appointment_Trends[[#This Row],[Appointment Status]]="No-Show",1,0)</f>
        <v>0</v>
      </c>
      <c r="Q399" s="7"/>
    </row>
    <row r="400" spans="1:17" x14ac:dyDescent="0.3">
      <c r="A400">
        <v>56</v>
      </c>
      <c r="B400" t="s">
        <v>12</v>
      </c>
      <c r="C400" t="s">
        <v>15</v>
      </c>
      <c r="D400" t="s">
        <v>14</v>
      </c>
      <c r="E400" t="s">
        <v>11</v>
      </c>
      <c r="F400">
        <v>1613</v>
      </c>
      <c r="G400">
        <v>5</v>
      </c>
      <c r="H400" s="3">
        <v>45496</v>
      </c>
      <c r="I400" t="s">
        <v>45</v>
      </c>
      <c r="J400" t="str">
        <f t="shared" si="12"/>
        <v>Tuesday</v>
      </c>
      <c r="K400" t="str">
        <f t="shared" si="13"/>
        <v>Weekday</v>
      </c>
      <c r="L400" s="7">
        <f>IF(Bangladesh_Appointment_Trends[[#This Row],[Appointment Status]]="No-Show",1,0)</f>
        <v>0</v>
      </c>
      <c r="Q400" s="7"/>
    </row>
    <row r="401" spans="1:17" x14ac:dyDescent="0.3">
      <c r="A401">
        <v>14</v>
      </c>
      <c r="B401" t="s">
        <v>8</v>
      </c>
      <c r="C401" t="s">
        <v>15</v>
      </c>
      <c r="D401" t="s">
        <v>14</v>
      </c>
      <c r="E401" t="s">
        <v>11</v>
      </c>
      <c r="F401">
        <v>1693</v>
      </c>
      <c r="G401">
        <v>1</v>
      </c>
      <c r="H401" s="3">
        <v>45087</v>
      </c>
      <c r="I401" t="s">
        <v>48</v>
      </c>
      <c r="J401" t="str">
        <f t="shared" si="12"/>
        <v>Saturday</v>
      </c>
      <c r="K401" t="str">
        <f t="shared" si="13"/>
        <v>Weekend</v>
      </c>
      <c r="L401" s="7">
        <f>IF(Bangladesh_Appointment_Trends[[#This Row],[Appointment Status]]="No-Show",1,0)</f>
        <v>0</v>
      </c>
      <c r="Q401" s="7"/>
    </row>
    <row r="402" spans="1:17" x14ac:dyDescent="0.3">
      <c r="A402">
        <v>23</v>
      </c>
      <c r="B402" t="s">
        <v>8</v>
      </c>
      <c r="C402" t="s">
        <v>15</v>
      </c>
      <c r="D402" t="s">
        <v>10</v>
      </c>
      <c r="E402" t="s">
        <v>11</v>
      </c>
      <c r="F402">
        <v>1108</v>
      </c>
      <c r="G402">
        <v>18</v>
      </c>
      <c r="H402" s="3">
        <v>45157</v>
      </c>
      <c r="I402" t="s">
        <v>47</v>
      </c>
      <c r="J402" t="str">
        <f t="shared" si="12"/>
        <v>Saturday</v>
      </c>
      <c r="K402" t="str">
        <f t="shared" si="13"/>
        <v>Weekend</v>
      </c>
      <c r="L402" s="7">
        <f>IF(Bangladesh_Appointment_Trends[[#This Row],[Appointment Status]]="No-Show",1,0)</f>
        <v>0</v>
      </c>
      <c r="Q402" s="7"/>
    </row>
    <row r="403" spans="1:17" x14ac:dyDescent="0.3">
      <c r="A403">
        <v>62</v>
      </c>
      <c r="B403" t="s">
        <v>12</v>
      </c>
      <c r="C403" t="s">
        <v>25</v>
      </c>
      <c r="D403" t="s">
        <v>16</v>
      </c>
      <c r="E403" t="s">
        <v>11</v>
      </c>
      <c r="F403">
        <v>787</v>
      </c>
      <c r="G403">
        <v>16</v>
      </c>
      <c r="H403" s="3">
        <v>45397</v>
      </c>
      <c r="I403" t="s">
        <v>45</v>
      </c>
      <c r="J403" t="str">
        <f t="shared" si="12"/>
        <v>Monday</v>
      </c>
      <c r="K403" t="str">
        <f t="shared" si="13"/>
        <v>Weekday</v>
      </c>
      <c r="L403" s="7">
        <f>IF(Bangladesh_Appointment_Trends[[#This Row],[Appointment Status]]="No-Show",1,0)</f>
        <v>0</v>
      </c>
      <c r="Q403" s="7"/>
    </row>
    <row r="404" spans="1:17" x14ac:dyDescent="0.3">
      <c r="A404">
        <v>5</v>
      </c>
      <c r="B404" t="s">
        <v>8</v>
      </c>
      <c r="C404" t="s">
        <v>15</v>
      </c>
      <c r="D404" t="s">
        <v>17</v>
      </c>
      <c r="E404" t="s">
        <v>18</v>
      </c>
      <c r="F404">
        <v>1363</v>
      </c>
      <c r="G404">
        <v>9</v>
      </c>
      <c r="H404" s="3">
        <v>45204</v>
      </c>
      <c r="I404" t="s">
        <v>48</v>
      </c>
      <c r="J404" t="str">
        <f t="shared" si="12"/>
        <v>Thursday</v>
      </c>
      <c r="K404" t="str">
        <f t="shared" si="13"/>
        <v>Weekday</v>
      </c>
      <c r="L404" s="7">
        <f>IF(Bangladesh_Appointment_Trends[[#This Row],[Appointment Status]]="No-Show",1,0)</f>
        <v>0</v>
      </c>
      <c r="Q404" s="7"/>
    </row>
    <row r="405" spans="1:17" x14ac:dyDescent="0.3">
      <c r="A405">
        <v>73</v>
      </c>
      <c r="B405" t="s">
        <v>8</v>
      </c>
      <c r="C405" t="s">
        <v>15</v>
      </c>
      <c r="D405" t="s">
        <v>17</v>
      </c>
      <c r="E405" t="s">
        <v>18</v>
      </c>
      <c r="F405">
        <v>1256</v>
      </c>
      <c r="G405">
        <v>19</v>
      </c>
      <c r="H405" s="3">
        <v>45061</v>
      </c>
      <c r="I405" t="s">
        <v>45</v>
      </c>
      <c r="J405" t="str">
        <f t="shared" si="12"/>
        <v>Monday</v>
      </c>
      <c r="K405" t="str">
        <f t="shared" si="13"/>
        <v>Weekday</v>
      </c>
      <c r="L405" s="7">
        <f>IF(Bangladesh_Appointment_Trends[[#This Row],[Appointment Status]]="No-Show",1,0)</f>
        <v>0</v>
      </c>
      <c r="Q405" s="7"/>
    </row>
    <row r="406" spans="1:17" x14ac:dyDescent="0.3">
      <c r="A406">
        <v>8</v>
      </c>
      <c r="B406" t="s">
        <v>8</v>
      </c>
      <c r="C406" t="s">
        <v>15</v>
      </c>
      <c r="D406" t="s">
        <v>24</v>
      </c>
      <c r="E406" t="s">
        <v>18</v>
      </c>
      <c r="F406">
        <v>1055</v>
      </c>
      <c r="G406">
        <v>5</v>
      </c>
      <c r="H406" s="3">
        <v>45402</v>
      </c>
      <c r="I406" t="s">
        <v>48</v>
      </c>
      <c r="J406" t="str">
        <f t="shared" si="12"/>
        <v>Saturday</v>
      </c>
      <c r="K406" t="str">
        <f t="shared" si="13"/>
        <v>Weekend</v>
      </c>
      <c r="L406" s="7">
        <f>IF(Bangladesh_Appointment_Trends[[#This Row],[Appointment Status]]="No-Show",1,0)</f>
        <v>0</v>
      </c>
      <c r="Q406" s="7"/>
    </row>
    <row r="407" spans="1:17" x14ac:dyDescent="0.3">
      <c r="A407">
        <v>20</v>
      </c>
      <c r="B407" t="s">
        <v>12</v>
      </c>
      <c r="C407" t="s">
        <v>9</v>
      </c>
      <c r="D407" t="s">
        <v>24</v>
      </c>
      <c r="E407" t="s">
        <v>11</v>
      </c>
      <c r="F407">
        <v>1038</v>
      </c>
      <c r="G407">
        <v>2</v>
      </c>
      <c r="H407" s="3">
        <v>45649</v>
      </c>
      <c r="I407" t="s">
        <v>47</v>
      </c>
      <c r="J407" t="str">
        <f t="shared" si="12"/>
        <v>Monday</v>
      </c>
      <c r="K407" t="str">
        <f t="shared" si="13"/>
        <v>Weekday</v>
      </c>
      <c r="L407" s="7">
        <f>IF(Bangladesh_Appointment_Trends[[#This Row],[Appointment Status]]="No-Show",1,0)</f>
        <v>0</v>
      </c>
      <c r="Q407" s="7"/>
    </row>
    <row r="408" spans="1:17" x14ac:dyDescent="0.3">
      <c r="A408">
        <v>28</v>
      </c>
      <c r="B408" t="s">
        <v>12</v>
      </c>
      <c r="C408" t="s">
        <v>26</v>
      </c>
      <c r="D408" t="s">
        <v>17</v>
      </c>
      <c r="E408" t="s">
        <v>11</v>
      </c>
      <c r="F408">
        <v>1220</v>
      </c>
      <c r="G408">
        <v>15</v>
      </c>
      <c r="H408" s="3">
        <v>44951</v>
      </c>
      <c r="I408" t="s">
        <v>47</v>
      </c>
      <c r="J408" t="str">
        <f t="shared" si="12"/>
        <v>Wednesday</v>
      </c>
      <c r="K408" t="str">
        <f t="shared" si="13"/>
        <v>Weekday</v>
      </c>
      <c r="L408" s="7">
        <f>IF(Bangladesh_Appointment_Trends[[#This Row],[Appointment Status]]="No-Show",1,0)</f>
        <v>0</v>
      </c>
      <c r="Q408" s="7"/>
    </row>
    <row r="409" spans="1:17" x14ac:dyDescent="0.3">
      <c r="A409">
        <v>6</v>
      </c>
      <c r="B409" t="s">
        <v>12</v>
      </c>
      <c r="C409" t="s">
        <v>9</v>
      </c>
      <c r="D409" t="s">
        <v>16</v>
      </c>
      <c r="E409" t="s">
        <v>18</v>
      </c>
      <c r="F409">
        <v>764</v>
      </c>
      <c r="G409">
        <v>7</v>
      </c>
      <c r="H409" s="3">
        <v>45628</v>
      </c>
      <c r="I409" t="s">
        <v>48</v>
      </c>
      <c r="J409" t="str">
        <f t="shared" si="12"/>
        <v>Monday</v>
      </c>
      <c r="K409" t="str">
        <f t="shared" si="13"/>
        <v>Weekday</v>
      </c>
      <c r="L409" s="7">
        <f>IF(Bangladesh_Appointment_Trends[[#This Row],[Appointment Status]]="No-Show",1,0)</f>
        <v>0</v>
      </c>
      <c r="Q409" s="7"/>
    </row>
    <row r="410" spans="1:17" x14ac:dyDescent="0.3">
      <c r="A410">
        <v>36</v>
      </c>
      <c r="B410" t="s">
        <v>8</v>
      </c>
      <c r="C410" t="s">
        <v>19</v>
      </c>
      <c r="D410" t="s">
        <v>17</v>
      </c>
      <c r="E410" t="s">
        <v>11</v>
      </c>
      <c r="F410">
        <v>1206</v>
      </c>
      <c r="G410">
        <v>4</v>
      </c>
      <c r="H410" s="3">
        <v>45517</v>
      </c>
      <c r="I410" t="s">
        <v>46</v>
      </c>
      <c r="J410" t="str">
        <f t="shared" si="12"/>
        <v>Tuesday</v>
      </c>
      <c r="K410" t="str">
        <f t="shared" si="13"/>
        <v>Weekday</v>
      </c>
      <c r="L410" s="7">
        <f>IF(Bangladesh_Appointment_Trends[[#This Row],[Appointment Status]]="No-Show",1,0)</f>
        <v>0</v>
      </c>
      <c r="Q410" s="7"/>
    </row>
    <row r="411" spans="1:17" x14ac:dyDescent="0.3">
      <c r="A411">
        <v>28</v>
      </c>
      <c r="B411" t="s">
        <v>8</v>
      </c>
      <c r="C411" t="s">
        <v>13</v>
      </c>
      <c r="D411" t="s">
        <v>16</v>
      </c>
      <c r="E411" t="s">
        <v>11</v>
      </c>
      <c r="F411">
        <v>846</v>
      </c>
      <c r="G411">
        <v>1</v>
      </c>
      <c r="H411" s="3">
        <v>45315</v>
      </c>
      <c r="I411" t="s">
        <v>47</v>
      </c>
      <c r="J411" t="str">
        <f t="shared" si="12"/>
        <v>Wednesday</v>
      </c>
      <c r="K411" t="str">
        <f t="shared" si="13"/>
        <v>Weekday</v>
      </c>
      <c r="L411" s="7">
        <f>IF(Bangladesh_Appointment_Trends[[#This Row],[Appointment Status]]="No-Show",1,0)</f>
        <v>0</v>
      </c>
      <c r="Q411" s="7"/>
    </row>
    <row r="412" spans="1:17" x14ac:dyDescent="0.3">
      <c r="A412">
        <v>16</v>
      </c>
      <c r="B412" t="s">
        <v>8</v>
      </c>
      <c r="C412" t="s">
        <v>9</v>
      </c>
      <c r="D412" t="s">
        <v>24</v>
      </c>
      <c r="E412" t="s">
        <v>11</v>
      </c>
      <c r="F412">
        <v>1036</v>
      </c>
      <c r="G412">
        <v>13</v>
      </c>
      <c r="H412" s="3">
        <v>45062</v>
      </c>
      <c r="I412" t="s">
        <v>48</v>
      </c>
      <c r="J412" t="str">
        <f t="shared" si="12"/>
        <v>Tuesday</v>
      </c>
      <c r="K412" t="str">
        <f t="shared" si="13"/>
        <v>Weekday</v>
      </c>
      <c r="L412" s="7">
        <f>IF(Bangladesh_Appointment_Trends[[#This Row],[Appointment Status]]="No-Show",1,0)</f>
        <v>0</v>
      </c>
      <c r="Q412" s="7"/>
    </row>
    <row r="413" spans="1:17" x14ac:dyDescent="0.3">
      <c r="A413">
        <v>54</v>
      </c>
      <c r="B413" t="s">
        <v>8</v>
      </c>
      <c r="C413" t="s">
        <v>15</v>
      </c>
      <c r="D413" t="s">
        <v>20</v>
      </c>
      <c r="E413" t="s">
        <v>11</v>
      </c>
      <c r="F413">
        <v>561</v>
      </c>
      <c r="G413">
        <v>20</v>
      </c>
      <c r="H413" s="3">
        <v>45092</v>
      </c>
      <c r="I413" t="s">
        <v>46</v>
      </c>
      <c r="J413" t="str">
        <f t="shared" si="12"/>
        <v>Thursday</v>
      </c>
      <c r="K413" t="str">
        <f t="shared" si="13"/>
        <v>Weekday</v>
      </c>
      <c r="L413" s="7">
        <f>IF(Bangladesh_Appointment_Trends[[#This Row],[Appointment Status]]="No-Show",1,0)</f>
        <v>0</v>
      </c>
      <c r="Q413" s="7"/>
    </row>
    <row r="414" spans="1:17" x14ac:dyDescent="0.3">
      <c r="A414">
        <v>39</v>
      </c>
      <c r="B414" t="s">
        <v>8</v>
      </c>
      <c r="C414" t="s">
        <v>15</v>
      </c>
      <c r="D414" t="s">
        <v>10</v>
      </c>
      <c r="E414" t="s">
        <v>11</v>
      </c>
      <c r="F414">
        <v>999</v>
      </c>
      <c r="G414">
        <v>7</v>
      </c>
      <c r="H414" s="3">
        <v>45102</v>
      </c>
      <c r="I414" t="s">
        <v>46</v>
      </c>
      <c r="J414" t="str">
        <f t="shared" si="12"/>
        <v>Sunday</v>
      </c>
      <c r="K414" t="str">
        <f t="shared" si="13"/>
        <v>Weekday</v>
      </c>
      <c r="L414" s="7">
        <f>IF(Bangladesh_Appointment_Trends[[#This Row],[Appointment Status]]="No-Show",1,0)</f>
        <v>0</v>
      </c>
      <c r="Q414" s="7"/>
    </row>
    <row r="415" spans="1:17" x14ac:dyDescent="0.3">
      <c r="A415">
        <v>37</v>
      </c>
      <c r="B415" t="s">
        <v>12</v>
      </c>
      <c r="C415" t="s">
        <v>15</v>
      </c>
      <c r="D415" t="s">
        <v>24</v>
      </c>
      <c r="E415" t="s">
        <v>11</v>
      </c>
      <c r="F415">
        <v>1040</v>
      </c>
      <c r="G415">
        <v>15</v>
      </c>
      <c r="H415" s="3">
        <v>45422</v>
      </c>
      <c r="I415" t="s">
        <v>46</v>
      </c>
      <c r="J415" t="str">
        <f t="shared" si="12"/>
        <v>Friday</v>
      </c>
      <c r="K415" t="str">
        <f t="shared" si="13"/>
        <v>Weekend</v>
      </c>
      <c r="L415" s="7">
        <f>IF(Bangladesh_Appointment_Trends[[#This Row],[Appointment Status]]="No-Show",1,0)</f>
        <v>0</v>
      </c>
      <c r="Q415" s="7"/>
    </row>
    <row r="416" spans="1:17" x14ac:dyDescent="0.3">
      <c r="A416">
        <v>37</v>
      </c>
      <c r="B416" t="s">
        <v>12</v>
      </c>
      <c r="C416" t="s">
        <v>9</v>
      </c>
      <c r="D416" t="s">
        <v>24</v>
      </c>
      <c r="E416" t="s">
        <v>22</v>
      </c>
      <c r="F416">
        <v>982</v>
      </c>
      <c r="G416">
        <v>14</v>
      </c>
      <c r="H416" s="3">
        <v>44999</v>
      </c>
      <c r="I416" t="s">
        <v>46</v>
      </c>
      <c r="J416" t="str">
        <f t="shared" si="12"/>
        <v>Tuesday</v>
      </c>
      <c r="K416" t="str">
        <f t="shared" si="13"/>
        <v>Weekday</v>
      </c>
      <c r="L416" s="7">
        <f>IF(Bangladesh_Appointment_Trends[[#This Row],[Appointment Status]]="No-Show",1,0)</f>
        <v>1</v>
      </c>
      <c r="Q416" s="7"/>
    </row>
    <row r="417" spans="1:17" x14ac:dyDescent="0.3">
      <c r="A417">
        <v>65</v>
      </c>
      <c r="B417" t="s">
        <v>8</v>
      </c>
      <c r="C417" t="s">
        <v>9</v>
      </c>
      <c r="D417" t="s">
        <v>14</v>
      </c>
      <c r="E417" t="s">
        <v>11</v>
      </c>
      <c r="F417">
        <v>1576</v>
      </c>
      <c r="G417">
        <v>19</v>
      </c>
      <c r="H417" s="3">
        <v>45422</v>
      </c>
      <c r="I417" t="s">
        <v>45</v>
      </c>
      <c r="J417" t="str">
        <f t="shared" si="12"/>
        <v>Friday</v>
      </c>
      <c r="K417" t="str">
        <f t="shared" si="13"/>
        <v>Weekend</v>
      </c>
      <c r="L417" s="7">
        <f>IF(Bangladesh_Appointment_Trends[[#This Row],[Appointment Status]]="No-Show",1,0)</f>
        <v>0</v>
      </c>
      <c r="Q417" s="7"/>
    </row>
    <row r="418" spans="1:17" x14ac:dyDescent="0.3">
      <c r="A418">
        <v>55</v>
      </c>
      <c r="B418" t="s">
        <v>12</v>
      </c>
      <c r="C418" t="s">
        <v>25</v>
      </c>
      <c r="D418" t="s">
        <v>14</v>
      </c>
      <c r="E418" t="s">
        <v>11</v>
      </c>
      <c r="F418">
        <v>1597</v>
      </c>
      <c r="G418">
        <v>20</v>
      </c>
      <c r="H418" s="3">
        <v>45285</v>
      </c>
      <c r="I418" t="s">
        <v>46</v>
      </c>
      <c r="J418" t="str">
        <f t="shared" si="12"/>
        <v>Monday</v>
      </c>
      <c r="K418" t="str">
        <f t="shared" si="13"/>
        <v>Weekday</v>
      </c>
      <c r="L418" s="7">
        <f>IF(Bangladesh_Appointment_Trends[[#This Row],[Appointment Status]]="No-Show",1,0)</f>
        <v>0</v>
      </c>
      <c r="Q418" s="7"/>
    </row>
    <row r="419" spans="1:17" x14ac:dyDescent="0.3">
      <c r="A419">
        <v>47</v>
      </c>
      <c r="B419" t="s">
        <v>12</v>
      </c>
      <c r="C419" t="s">
        <v>15</v>
      </c>
      <c r="D419" t="s">
        <v>14</v>
      </c>
      <c r="E419" t="s">
        <v>11</v>
      </c>
      <c r="F419">
        <v>1511</v>
      </c>
      <c r="G419">
        <v>18</v>
      </c>
      <c r="H419" s="3">
        <v>45152</v>
      </c>
      <c r="I419" t="s">
        <v>46</v>
      </c>
      <c r="J419" t="str">
        <f t="shared" si="12"/>
        <v>Monday</v>
      </c>
      <c r="K419" t="str">
        <f t="shared" si="13"/>
        <v>Weekday</v>
      </c>
      <c r="L419" s="7">
        <f>IF(Bangladesh_Appointment_Trends[[#This Row],[Appointment Status]]="No-Show",1,0)</f>
        <v>0</v>
      </c>
      <c r="Q419" s="7"/>
    </row>
    <row r="420" spans="1:17" x14ac:dyDescent="0.3">
      <c r="A420">
        <v>16</v>
      </c>
      <c r="B420" t="s">
        <v>12</v>
      </c>
      <c r="C420" t="s">
        <v>9</v>
      </c>
      <c r="D420" t="s">
        <v>10</v>
      </c>
      <c r="E420" t="s">
        <v>18</v>
      </c>
      <c r="F420">
        <v>955</v>
      </c>
      <c r="G420">
        <v>10</v>
      </c>
      <c r="H420" s="3">
        <v>45348</v>
      </c>
      <c r="I420" t="s">
        <v>48</v>
      </c>
      <c r="J420" t="str">
        <f t="shared" si="12"/>
        <v>Monday</v>
      </c>
      <c r="K420" t="str">
        <f t="shared" si="13"/>
        <v>Weekday</v>
      </c>
      <c r="L420" s="7">
        <f>IF(Bangladesh_Appointment_Trends[[#This Row],[Appointment Status]]="No-Show",1,0)</f>
        <v>0</v>
      </c>
      <c r="Q420" s="7"/>
    </row>
    <row r="421" spans="1:17" x14ac:dyDescent="0.3">
      <c r="A421">
        <v>71</v>
      </c>
      <c r="B421" t="s">
        <v>12</v>
      </c>
      <c r="C421" t="s">
        <v>19</v>
      </c>
      <c r="D421" t="s">
        <v>14</v>
      </c>
      <c r="E421" t="s">
        <v>11</v>
      </c>
      <c r="F421">
        <v>1578</v>
      </c>
      <c r="G421">
        <v>9</v>
      </c>
      <c r="H421" s="3">
        <v>45100</v>
      </c>
      <c r="I421" t="s">
        <v>45</v>
      </c>
      <c r="J421" t="str">
        <f t="shared" si="12"/>
        <v>Friday</v>
      </c>
      <c r="K421" t="str">
        <f t="shared" si="13"/>
        <v>Weekend</v>
      </c>
      <c r="L421" s="7">
        <f>IF(Bangladesh_Appointment_Trends[[#This Row],[Appointment Status]]="No-Show",1,0)</f>
        <v>0</v>
      </c>
      <c r="Q421" s="7"/>
    </row>
    <row r="422" spans="1:17" x14ac:dyDescent="0.3">
      <c r="A422">
        <v>69</v>
      </c>
      <c r="B422" t="s">
        <v>8</v>
      </c>
      <c r="C422" t="s">
        <v>9</v>
      </c>
      <c r="D422" t="s">
        <v>16</v>
      </c>
      <c r="E422" t="s">
        <v>11</v>
      </c>
      <c r="F422">
        <v>885</v>
      </c>
      <c r="G422">
        <v>8</v>
      </c>
      <c r="H422" s="3">
        <v>45544</v>
      </c>
      <c r="I422" t="s">
        <v>45</v>
      </c>
      <c r="J422" t="str">
        <f t="shared" si="12"/>
        <v>Monday</v>
      </c>
      <c r="K422" t="str">
        <f t="shared" si="13"/>
        <v>Weekday</v>
      </c>
      <c r="L422" s="7">
        <f>IF(Bangladesh_Appointment_Trends[[#This Row],[Appointment Status]]="No-Show",1,0)</f>
        <v>0</v>
      </c>
      <c r="Q422" s="7"/>
    </row>
    <row r="423" spans="1:17" x14ac:dyDescent="0.3">
      <c r="A423">
        <v>37</v>
      </c>
      <c r="B423" t="s">
        <v>8</v>
      </c>
      <c r="C423" t="s">
        <v>25</v>
      </c>
      <c r="D423" t="s">
        <v>17</v>
      </c>
      <c r="E423" t="s">
        <v>11</v>
      </c>
      <c r="F423">
        <v>1317</v>
      </c>
      <c r="G423">
        <v>10</v>
      </c>
      <c r="H423" s="3">
        <v>45163</v>
      </c>
      <c r="I423" t="s">
        <v>46</v>
      </c>
      <c r="J423" t="str">
        <f t="shared" si="12"/>
        <v>Friday</v>
      </c>
      <c r="K423" t="str">
        <f t="shared" si="13"/>
        <v>Weekend</v>
      </c>
      <c r="L423" s="7">
        <f>IF(Bangladesh_Appointment_Trends[[#This Row],[Appointment Status]]="No-Show",1,0)</f>
        <v>0</v>
      </c>
      <c r="Q423" s="7"/>
    </row>
    <row r="424" spans="1:17" x14ac:dyDescent="0.3">
      <c r="A424">
        <v>44</v>
      </c>
      <c r="B424" t="s">
        <v>8</v>
      </c>
      <c r="C424" t="s">
        <v>19</v>
      </c>
      <c r="D424" t="s">
        <v>20</v>
      </c>
      <c r="E424" t="s">
        <v>18</v>
      </c>
      <c r="F424">
        <v>616</v>
      </c>
      <c r="G424">
        <v>17</v>
      </c>
      <c r="H424" s="3">
        <v>45244</v>
      </c>
      <c r="I424" t="s">
        <v>46</v>
      </c>
      <c r="J424" t="str">
        <f t="shared" si="12"/>
        <v>Tuesday</v>
      </c>
      <c r="K424" t="str">
        <f t="shared" si="13"/>
        <v>Weekday</v>
      </c>
      <c r="L424" s="7">
        <f>IF(Bangladesh_Appointment_Trends[[#This Row],[Appointment Status]]="No-Show",1,0)</f>
        <v>0</v>
      </c>
      <c r="Q424" s="7"/>
    </row>
    <row r="425" spans="1:17" x14ac:dyDescent="0.3">
      <c r="A425">
        <v>78</v>
      </c>
      <c r="B425" t="s">
        <v>8</v>
      </c>
      <c r="C425" t="s">
        <v>15</v>
      </c>
      <c r="D425" t="s">
        <v>24</v>
      </c>
      <c r="E425" t="s">
        <v>11</v>
      </c>
      <c r="F425">
        <v>1019</v>
      </c>
      <c r="G425">
        <v>2</v>
      </c>
      <c r="H425" s="3">
        <v>45507</v>
      </c>
      <c r="I425" t="s">
        <v>45</v>
      </c>
      <c r="J425" t="str">
        <f t="shared" si="12"/>
        <v>Saturday</v>
      </c>
      <c r="K425" t="str">
        <f t="shared" si="13"/>
        <v>Weekend</v>
      </c>
      <c r="L425" s="7">
        <f>IF(Bangladesh_Appointment_Trends[[#This Row],[Appointment Status]]="No-Show",1,0)</f>
        <v>0</v>
      </c>
      <c r="Q425" s="7"/>
    </row>
    <row r="426" spans="1:17" x14ac:dyDescent="0.3">
      <c r="A426">
        <v>47</v>
      </c>
      <c r="B426" t="s">
        <v>12</v>
      </c>
      <c r="C426" t="s">
        <v>23</v>
      </c>
      <c r="D426" t="s">
        <v>16</v>
      </c>
      <c r="E426" t="s">
        <v>18</v>
      </c>
      <c r="F426">
        <v>874</v>
      </c>
      <c r="G426">
        <v>6</v>
      </c>
      <c r="H426" s="3">
        <v>45524</v>
      </c>
      <c r="I426" t="s">
        <v>46</v>
      </c>
      <c r="J426" t="str">
        <f t="shared" si="12"/>
        <v>Tuesday</v>
      </c>
      <c r="K426" t="str">
        <f t="shared" si="13"/>
        <v>Weekday</v>
      </c>
      <c r="L426" s="7">
        <f>IF(Bangladesh_Appointment_Trends[[#This Row],[Appointment Status]]="No-Show",1,0)</f>
        <v>0</v>
      </c>
      <c r="Q426" s="7"/>
    </row>
    <row r="427" spans="1:17" x14ac:dyDescent="0.3">
      <c r="A427">
        <v>48</v>
      </c>
      <c r="B427" t="s">
        <v>12</v>
      </c>
      <c r="C427" t="s">
        <v>9</v>
      </c>
      <c r="D427" t="s">
        <v>20</v>
      </c>
      <c r="E427" t="s">
        <v>22</v>
      </c>
      <c r="F427">
        <v>422</v>
      </c>
      <c r="G427">
        <v>5</v>
      </c>
      <c r="H427" s="3">
        <v>45489</v>
      </c>
      <c r="I427" t="s">
        <v>46</v>
      </c>
      <c r="J427" t="str">
        <f t="shared" si="12"/>
        <v>Tuesday</v>
      </c>
      <c r="K427" t="str">
        <f t="shared" si="13"/>
        <v>Weekday</v>
      </c>
      <c r="L427" s="7">
        <f>IF(Bangladesh_Appointment_Trends[[#This Row],[Appointment Status]]="No-Show",1,0)</f>
        <v>1</v>
      </c>
      <c r="Q427" s="7"/>
    </row>
    <row r="428" spans="1:17" x14ac:dyDescent="0.3">
      <c r="A428">
        <v>33</v>
      </c>
      <c r="B428" t="s">
        <v>8</v>
      </c>
      <c r="C428" t="s">
        <v>9</v>
      </c>
      <c r="D428" t="s">
        <v>16</v>
      </c>
      <c r="E428" t="s">
        <v>11</v>
      </c>
      <c r="F428">
        <v>912</v>
      </c>
      <c r="G428">
        <v>9</v>
      </c>
      <c r="H428" s="3">
        <v>45140</v>
      </c>
      <c r="I428" t="s">
        <v>47</v>
      </c>
      <c r="J428" t="str">
        <f t="shared" si="12"/>
        <v>Wednesday</v>
      </c>
      <c r="K428" t="str">
        <f t="shared" si="13"/>
        <v>Weekday</v>
      </c>
      <c r="L428" s="7">
        <f>IF(Bangladesh_Appointment_Trends[[#This Row],[Appointment Status]]="No-Show",1,0)</f>
        <v>0</v>
      </c>
      <c r="Q428" s="7"/>
    </row>
    <row r="429" spans="1:17" x14ac:dyDescent="0.3">
      <c r="A429">
        <v>17</v>
      </c>
      <c r="B429" t="s">
        <v>12</v>
      </c>
      <c r="C429" t="s">
        <v>9</v>
      </c>
      <c r="D429" t="s">
        <v>16</v>
      </c>
      <c r="E429" t="s">
        <v>18</v>
      </c>
      <c r="F429">
        <v>934</v>
      </c>
      <c r="G429">
        <v>5</v>
      </c>
      <c r="H429" s="3">
        <v>45087</v>
      </c>
      <c r="I429" t="s">
        <v>48</v>
      </c>
      <c r="J429" t="str">
        <f t="shared" si="12"/>
        <v>Saturday</v>
      </c>
      <c r="K429" t="str">
        <f t="shared" si="13"/>
        <v>Weekend</v>
      </c>
      <c r="L429" s="7">
        <f>IF(Bangladesh_Appointment_Trends[[#This Row],[Appointment Status]]="No-Show",1,0)</f>
        <v>0</v>
      </c>
      <c r="Q429" s="7"/>
    </row>
    <row r="430" spans="1:17" x14ac:dyDescent="0.3">
      <c r="A430">
        <v>16</v>
      </c>
      <c r="B430" t="s">
        <v>8</v>
      </c>
      <c r="C430" t="s">
        <v>9</v>
      </c>
      <c r="D430" t="s">
        <v>24</v>
      </c>
      <c r="E430" t="s">
        <v>11</v>
      </c>
      <c r="F430">
        <v>912</v>
      </c>
      <c r="G430">
        <v>18</v>
      </c>
      <c r="H430" s="3">
        <v>44960</v>
      </c>
      <c r="I430" t="s">
        <v>48</v>
      </c>
      <c r="J430" t="str">
        <f t="shared" si="12"/>
        <v>Friday</v>
      </c>
      <c r="K430" t="str">
        <f t="shared" si="13"/>
        <v>Weekend</v>
      </c>
      <c r="L430" s="7">
        <f>IF(Bangladesh_Appointment_Trends[[#This Row],[Appointment Status]]="No-Show",1,0)</f>
        <v>0</v>
      </c>
      <c r="Q430" s="7"/>
    </row>
    <row r="431" spans="1:17" x14ac:dyDescent="0.3">
      <c r="A431">
        <v>50</v>
      </c>
      <c r="B431" t="s">
        <v>8</v>
      </c>
      <c r="C431" t="s">
        <v>23</v>
      </c>
      <c r="D431" t="s">
        <v>17</v>
      </c>
      <c r="E431" t="s">
        <v>22</v>
      </c>
      <c r="F431">
        <v>1200</v>
      </c>
      <c r="G431">
        <v>20</v>
      </c>
      <c r="H431" s="3">
        <v>45333</v>
      </c>
      <c r="I431" t="s">
        <v>46</v>
      </c>
      <c r="J431" t="str">
        <f t="shared" si="12"/>
        <v>Sunday</v>
      </c>
      <c r="K431" t="str">
        <f t="shared" si="13"/>
        <v>Weekday</v>
      </c>
      <c r="L431" s="7">
        <f>IF(Bangladesh_Appointment_Trends[[#This Row],[Appointment Status]]="No-Show",1,0)</f>
        <v>1</v>
      </c>
      <c r="Q431" s="7"/>
    </row>
    <row r="432" spans="1:17" x14ac:dyDescent="0.3">
      <c r="A432">
        <v>6</v>
      </c>
      <c r="B432" t="s">
        <v>12</v>
      </c>
      <c r="C432" t="s">
        <v>15</v>
      </c>
      <c r="D432" t="s">
        <v>14</v>
      </c>
      <c r="E432" t="s">
        <v>11</v>
      </c>
      <c r="F432">
        <v>1423</v>
      </c>
      <c r="G432">
        <v>9</v>
      </c>
      <c r="H432" s="3">
        <v>45515</v>
      </c>
      <c r="I432" t="s">
        <v>48</v>
      </c>
      <c r="J432" t="str">
        <f t="shared" si="12"/>
        <v>Sunday</v>
      </c>
      <c r="K432" t="str">
        <f t="shared" si="13"/>
        <v>Weekday</v>
      </c>
      <c r="L432" s="7">
        <f>IF(Bangladesh_Appointment_Trends[[#This Row],[Appointment Status]]="No-Show",1,0)</f>
        <v>0</v>
      </c>
      <c r="Q432" s="7"/>
    </row>
    <row r="433" spans="1:17" x14ac:dyDescent="0.3">
      <c r="A433">
        <v>39</v>
      </c>
      <c r="B433" t="s">
        <v>8</v>
      </c>
      <c r="C433" t="s">
        <v>15</v>
      </c>
      <c r="D433" t="s">
        <v>10</v>
      </c>
      <c r="E433" t="s">
        <v>18</v>
      </c>
      <c r="F433">
        <v>910</v>
      </c>
      <c r="G433">
        <v>17</v>
      </c>
      <c r="H433" s="3">
        <v>45617</v>
      </c>
      <c r="I433" t="s">
        <v>46</v>
      </c>
      <c r="J433" t="str">
        <f t="shared" si="12"/>
        <v>Thursday</v>
      </c>
      <c r="K433" t="str">
        <f t="shared" si="13"/>
        <v>Weekday</v>
      </c>
      <c r="L433" s="7">
        <f>IF(Bangladesh_Appointment_Trends[[#This Row],[Appointment Status]]="No-Show",1,0)</f>
        <v>0</v>
      </c>
      <c r="Q433" s="7"/>
    </row>
    <row r="434" spans="1:17" x14ac:dyDescent="0.3">
      <c r="A434">
        <v>12</v>
      </c>
      <c r="B434" t="s">
        <v>8</v>
      </c>
      <c r="C434" t="s">
        <v>15</v>
      </c>
      <c r="D434" t="s">
        <v>17</v>
      </c>
      <c r="E434" t="s">
        <v>11</v>
      </c>
      <c r="F434">
        <v>1372</v>
      </c>
      <c r="G434">
        <v>17</v>
      </c>
      <c r="H434" s="3">
        <v>44947</v>
      </c>
      <c r="I434" t="s">
        <v>48</v>
      </c>
      <c r="J434" t="str">
        <f t="shared" si="12"/>
        <v>Saturday</v>
      </c>
      <c r="K434" t="str">
        <f t="shared" si="13"/>
        <v>Weekend</v>
      </c>
      <c r="L434" s="7">
        <f>IF(Bangladesh_Appointment_Trends[[#This Row],[Appointment Status]]="No-Show",1,0)</f>
        <v>0</v>
      </c>
      <c r="Q434" s="7"/>
    </row>
    <row r="435" spans="1:17" x14ac:dyDescent="0.3">
      <c r="A435">
        <v>30</v>
      </c>
      <c r="B435" t="s">
        <v>8</v>
      </c>
      <c r="C435" t="s">
        <v>23</v>
      </c>
      <c r="D435" t="s">
        <v>10</v>
      </c>
      <c r="E435" t="s">
        <v>11</v>
      </c>
      <c r="F435">
        <v>1180</v>
      </c>
      <c r="G435">
        <v>12</v>
      </c>
      <c r="H435" s="3">
        <v>45099</v>
      </c>
      <c r="I435" t="s">
        <v>47</v>
      </c>
      <c r="J435" t="str">
        <f t="shared" si="12"/>
        <v>Thursday</v>
      </c>
      <c r="K435" t="str">
        <f t="shared" si="13"/>
        <v>Weekday</v>
      </c>
      <c r="L435" s="7">
        <f>IF(Bangladesh_Appointment_Trends[[#This Row],[Appointment Status]]="No-Show",1,0)</f>
        <v>0</v>
      </c>
      <c r="Q435" s="7"/>
    </row>
    <row r="436" spans="1:17" x14ac:dyDescent="0.3">
      <c r="A436">
        <v>78</v>
      </c>
      <c r="B436" t="s">
        <v>12</v>
      </c>
      <c r="C436" t="s">
        <v>15</v>
      </c>
      <c r="D436" t="s">
        <v>24</v>
      </c>
      <c r="E436" t="s">
        <v>11</v>
      </c>
      <c r="F436">
        <v>993</v>
      </c>
      <c r="G436">
        <v>7</v>
      </c>
      <c r="H436" s="3">
        <v>45456</v>
      </c>
      <c r="I436" t="s">
        <v>45</v>
      </c>
      <c r="J436" t="str">
        <f t="shared" si="12"/>
        <v>Thursday</v>
      </c>
      <c r="K436" t="str">
        <f t="shared" si="13"/>
        <v>Weekday</v>
      </c>
      <c r="L436" s="7">
        <f>IF(Bangladesh_Appointment_Trends[[#This Row],[Appointment Status]]="No-Show",1,0)</f>
        <v>0</v>
      </c>
      <c r="Q436" s="7"/>
    </row>
    <row r="437" spans="1:17" x14ac:dyDescent="0.3">
      <c r="A437">
        <v>38</v>
      </c>
      <c r="B437" t="s">
        <v>12</v>
      </c>
      <c r="C437" t="s">
        <v>13</v>
      </c>
      <c r="D437" t="s">
        <v>24</v>
      </c>
      <c r="E437" t="s">
        <v>11</v>
      </c>
      <c r="F437">
        <v>1100</v>
      </c>
      <c r="G437">
        <v>3</v>
      </c>
      <c r="H437" s="3">
        <v>45237</v>
      </c>
      <c r="I437" t="s">
        <v>46</v>
      </c>
      <c r="J437" t="str">
        <f t="shared" si="12"/>
        <v>Tuesday</v>
      </c>
      <c r="K437" t="str">
        <f t="shared" si="13"/>
        <v>Weekday</v>
      </c>
      <c r="L437" s="7">
        <f>IF(Bangladesh_Appointment_Trends[[#This Row],[Appointment Status]]="No-Show",1,0)</f>
        <v>0</v>
      </c>
      <c r="Q437" s="7"/>
    </row>
    <row r="438" spans="1:17" x14ac:dyDescent="0.3">
      <c r="A438">
        <v>11</v>
      </c>
      <c r="B438" t="s">
        <v>12</v>
      </c>
      <c r="C438" t="s">
        <v>9</v>
      </c>
      <c r="D438" t="s">
        <v>24</v>
      </c>
      <c r="E438" t="s">
        <v>11</v>
      </c>
      <c r="F438">
        <v>920</v>
      </c>
      <c r="G438">
        <v>10</v>
      </c>
      <c r="H438" s="3">
        <v>45405</v>
      </c>
      <c r="I438" t="s">
        <v>48</v>
      </c>
      <c r="J438" t="str">
        <f t="shared" si="12"/>
        <v>Tuesday</v>
      </c>
      <c r="K438" t="str">
        <f t="shared" si="13"/>
        <v>Weekday</v>
      </c>
      <c r="L438" s="7">
        <f>IF(Bangladesh_Appointment_Trends[[#This Row],[Appointment Status]]="No-Show",1,0)</f>
        <v>0</v>
      </c>
      <c r="Q438" s="7"/>
    </row>
    <row r="439" spans="1:17" x14ac:dyDescent="0.3">
      <c r="A439">
        <v>72</v>
      </c>
      <c r="B439" t="s">
        <v>12</v>
      </c>
      <c r="C439" t="s">
        <v>25</v>
      </c>
      <c r="D439" t="s">
        <v>20</v>
      </c>
      <c r="E439" t="s">
        <v>11</v>
      </c>
      <c r="F439">
        <v>610</v>
      </c>
      <c r="G439">
        <v>2</v>
      </c>
      <c r="H439" s="3">
        <v>45277</v>
      </c>
      <c r="I439" t="s">
        <v>45</v>
      </c>
      <c r="J439" t="str">
        <f t="shared" si="12"/>
        <v>Sunday</v>
      </c>
      <c r="K439" t="str">
        <f t="shared" si="13"/>
        <v>Weekday</v>
      </c>
      <c r="L439" s="7">
        <f>IF(Bangladesh_Appointment_Trends[[#This Row],[Appointment Status]]="No-Show",1,0)</f>
        <v>0</v>
      </c>
      <c r="Q439" s="7"/>
    </row>
    <row r="440" spans="1:17" x14ac:dyDescent="0.3">
      <c r="A440">
        <v>62</v>
      </c>
      <c r="B440" t="s">
        <v>12</v>
      </c>
      <c r="C440" t="s">
        <v>26</v>
      </c>
      <c r="D440" t="s">
        <v>10</v>
      </c>
      <c r="E440" t="s">
        <v>11</v>
      </c>
      <c r="F440">
        <v>1039</v>
      </c>
      <c r="G440">
        <v>3</v>
      </c>
      <c r="H440" s="3">
        <v>45232</v>
      </c>
      <c r="I440" t="s">
        <v>45</v>
      </c>
      <c r="J440" t="str">
        <f t="shared" si="12"/>
        <v>Thursday</v>
      </c>
      <c r="K440" t="str">
        <f t="shared" si="13"/>
        <v>Weekday</v>
      </c>
      <c r="L440" s="7">
        <f>IF(Bangladesh_Appointment_Trends[[#This Row],[Appointment Status]]="No-Show",1,0)</f>
        <v>0</v>
      </c>
      <c r="Q440" s="7"/>
    </row>
    <row r="441" spans="1:17" x14ac:dyDescent="0.3">
      <c r="A441">
        <v>79</v>
      </c>
      <c r="B441" t="s">
        <v>8</v>
      </c>
      <c r="C441" t="s">
        <v>25</v>
      </c>
      <c r="D441" t="s">
        <v>17</v>
      </c>
      <c r="E441" t="s">
        <v>11</v>
      </c>
      <c r="F441">
        <v>1392</v>
      </c>
      <c r="G441">
        <v>16</v>
      </c>
      <c r="H441" s="3">
        <v>45608</v>
      </c>
      <c r="I441" t="s">
        <v>45</v>
      </c>
      <c r="J441" t="str">
        <f t="shared" si="12"/>
        <v>Tuesday</v>
      </c>
      <c r="K441" t="str">
        <f t="shared" si="13"/>
        <v>Weekday</v>
      </c>
      <c r="L441" s="7">
        <f>IF(Bangladesh_Appointment_Trends[[#This Row],[Appointment Status]]="No-Show",1,0)</f>
        <v>0</v>
      </c>
      <c r="Q441" s="7"/>
    </row>
    <row r="442" spans="1:17" x14ac:dyDescent="0.3">
      <c r="A442">
        <v>33</v>
      </c>
      <c r="B442" t="s">
        <v>12</v>
      </c>
      <c r="C442" t="s">
        <v>13</v>
      </c>
      <c r="D442" t="s">
        <v>17</v>
      </c>
      <c r="E442" t="s">
        <v>18</v>
      </c>
      <c r="F442">
        <v>1397</v>
      </c>
      <c r="G442">
        <v>2</v>
      </c>
      <c r="H442" s="3">
        <v>45224</v>
      </c>
      <c r="I442" t="s">
        <v>47</v>
      </c>
      <c r="J442" t="str">
        <f t="shared" si="12"/>
        <v>Wednesday</v>
      </c>
      <c r="K442" t="str">
        <f t="shared" si="13"/>
        <v>Weekday</v>
      </c>
      <c r="L442" s="7">
        <f>IF(Bangladesh_Appointment_Trends[[#This Row],[Appointment Status]]="No-Show",1,0)</f>
        <v>0</v>
      </c>
      <c r="Q442" s="7"/>
    </row>
    <row r="443" spans="1:17" x14ac:dyDescent="0.3">
      <c r="A443">
        <v>40</v>
      </c>
      <c r="B443" t="s">
        <v>8</v>
      </c>
      <c r="C443" t="s">
        <v>9</v>
      </c>
      <c r="D443" t="s">
        <v>16</v>
      </c>
      <c r="E443" t="s">
        <v>11</v>
      </c>
      <c r="F443">
        <v>800</v>
      </c>
      <c r="G443">
        <v>10</v>
      </c>
      <c r="H443" s="3">
        <v>44995</v>
      </c>
      <c r="I443" t="s">
        <v>46</v>
      </c>
      <c r="J443" t="str">
        <f t="shared" si="12"/>
        <v>Friday</v>
      </c>
      <c r="K443" t="str">
        <f t="shared" si="13"/>
        <v>Weekend</v>
      </c>
      <c r="L443" s="7">
        <f>IF(Bangladesh_Appointment_Trends[[#This Row],[Appointment Status]]="No-Show",1,0)</f>
        <v>0</v>
      </c>
      <c r="Q443" s="7"/>
    </row>
    <row r="444" spans="1:17" x14ac:dyDescent="0.3">
      <c r="A444">
        <v>25</v>
      </c>
      <c r="B444" t="s">
        <v>8</v>
      </c>
      <c r="C444" t="s">
        <v>19</v>
      </c>
      <c r="D444" t="s">
        <v>16</v>
      </c>
      <c r="E444" t="s">
        <v>11</v>
      </c>
      <c r="F444">
        <v>727</v>
      </c>
      <c r="G444">
        <v>6</v>
      </c>
      <c r="H444" s="3">
        <v>45614</v>
      </c>
      <c r="I444" t="s">
        <v>47</v>
      </c>
      <c r="J444" t="str">
        <f t="shared" si="12"/>
        <v>Monday</v>
      </c>
      <c r="K444" t="str">
        <f t="shared" si="13"/>
        <v>Weekday</v>
      </c>
      <c r="L444" s="7">
        <f>IF(Bangladesh_Appointment_Trends[[#This Row],[Appointment Status]]="No-Show",1,0)</f>
        <v>0</v>
      </c>
      <c r="Q444" s="7"/>
    </row>
    <row r="445" spans="1:17" x14ac:dyDescent="0.3">
      <c r="A445">
        <v>40</v>
      </c>
      <c r="B445" t="s">
        <v>8</v>
      </c>
      <c r="C445" t="s">
        <v>15</v>
      </c>
      <c r="D445" t="s">
        <v>16</v>
      </c>
      <c r="E445" t="s">
        <v>11</v>
      </c>
      <c r="F445">
        <v>740</v>
      </c>
      <c r="G445">
        <v>11</v>
      </c>
      <c r="H445" s="3">
        <v>45373</v>
      </c>
      <c r="I445" t="s">
        <v>46</v>
      </c>
      <c r="J445" t="str">
        <f t="shared" si="12"/>
        <v>Friday</v>
      </c>
      <c r="K445" t="str">
        <f t="shared" si="13"/>
        <v>Weekend</v>
      </c>
      <c r="L445" s="7">
        <f>IF(Bangladesh_Appointment_Trends[[#This Row],[Appointment Status]]="No-Show",1,0)</f>
        <v>0</v>
      </c>
      <c r="Q445" s="7"/>
    </row>
    <row r="446" spans="1:17" x14ac:dyDescent="0.3">
      <c r="A446">
        <v>14</v>
      </c>
      <c r="B446" t="s">
        <v>12</v>
      </c>
      <c r="C446" t="s">
        <v>15</v>
      </c>
      <c r="D446" t="s">
        <v>24</v>
      </c>
      <c r="E446" t="s">
        <v>11</v>
      </c>
      <c r="F446">
        <v>1045</v>
      </c>
      <c r="G446">
        <v>7</v>
      </c>
      <c r="H446" s="3">
        <v>44953</v>
      </c>
      <c r="I446" t="s">
        <v>48</v>
      </c>
      <c r="J446" t="str">
        <f t="shared" si="12"/>
        <v>Friday</v>
      </c>
      <c r="K446" t="str">
        <f t="shared" si="13"/>
        <v>Weekend</v>
      </c>
      <c r="L446" s="7">
        <f>IF(Bangladesh_Appointment_Trends[[#This Row],[Appointment Status]]="No-Show",1,0)</f>
        <v>0</v>
      </c>
      <c r="Q446" s="7"/>
    </row>
    <row r="447" spans="1:17" x14ac:dyDescent="0.3">
      <c r="A447">
        <v>77</v>
      </c>
      <c r="B447" t="s">
        <v>8</v>
      </c>
      <c r="C447" t="s">
        <v>9</v>
      </c>
      <c r="D447" t="s">
        <v>17</v>
      </c>
      <c r="E447" t="s">
        <v>22</v>
      </c>
      <c r="F447">
        <v>1355</v>
      </c>
      <c r="G447">
        <v>15</v>
      </c>
      <c r="H447" s="3">
        <v>45362</v>
      </c>
      <c r="I447" t="s">
        <v>45</v>
      </c>
      <c r="J447" t="str">
        <f t="shared" si="12"/>
        <v>Monday</v>
      </c>
      <c r="K447" t="str">
        <f t="shared" si="13"/>
        <v>Weekday</v>
      </c>
      <c r="L447" s="7">
        <f>IF(Bangladesh_Appointment_Trends[[#This Row],[Appointment Status]]="No-Show",1,0)</f>
        <v>1</v>
      </c>
      <c r="Q447" s="7"/>
    </row>
    <row r="448" spans="1:17" x14ac:dyDescent="0.3">
      <c r="A448">
        <v>28</v>
      </c>
      <c r="B448" t="s">
        <v>12</v>
      </c>
      <c r="C448" t="s">
        <v>19</v>
      </c>
      <c r="D448" t="s">
        <v>10</v>
      </c>
      <c r="E448" t="s">
        <v>11</v>
      </c>
      <c r="F448">
        <v>1126</v>
      </c>
      <c r="G448">
        <v>6</v>
      </c>
      <c r="H448" s="3">
        <v>45032</v>
      </c>
      <c r="I448" t="s">
        <v>47</v>
      </c>
      <c r="J448" t="str">
        <f t="shared" si="12"/>
        <v>Sunday</v>
      </c>
      <c r="K448" t="str">
        <f t="shared" si="13"/>
        <v>Weekday</v>
      </c>
      <c r="L448" s="7">
        <f>IF(Bangladesh_Appointment_Trends[[#This Row],[Appointment Status]]="No-Show",1,0)</f>
        <v>0</v>
      </c>
      <c r="Q448" s="7"/>
    </row>
    <row r="449" spans="1:17" x14ac:dyDescent="0.3">
      <c r="A449">
        <v>68</v>
      </c>
      <c r="B449" t="s">
        <v>12</v>
      </c>
      <c r="C449" t="s">
        <v>15</v>
      </c>
      <c r="D449" t="s">
        <v>24</v>
      </c>
      <c r="E449" t="s">
        <v>18</v>
      </c>
      <c r="F449">
        <v>1135</v>
      </c>
      <c r="G449">
        <v>20</v>
      </c>
      <c r="H449" s="3">
        <v>45613</v>
      </c>
      <c r="I449" t="s">
        <v>45</v>
      </c>
      <c r="J449" t="str">
        <f t="shared" si="12"/>
        <v>Sunday</v>
      </c>
      <c r="K449" t="str">
        <f t="shared" si="13"/>
        <v>Weekday</v>
      </c>
      <c r="L449" s="7">
        <f>IF(Bangladesh_Appointment_Trends[[#This Row],[Appointment Status]]="No-Show",1,0)</f>
        <v>0</v>
      </c>
      <c r="Q449" s="7"/>
    </row>
    <row r="450" spans="1:17" x14ac:dyDescent="0.3">
      <c r="A450">
        <v>53</v>
      </c>
      <c r="B450" t="s">
        <v>8</v>
      </c>
      <c r="C450" t="s">
        <v>19</v>
      </c>
      <c r="D450" t="s">
        <v>20</v>
      </c>
      <c r="E450" t="s">
        <v>22</v>
      </c>
      <c r="F450">
        <v>412</v>
      </c>
      <c r="G450">
        <v>9</v>
      </c>
      <c r="H450" s="3">
        <v>45249</v>
      </c>
      <c r="I450" t="s">
        <v>46</v>
      </c>
      <c r="J450" t="str">
        <f t="shared" ref="J450:J501" si="14">TEXT(H450,"dddd")</f>
        <v>Sunday</v>
      </c>
      <c r="K450" t="str">
        <f t="shared" ref="K450:K501" si="15">IF(WEEKDAY(H450,1)&gt;5,"Weekend","Weekday")</f>
        <v>Weekday</v>
      </c>
      <c r="L450" s="7">
        <f>IF(Bangladesh_Appointment_Trends[[#This Row],[Appointment Status]]="No-Show",1,0)</f>
        <v>1</v>
      </c>
      <c r="Q450" s="7"/>
    </row>
    <row r="451" spans="1:17" x14ac:dyDescent="0.3">
      <c r="A451">
        <v>40</v>
      </c>
      <c r="B451" t="s">
        <v>12</v>
      </c>
      <c r="C451" t="s">
        <v>13</v>
      </c>
      <c r="D451" t="s">
        <v>16</v>
      </c>
      <c r="E451" t="s">
        <v>18</v>
      </c>
      <c r="F451">
        <v>909</v>
      </c>
      <c r="G451">
        <v>20</v>
      </c>
      <c r="H451" s="3">
        <v>45064</v>
      </c>
      <c r="I451" t="s">
        <v>46</v>
      </c>
      <c r="J451" t="str">
        <f t="shared" si="14"/>
        <v>Thursday</v>
      </c>
      <c r="K451" t="str">
        <f t="shared" si="15"/>
        <v>Weekday</v>
      </c>
      <c r="L451" s="7">
        <f>IF(Bangladesh_Appointment_Trends[[#This Row],[Appointment Status]]="No-Show",1,0)</f>
        <v>0</v>
      </c>
      <c r="Q451" s="7"/>
    </row>
    <row r="452" spans="1:17" x14ac:dyDescent="0.3">
      <c r="A452">
        <v>28</v>
      </c>
      <c r="B452" t="s">
        <v>12</v>
      </c>
      <c r="C452" t="s">
        <v>19</v>
      </c>
      <c r="D452" t="s">
        <v>24</v>
      </c>
      <c r="E452" t="s">
        <v>11</v>
      </c>
      <c r="F452">
        <v>1128</v>
      </c>
      <c r="G452">
        <v>12</v>
      </c>
      <c r="H452" s="3">
        <v>45354</v>
      </c>
      <c r="I452" t="s">
        <v>47</v>
      </c>
      <c r="J452" t="str">
        <f t="shared" si="14"/>
        <v>Sunday</v>
      </c>
      <c r="K452" t="str">
        <f t="shared" si="15"/>
        <v>Weekday</v>
      </c>
      <c r="L452" s="7">
        <f>IF(Bangladesh_Appointment_Trends[[#This Row],[Appointment Status]]="No-Show",1,0)</f>
        <v>0</v>
      </c>
      <c r="Q452" s="7"/>
    </row>
    <row r="453" spans="1:17" x14ac:dyDescent="0.3">
      <c r="A453">
        <v>27</v>
      </c>
      <c r="B453" t="s">
        <v>8</v>
      </c>
      <c r="C453" t="s">
        <v>23</v>
      </c>
      <c r="D453" t="s">
        <v>24</v>
      </c>
      <c r="E453" t="s">
        <v>18</v>
      </c>
      <c r="F453">
        <v>999</v>
      </c>
      <c r="G453">
        <v>19</v>
      </c>
      <c r="H453" s="3">
        <v>45098</v>
      </c>
      <c r="I453" t="s">
        <v>47</v>
      </c>
      <c r="J453" t="str">
        <f t="shared" si="14"/>
        <v>Wednesday</v>
      </c>
      <c r="K453" t="str">
        <f t="shared" si="15"/>
        <v>Weekday</v>
      </c>
      <c r="L453" s="7">
        <f>IF(Bangladesh_Appointment_Trends[[#This Row],[Appointment Status]]="No-Show",1,0)</f>
        <v>0</v>
      </c>
      <c r="Q453" s="7"/>
    </row>
    <row r="454" spans="1:17" x14ac:dyDescent="0.3">
      <c r="A454">
        <v>66</v>
      </c>
      <c r="B454" t="s">
        <v>12</v>
      </c>
      <c r="C454" t="s">
        <v>25</v>
      </c>
      <c r="D454" t="s">
        <v>20</v>
      </c>
      <c r="E454" t="s">
        <v>22</v>
      </c>
      <c r="F454">
        <v>430</v>
      </c>
      <c r="G454">
        <v>20</v>
      </c>
      <c r="H454" s="3">
        <v>45257</v>
      </c>
      <c r="I454" t="s">
        <v>45</v>
      </c>
      <c r="J454" t="str">
        <f t="shared" si="14"/>
        <v>Monday</v>
      </c>
      <c r="K454" t="str">
        <f t="shared" si="15"/>
        <v>Weekday</v>
      </c>
      <c r="L454" s="7">
        <f>IF(Bangladesh_Appointment_Trends[[#This Row],[Appointment Status]]="No-Show",1,0)</f>
        <v>1</v>
      </c>
      <c r="Q454" s="7"/>
    </row>
    <row r="455" spans="1:17" x14ac:dyDescent="0.3">
      <c r="A455">
        <v>41</v>
      </c>
      <c r="B455" t="s">
        <v>12</v>
      </c>
      <c r="C455" t="s">
        <v>26</v>
      </c>
      <c r="D455" t="s">
        <v>14</v>
      </c>
      <c r="E455" t="s">
        <v>11</v>
      </c>
      <c r="F455">
        <v>1415</v>
      </c>
      <c r="G455">
        <v>3</v>
      </c>
      <c r="H455" s="3">
        <v>45652</v>
      </c>
      <c r="I455" t="s">
        <v>46</v>
      </c>
      <c r="J455" t="str">
        <f t="shared" si="14"/>
        <v>Thursday</v>
      </c>
      <c r="K455" t="str">
        <f t="shared" si="15"/>
        <v>Weekday</v>
      </c>
      <c r="L455" s="7">
        <f>IF(Bangladesh_Appointment_Trends[[#This Row],[Appointment Status]]="No-Show",1,0)</f>
        <v>0</v>
      </c>
      <c r="Q455" s="7"/>
    </row>
    <row r="456" spans="1:17" x14ac:dyDescent="0.3">
      <c r="A456">
        <v>16</v>
      </c>
      <c r="B456" t="s">
        <v>12</v>
      </c>
      <c r="C456" t="s">
        <v>19</v>
      </c>
      <c r="D456" t="s">
        <v>17</v>
      </c>
      <c r="E456" t="s">
        <v>11</v>
      </c>
      <c r="F456">
        <v>1236</v>
      </c>
      <c r="G456">
        <v>15</v>
      </c>
      <c r="H456" s="3">
        <v>45428</v>
      </c>
      <c r="I456" t="s">
        <v>48</v>
      </c>
      <c r="J456" t="str">
        <f t="shared" si="14"/>
        <v>Thursday</v>
      </c>
      <c r="K456" t="str">
        <f t="shared" si="15"/>
        <v>Weekday</v>
      </c>
      <c r="L456" s="7">
        <f>IF(Bangladesh_Appointment_Trends[[#This Row],[Appointment Status]]="No-Show",1,0)</f>
        <v>0</v>
      </c>
      <c r="Q456" s="7"/>
    </row>
    <row r="457" spans="1:17" x14ac:dyDescent="0.3">
      <c r="A457">
        <v>59</v>
      </c>
      <c r="B457" t="s">
        <v>8</v>
      </c>
      <c r="C457" t="s">
        <v>25</v>
      </c>
      <c r="D457" t="s">
        <v>10</v>
      </c>
      <c r="E457" t="s">
        <v>11</v>
      </c>
      <c r="F457">
        <v>1065</v>
      </c>
      <c r="G457">
        <v>2</v>
      </c>
      <c r="H457" s="3">
        <v>44991</v>
      </c>
      <c r="I457" t="s">
        <v>45</v>
      </c>
      <c r="J457" t="str">
        <f t="shared" si="14"/>
        <v>Monday</v>
      </c>
      <c r="K457" t="str">
        <f t="shared" si="15"/>
        <v>Weekday</v>
      </c>
      <c r="L457" s="7">
        <f>IF(Bangladesh_Appointment_Trends[[#This Row],[Appointment Status]]="No-Show",1,0)</f>
        <v>0</v>
      </c>
      <c r="Q457" s="7"/>
    </row>
    <row r="458" spans="1:17" x14ac:dyDescent="0.3">
      <c r="A458">
        <v>17</v>
      </c>
      <c r="B458" t="s">
        <v>8</v>
      </c>
      <c r="C458" t="s">
        <v>26</v>
      </c>
      <c r="D458" t="s">
        <v>14</v>
      </c>
      <c r="E458" t="s">
        <v>11</v>
      </c>
      <c r="F458">
        <v>1499</v>
      </c>
      <c r="G458">
        <v>2</v>
      </c>
      <c r="H458" s="3">
        <v>45468</v>
      </c>
      <c r="I458" t="s">
        <v>48</v>
      </c>
      <c r="J458" t="str">
        <f t="shared" si="14"/>
        <v>Tuesday</v>
      </c>
      <c r="K458" t="str">
        <f t="shared" si="15"/>
        <v>Weekday</v>
      </c>
      <c r="L458" s="7">
        <f>IF(Bangladesh_Appointment_Trends[[#This Row],[Appointment Status]]="No-Show",1,0)</f>
        <v>0</v>
      </c>
      <c r="Q458" s="7"/>
    </row>
    <row r="459" spans="1:17" x14ac:dyDescent="0.3">
      <c r="A459">
        <v>27</v>
      </c>
      <c r="B459" t="s">
        <v>12</v>
      </c>
      <c r="C459" t="s">
        <v>21</v>
      </c>
      <c r="D459" t="s">
        <v>16</v>
      </c>
      <c r="E459" t="s">
        <v>11</v>
      </c>
      <c r="F459">
        <v>808</v>
      </c>
      <c r="G459">
        <v>3</v>
      </c>
      <c r="H459" s="3">
        <v>45455</v>
      </c>
      <c r="I459" t="s">
        <v>47</v>
      </c>
      <c r="J459" t="str">
        <f t="shared" si="14"/>
        <v>Wednesday</v>
      </c>
      <c r="K459" t="str">
        <f t="shared" si="15"/>
        <v>Weekday</v>
      </c>
      <c r="L459" s="7">
        <f>IF(Bangladesh_Appointment_Trends[[#This Row],[Appointment Status]]="No-Show",1,0)</f>
        <v>0</v>
      </c>
      <c r="Q459" s="7"/>
    </row>
    <row r="460" spans="1:17" x14ac:dyDescent="0.3">
      <c r="A460">
        <v>34</v>
      </c>
      <c r="B460" t="s">
        <v>12</v>
      </c>
      <c r="C460" t="s">
        <v>15</v>
      </c>
      <c r="D460" t="s">
        <v>24</v>
      </c>
      <c r="E460" t="s">
        <v>11</v>
      </c>
      <c r="F460">
        <v>1072</v>
      </c>
      <c r="G460">
        <v>6</v>
      </c>
      <c r="H460" s="3">
        <v>45149</v>
      </c>
      <c r="I460" t="s">
        <v>47</v>
      </c>
      <c r="J460" t="str">
        <f t="shared" si="14"/>
        <v>Friday</v>
      </c>
      <c r="K460" t="str">
        <f t="shared" si="15"/>
        <v>Weekend</v>
      </c>
      <c r="L460" s="7">
        <f>IF(Bangladesh_Appointment_Trends[[#This Row],[Appointment Status]]="No-Show",1,0)</f>
        <v>0</v>
      </c>
      <c r="Q460" s="7"/>
    </row>
    <row r="461" spans="1:17" x14ac:dyDescent="0.3">
      <c r="A461">
        <v>21</v>
      </c>
      <c r="B461" t="s">
        <v>12</v>
      </c>
      <c r="C461" t="s">
        <v>9</v>
      </c>
      <c r="D461" t="s">
        <v>20</v>
      </c>
      <c r="E461" t="s">
        <v>11</v>
      </c>
      <c r="F461">
        <v>636</v>
      </c>
      <c r="G461">
        <v>15</v>
      </c>
      <c r="H461" s="3">
        <v>44972</v>
      </c>
      <c r="I461" t="s">
        <v>47</v>
      </c>
      <c r="J461" t="str">
        <f t="shared" si="14"/>
        <v>Wednesday</v>
      </c>
      <c r="K461" t="str">
        <f t="shared" si="15"/>
        <v>Weekday</v>
      </c>
      <c r="L461" s="7">
        <f>IF(Bangladesh_Appointment_Trends[[#This Row],[Appointment Status]]="No-Show",1,0)</f>
        <v>0</v>
      </c>
      <c r="Q461" s="7"/>
    </row>
    <row r="462" spans="1:17" x14ac:dyDescent="0.3">
      <c r="A462">
        <v>66</v>
      </c>
      <c r="B462" t="s">
        <v>12</v>
      </c>
      <c r="C462" t="s">
        <v>15</v>
      </c>
      <c r="D462" t="s">
        <v>20</v>
      </c>
      <c r="E462" t="s">
        <v>11</v>
      </c>
      <c r="F462">
        <v>561</v>
      </c>
      <c r="G462">
        <v>10</v>
      </c>
      <c r="H462" s="3">
        <v>45306</v>
      </c>
      <c r="I462" t="s">
        <v>45</v>
      </c>
      <c r="J462" t="str">
        <f t="shared" si="14"/>
        <v>Monday</v>
      </c>
      <c r="K462" t="str">
        <f t="shared" si="15"/>
        <v>Weekday</v>
      </c>
      <c r="L462" s="7">
        <f>IF(Bangladesh_Appointment_Trends[[#This Row],[Appointment Status]]="No-Show",1,0)</f>
        <v>0</v>
      </c>
      <c r="Q462" s="7"/>
    </row>
    <row r="463" spans="1:17" x14ac:dyDescent="0.3">
      <c r="A463">
        <v>17</v>
      </c>
      <c r="B463" t="s">
        <v>8</v>
      </c>
      <c r="C463" t="s">
        <v>15</v>
      </c>
      <c r="D463" t="s">
        <v>17</v>
      </c>
      <c r="E463" t="s">
        <v>11</v>
      </c>
      <c r="F463">
        <v>1315</v>
      </c>
      <c r="G463">
        <v>9</v>
      </c>
      <c r="H463" s="3">
        <v>45398</v>
      </c>
      <c r="I463" t="s">
        <v>48</v>
      </c>
      <c r="J463" t="str">
        <f t="shared" si="14"/>
        <v>Tuesday</v>
      </c>
      <c r="K463" t="str">
        <f t="shared" si="15"/>
        <v>Weekday</v>
      </c>
      <c r="L463" s="7">
        <f>IF(Bangladesh_Appointment_Trends[[#This Row],[Appointment Status]]="No-Show",1,0)</f>
        <v>0</v>
      </c>
      <c r="Q463" s="7"/>
    </row>
    <row r="464" spans="1:17" x14ac:dyDescent="0.3">
      <c r="A464">
        <v>63</v>
      </c>
      <c r="B464" t="s">
        <v>12</v>
      </c>
      <c r="C464" t="s">
        <v>19</v>
      </c>
      <c r="D464" t="s">
        <v>14</v>
      </c>
      <c r="E464" t="s">
        <v>11</v>
      </c>
      <c r="F464">
        <v>1663</v>
      </c>
      <c r="G464">
        <v>1</v>
      </c>
      <c r="H464" s="3">
        <v>45483</v>
      </c>
      <c r="I464" t="s">
        <v>45</v>
      </c>
      <c r="J464" t="str">
        <f t="shared" si="14"/>
        <v>Wednesday</v>
      </c>
      <c r="K464" t="str">
        <f t="shared" si="15"/>
        <v>Weekday</v>
      </c>
      <c r="L464" s="7">
        <f>IF(Bangladesh_Appointment_Trends[[#This Row],[Appointment Status]]="No-Show",1,0)</f>
        <v>0</v>
      </c>
      <c r="Q464" s="7"/>
    </row>
    <row r="465" spans="1:17" x14ac:dyDescent="0.3">
      <c r="A465">
        <v>23</v>
      </c>
      <c r="B465" t="s">
        <v>12</v>
      </c>
      <c r="C465" t="s">
        <v>23</v>
      </c>
      <c r="D465" t="s">
        <v>17</v>
      </c>
      <c r="E465" t="s">
        <v>11</v>
      </c>
      <c r="F465">
        <v>1362</v>
      </c>
      <c r="G465">
        <v>16</v>
      </c>
      <c r="H465" s="3">
        <v>45242</v>
      </c>
      <c r="I465" t="s">
        <v>47</v>
      </c>
      <c r="J465" t="str">
        <f t="shared" si="14"/>
        <v>Sunday</v>
      </c>
      <c r="K465" t="str">
        <f t="shared" si="15"/>
        <v>Weekday</v>
      </c>
      <c r="L465" s="7">
        <f>IF(Bangladesh_Appointment_Trends[[#This Row],[Appointment Status]]="No-Show",1,0)</f>
        <v>0</v>
      </c>
      <c r="Q465" s="7"/>
    </row>
    <row r="466" spans="1:17" x14ac:dyDescent="0.3">
      <c r="A466">
        <v>53</v>
      </c>
      <c r="B466" t="s">
        <v>8</v>
      </c>
      <c r="C466" t="s">
        <v>25</v>
      </c>
      <c r="D466" t="s">
        <v>24</v>
      </c>
      <c r="E466" t="s">
        <v>11</v>
      </c>
      <c r="F466">
        <v>1191</v>
      </c>
      <c r="G466">
        <v>6</v>
      </c>
      <c r="H466" s="3">
        <v>45212</v>
      </c>
      <c r="I466" t="s">
        <v>46</v>
      </c>
      <c r="J466" t="str">
        <f t="shared" si="14"/>
        <v>Friday</v>
      </c>
      <c r="K466" t="str">
        <f t="shared" si="15"/>
        <v>Weekend</v>
      </c>
      <c r="L466" s="7">
        <f>IF(Bangladesh_Appointment_Trends[[#This Row],[Appointment Status]]="No-Show",1,0)</f>
        <v>0</v>
      </c>
      <c r="Q466" s="7"/>
    </row>
    <row r="467" spans="1:17" x14ac:dyDescent="0.3">
      <c r="A467">
        <v>16</v>
      </c>
      <c r="B467" t="s">
        <v>8</v>
      </c>
      <c r="C467" t="s">
        <v>15</v>
      </c>
      <c r="D467" t="s">
        <v>17</v>
      </c>
      <c r="E467" t="s">
        <v>11</v>
      </c>
      <c r="F467">
        <v>1373</v>
      </c>
      <c r="G467">
        <v>9</v>
      </c>
      <c r="H467" s="3">
        <v>44989</v>
      </c>
      <c r="I467" t="s">
        <v>48</v>
      </c>
      <c r="J467" t="str">
        <f t="shared" si="14"/>
        <v>Saturday</v>
      </c>
      <c r="K467" t="str">
        <f t="shared" si="15"/>
        <v>Weekend</v>
      </c>
      <c r="L467" s="7">
        <f>IF(Bangladesh_Appointment_Trends[[#This Row],[Appointment Status]]="No-Show",1,0)</f>
        <v>0</v>
      </c>
      <c r="Q467" s="7"/>
    </row>
    <row r="468" spans="1:17" x14ac:dyDescent="0.3">
      <c r="A468">
        <v>65</v>
      </c>
      <c r="B468" t="s">
        <v>8</v>
      </c>
      <c r="C468" t="s">
        <v>13</v>
      </c>
      <c r="D468" t="s">
        <v>10</v>
      </c>
      <c r="E468" t="s">
        <v>18</v>
      </c>
      <c r="F468">
        <v>902</v>
      </c>
      <c r="G468">
        <v>4</v>
      </c>
      <c r="H468" s="3">
        <v>44992</v>
      </c>
      <c r="I468" t="s">
        <v>45</v>
      </c>
      <c r="J468" t="str">
        <f t="shared" si="14"/>
        <v>Tuesday</v>
      </c>
      <c r="K468" t="str">
        <f t="shared" si="15"/>
        <v>Weekday</v>
      </c>
      <c r="L468" s="7">
        <f>IF(Bangladesh_Appointment_Trends[[#This Row],[Appointment Status]]="No-Show",1,0)</f>
        <v>0</v>
      </c>
      <c r="Q468" s="7"/>
    </row>
    <row r="469" spans="1:17" x14ac:dyDescent="0.3">
      <c r="A469">
        <v>23</v>
      </c>
      <c r="B469" t="s">
        <v>12</v>
      </c>
      <c r="C469" t="s">
        <v>19</v>
      </c>
      <c r="D469" t="s">
        <v>20</v>
      </c>
      <c r="E469" t="s">
        <v>11</v>
      </c>
      <c r="F469">
        <v>427</v>
      </c>
      <c r="G469">
        <v>2</v>
      </c>
      <c r="H469" s="3">
        <v>45068</v>
      </c>
      <c r="I469" t="s">
        <v>47</v>
      </c>
      <c r="J469" t="str">
        <f t="shared" si="14"/>
        <v>Monday</v>
      </c>
      <c r="K469" t="str">
        <f t="shared" si="15"/>
        <v>Weekday</v>
      </c>
      <c r="L469" s="7">
        <f>IF(Bangladesh_Appointment_Trends[[#This Row],[Appointment Status]]="No-Show",1,0)</f>
        <v>0</v>
      </c>
      <c r="Q469" s="7"/>
    </row>
    <row r="470" spans="1:17" x14ac:dyDescent="0.3">
      <c r="A470">
        <v>13</v>
      </c>
      <c r="B470" t="s">
        <v>12</v>
      </c>
      <c r="C470" t="s">
        <v>23</v>
      </c>
      <c r="D470" t="s">
        <v>20</v>
      </c>
      <c r="E470" t="s">
        <v>11</v>
      </c>
      <c r="F470">
        <v>548</v>
      </c>
      <c r="G470">
        <v>4</v>
      </c>
      <c r="H470" s="3">
        <v>45048</v>
      </c>
      <c r="I470" t="s">
        <v>48</v>
      </c>
      <c r="J470" t="str">
        <f t="shared" si="14"/>
        <v>Tuesday</v>
      </c>
      <c r="K470" t="str">
        <f t="shared" si="15"/>
        <v>Weekday</v>
      </c>
      <c r="L470" s="7">
        <f>IF(Bangladesh_Appointment_Trends[[#This Row],[Appointment Status]]="No-Show",1,0)</f>
        <v>0</v>
      </c>
      <c r="Q470" s="7"/>
    </row>
    <row r="471" spans="1:17" x14ac:dyDescent="0.3">
      <c r="A471">
        <v>75</v>
      </c>
      <c r="B471" t="s">
        <v>12</v>
      </c>
      <c r="C471" t="s">
        <v>21</v>
      </c>
      <c r="D471" t="s">
        <v>16</v>
      </c>
      <c r="E471" t="s">
        <v>18</v>
      </c>
      <c r="F471">
        <v>727</v>
      </c>
      <c r="G471">
        <v>1</v>
      </c>
      <c r="H471" s="3">
        <v>45225</v>
      </c>
      <c r="I471" t="s">
        <v>45</v>
      </c>
      <c r="J471" t="str">
        <f t="shared" si="14"/>
        <v>Thursday</v>
      </c>
      <c r="K471" t="str">
        <f t="shared" si="15"/>
        <v>Weekday</v>
      </c>
      <c r="L471" s="7">
        <f>IF(Bangladesh_Appointment_Trends[[#This Row],[Appointment Status]]="No-Show",1,0)</f>
        <v>0</v>
      </c>
      <c r="Q471" s="7"/>
    </row>
    <row r="472" spans="1:17" x14ac:dyDescent="0.3">
      <c r="A472">
        <v>32</v>
      </c>
      <c r="B472" t="s">
        <v>12</v>
      </c>
      <c r="C472" t="s">
        <v>19</v>
      </c>
      <c r="D472" t="s">
        <v>16</v>
      </c>
      <c r="E472" t="s">
        <v>11</v>
      </c>
      <c r="F472">
        <v>764</v>
      </c>
      <c r="G472">
        <v>19</v>
      </c>
      <c r="H472" s="3">
        <v>45378</v>
      </c>
      <c r="I472" t="s">
        <v>47</v>
      </c>
      <c r="J472" t="str">
        <f t="shared" si="14"/>
        <v>Wednesday</v>
      </c>
      <c r="K472" t="str">
        <f t="shared" si="15"/>
        <v>Weekday</v>
      </c>
      <c r="L472" s="7">
        <f>IF(Bangladesh_Appointment_Trends[[#This Row],[Appointment Status]]="No-Show",1,0)</f>
        <v>0</v>
      </c>
      <c r="Q472" s="7"/>
    </row>
    <row r="473" spans="1:17" x14ac:dyDescent="0.3">
      <c r="A473">
        <v>56</v>
      </c>
      <c r="B473" t="s">
        <v>8</v>
      </c>
      <c r="C473" t="s">
        <v>15</v>
      </c>
      <c r="D473" t="s">
        <v>24</v>
      </c>
      <c r="E473" t="s">
        <v>11</v>
      </c>
      <c r="F473">
        <v>920</v>
      </c>
      <c r="G473">
        <v>10</v>
      </c>
      <c r="H473" s="3">
        <v>45562</v>
      </c>
      <c r="I473" t="s">
        <v>45</v>
      </c>
      <c r="J473" t="str">
        <f t="shared" si="14"/>
        <v>Friday</v>
      </c>
      <c r="K473" t="str">
        <f t="shared" si="15"/>
        <v>Weekend</v>
      </c>
      <c r="L473" s="7">
        <f>IF(Bangladesh_Appointment_Trends[[#This Row],[Appointment Status]]="No-Show",1,0)</f>
        <v>0</v>
      </c>
      <c r="Q473" s="7"/>
    </row>
    <row r="474" spans="1:17" x14ac:dyDescent="0.3">
      <c r="A474">
        <v>20</v>
      </c>
      <c r="B474" t="s">
        <v>8</v>
      </c>
      <c r="C474" t="s">
        <v>25</v>
      </c>
      <c r="D474" t="s">
        <v>10</v>
      </c>
      <c r="E474" t="s">
        <v>18</v>
      </c>
      <c r="F474">
        <v>1151</v>
      </c>
      <c r="G474">
        <v>15</v>
      </c>
      <c r="H474" s="3">
        <v>45043</v>
      </c>
      <c r="I474" t="s">
        <v>47</v>
      </c>
      <c r="J474" t="str">
        <f t="shared" si="14"/>
        <v>Thursday</v>
      </c>
      <c r="K474" t="str">
        <f t="shared" si="15"/>
        <v>Weekday</v>
      </c>
      <c r="L474" s="7">
        <f>IF(Bangladesh_Appointment_Trends[[#This Row],[Appointment Status]]="No-Show",1,0)</f>
        <v>0</v>
      </c>
      <c r="Q474" s="7"/>
    </row>
    <row r="475" spans="1:17" x14ac:dyDescent="0.3">
      <c r="A475">
        <v>73</v>
      </c>
      <c r="B475" t="s">
        <v>8</v>
      </c>
      <c r="C475" t="s">
        <v>9</v>
      </c>
      <c r="D475" t="s">
        <v>14</v>
      </c>
      <c r="E475" t="s">
        <v>18</v>
      </c>
      <c r="F475">
        <v>1634</v>
      </c>
      <c r="G475">
        <v>19</v>
      </c>
      <c r="H475" s="3">
        <v>45000</v>
      </c>
      <c r="I475" t="s">
        <v>45</v>
      </c>
      <c r="J475" t="str">
        <f t="shared" si="14"/>
        <v>Wednesday</v>
      </c>
      <c r="K475" t="str">
        <f t="shared" si="15"/>
        <v>Weekday</v>
      </c>
      <c r="L475" s="7">
        <f>IF(Bangladesh_Appointment_Trends[[#This Row],[Appointment Status]]="No-Show",1,0)</f>
        <v>0</v>
      </c>
      <c r="Q475" s="7"/>
    </row>
    <row r="476" spans="1:17" x14ac:dyDescent="0.3">
      <c r="A476">
        <v>16</v>
      </c>
      <c r="B476" t="s">
        <v>8</v>
      </c>
      <c r="C476" t="s">
        <v>15</v>
      </c>
      <c r="D476" t="s">
        <v>17</v>
      </c>
      <c r="E476" t="s">
        <v>11</v>
      </c>
      <c r="F476">
        <v>1326</v>
      </c>
      <c r="G476">
        <v>16</v>
      </c>
      <c r="H476" s="3">
        <v>45238</v>
      </c>
      <c r="I476" t="s">
        <v>48</v>
      </c>
      <c r="J476" t="str">
        <f t="shared" si="14"/>
        <v>Wednesday</v>
      </c>
      <c r="K476" t="str">
        <f t="shared" si="15"/>
        <v>Weekday</v>
      </c>
      <c r="L476" s="7">
        <f>IF(Bangladesh_Appointment_Trends[[#This Row],[Appointment Status]]="No-Show",1,0)</f>
        <v>0</v>
      </c>
      <c r="Q476" s="7"/>
    </row>
    <row r="477" spans="1:17" x14ac:dyDescent="0.3">
      <c r="A477">
        <v>29</v>
      </c>
      <c r="B477" t="s">
        <v>12</v>
      </c>
      <c r="C477" t="s">
        <v>25</v>
      </c>
      <c r="D477" t="s">
        <v>24</v>
      </c>
      <c r="E477" t="s">
        <v>11</v>
      </c>
      <c r="F477">
        <v>912</v>
      </c>
      <c r="G477">
        <v>4</v>
      </c>
      <c r="H477" s="3">
        <v>45329</v>
      </c>
      <c r="I477" t="s">
        <v>47</v>
      </c>
      <c r="J477" t="str">
        <f t="shared" si="14"/>
        <v>Wednesday</v>
      </c>
      <c r="K477" t="str">
        <f t="shared" si="15"/>
        <v>Weekday</v>
      </c>
      <c r="L477" s="7">
        <f>IF(Bangladesh_Appointment_Trends[[#This Row],[Appointment Status]]="No-Show",1,0)</f>
        <v>0</v>
      </c>
      <c r="Q477" s="7"/>
    </row>
    <row r="478" spans="1:17" x14ac:dyDescent="0.3">
      <c r="A478">
        <v>56</v>
      </c>
      <c r="B478" t="s">
        <v>8</v>
      </c>
      <c r="C478" t="s">
        <v>15</v>
      </c>
      <c r="D478" t="s">
        <v>16</v>
      </c>
      <c r="E478" t="s">
        <v>22</v>
      </c>
      <c r="F478">
        <v>748</v>
      </c>
      <c r="G478">
        <v>2</v>
      </c>
      <c r="H478" s="3">
        <v>45214</v>
      </c>
      <c r="I478" t="s">
        <v>45</v>
      </c>
      <c r="J478" t="str">
        <f t="shared" si="14"/>
        <v>Sunday</v>
      </c>
      <c r="K478" t="str">
        <f t="shared" si="15"/>
        <v>Weekday</v>
      </c>
      <c r="L478" s="7">
        <f>IF(Bangladesh_Appointment_Trends[[#This Row],[Appointment Status]]="No-Show",1,0)</f>
        <v>1</v>
      </c>
      <c r="Q478" s="7"/>
    </row>
    <row r="479" spans="1:17" x14ac:dyDescent="0.3">
      <c r="A479">
        <v>57</v>
      </c>
      <c r="B479" t="s">
        <v>12</v>
      </c>
      <c r="C479" t="s">
        <v>25</v>
      </c>
      <c r="D479" t="s">
        <v>17</v>
      </c>
      <c r="E479" t="s">
        <v>11</v>
      </c>
      <c r="F479">
        <v>1217</v>
      </c>
      <c r="G479">
        <v>13</v>
      </c>
      <c r="H479" s="3">
        <v>45619</v>
      </c>
      <c r="I479" t="s">
        <v>45</v>
      </c>
      <c r="J479" t="str">
        <f t="shared" si="14"/>
        <v>Saturday</v>
      </c>
      <c r="K479" t="str">
        <f t="shared" si="15"/>
        <v>Weekend</v>
      </c>
      <c r="L479" s="7">
        <f>IF(Bangladesh_Appointment_Trends[[#This Row],[Appointment Status]]="No-Show",1,0)</f>
        <v>0</v>
      </c>
      <c r="Q479" s="7"/>
    </row>
    <row r="480" spans="1:17" x14ac:dyDescent="0.3">
      <c r="A480">
        <v>27</v>
      </c>
      <c r="B480" t="s">
        <v>8</v>
      </c>
      <c r="C480" t="s">
        <v>9</v>
      </c>
      <c r="D480" t="s">
        <v>16</v>
      </c>
      <c r="E480" t="s">
        <v>11</v>
      </c>
      <c r="F480">
        <v>753</v>
      </c>
      <c r="G480">
        <v>1</v>
      </c>
      <c r="H480" s="3">
        <v>45549</v>
      </c>
      <c r="I480" t="s">
        <v>47</v>
      </c>
      <c r="J480" t="str">
        <f t="shared" si="14"/>
        <v>Saturday</v>
      </c>
      <c r="K480" t="str">
        <f t="shared" si="15"/>
        <v>Weekend</v>
      </c>
      <c r="L480" s="7">
        <f>IF(Bangladesh_Appointment_Trends[[#This Row],[Appointment Status]]="No-Show",1,0)</f>
        <v>0</v>
      </c>
      <c r="Q480" s="7"/>
    </row>
    <row r="481" spans="1:17" x14ac:dyDescent="0.3">
      <c r="A481">
        <v>20</v>
      </c>
      <c r="B481" t="s">
        <v>12</v>
      </c>
      <c r="C481" t="s">
        <v>13</v>
      </c>
      <c r="D481" t="s">
        <v>17</v>
      </c>
      <c r="E481" t="s">
        <v>18</v>
      </c>
      <c r="F481">
        <v>1237</v>
      </c>
      <c r="G481">
        <v>17</v>
      </c>
      <c r="H481" s="3">
        <v>45390</v>
      </c>
      <c r="I481" t="s">
        <v>47</v>
      </c>
      <c r="J481" t="str">
        <f t="shared" si="14"/>
        <v>Monday</v>
      </c>
      <c r="K481" t="str">
        <f t="shared" si="15"/>
        <v>Weekday</v>
      </c>
      <c r="L481" s="7">
        <f>IF(Bangladesh_Appointment_Trends[[#This Row],[Appointment Status]]="No-Show",1,0)</f>
        <v>0</v>
      </c>
      <c r="Q481" s="7"/>
    </row>
    <row r="482" spans="1:17" x14ac:dyDescent="0.3">
      <c r="A482">
        <v>61</v>
      </c>
      <c r="B482" t="s">
        <v>12</v>
      </c>
      <c r="C482" t="s">
        <v>15</v>
      </c>
      <c r="D482" t="s">
        <v>14</v>
      </c>
      <c r="E482" t="s">
        <v>11</v>
      </c>
      <c r="F482">
        <v>1452</v>
      </c>
      <c r="G482">
        <v>13</v>
      </c>
      <c r="H482" s="3">
        <v>45363</v>
      </c>
      <c r="I482" t="s">
        <v>45</v>
      </c>
      <c r="J482" t="str">
        <f t="shared" si="14"/>
        <v>Tuesday</v>
      </c>
      <c r="K482" t="str">
        <f t="shared" si="15"/>
        <v>Weekday</v>
      </c>
      <c r="L482" s="7">
        <f>IF(Bangladesh_Appointment_Trends[[#This Row],[Appointment Status]]="No-Show",1,0)</f>
        <v>0</v>
      </c>
      <c r="Q482" s="7"/>
    </row>
    <row r="483" spans="1:17" x14ac:dyDescent="0.3">
      <c r="A483">
        <v>43</v>
      </c>
      <c r="B483" t="s">
        <v>12</v>
      </c>
      <c r="C483" t="s">
        <v>26</v>
      </c>
      <c r="D483" t="s">
        <v>24</v>
      </c>
      <c r="E483" t="s">
        <v>11</v>
      </c>
      <c r="F483">
        <v>943</v>
      </c>
      <c r="G483">
        <v>4</v>
      </c>
      <c r="H483" s="3">
        <v>45486</v>
      </c>
      <c r="I483" t="s">
        <v>46</v>
      </c>
      <c r="J483" t="str">
        <f t="shared" si="14"/>
        <v>Saturday</v>
      </c>
      <c r="K483" t="str">
        <f t="shared" si="15"/>
        <v>Weekend</v>
      </c>
      <c r="L483" s="7">
        <f>IF(Bangladesh_Appointment_Trends[[#This Row],[Appointment Status]]="No-Show",1,0)</f>
        <v>0</v>
      </c>
      <c r="Q483" s="7"/>
    </row>
    <row r="484" spans="1:17" x14ac:dyDescent="0.3">
      <c r="A484">
        <v>57</v>
      </c>
      <c r="B484" t="s">
        <v>8</v>
      </c>
      <c r="C484" t="s">
        <v>25</v>
      </c>
      <c r="D484" t="s">
        <v>17</v>
      </c>
      <c r="E484" t="s">
        <v>11</v>
      </c>
      <c r="F484">
        <v>1152</v>
      </c>
      <c r="G484">
        <v>7</v>
      </c>
      <c r="H484" s="3">
        <v>45149</v>
      </c>
      <c r="I484" t="s">
        <v>45</v>
      </c>
      <c r="J484" t="str">
        <f t="shared" si="14"/>
        <v>Friday</v>
      </c>
      <c r="K484" t="str">
        <f t="shared" si="15"/>
        <v>Weekend</v>
      </c>
      <c r="L484" s="7">
        <f>IF(Bangladesh_Appointment_Trends[[#This Row],[Appointment Status]]="No-Show",1,0)</f>
        <v>0</v>
      </c>
      <c r="Q484" s="7"/>
    </row>
    <row r="485" spans="1:17" x14ac:dyDescent="0.3">
      <c r="A485">
        <v>46</v>
      </c>
      <c r="B485" t="s">
        <v>12</v>
      </c>
      <c r="C485" t="s">
        <v>15</v>
      </c>
      <c r="D485" t="s">
        <v>10</v>
      </c>
      <c r="E485" t="s">
        <v>18</v>
      </c>
      <c r="F485">
        <v>973</v>
      </c>
      <c r="G485">
        <v>17</v>
      </c>
      <c r="H485" s="3">
        <v>45247</v>
      </c>
      <c r="I485" t="s">
        <v>46</v>
      </c>
      <c r="J485" t="str">
        <f t="shared" si="14"/>
        <v>Friday</v>
      </c>
      <c r="K485" t="str">
        <f t="shared" si="15"/>
        <v>Weekend</v>
      </c>
      <c r="L485" s="7">
        <f>IF(Bangladesh_Appointment_Trends[[#This Row],[Appointment Status]]="No-Show",1,0)</f>
        <v>0</v>
      </c>
      <c r="Q485" s="7"/>
    </row>
    <row r="486" spans="1:17" x14ac:dyDescent="0.3">
      <c r="A486">
        <v>62</v>
      </c>
      <c r="B486" t="s">
        <v>12</v>
      </c>
      <c r="C486" t="s">
        <v>19</v>
      </c>
      <c r="D486" t="s">
        <v>20</v>
      </c>
      <c r="E486" t="s">
        <v>11</v>
      </c>
      <c r="F486">
        <v>445</v>
      </c>
      <c r="G486">
        <v>9</v>
      </c>
      <c r="H486" s="3">
        <v>45339</v>
      </c>
      <c r="I486" t="s">
        <v>45</v>
      </c>
      <c r="J486" t="str">
        <f t="shared" si="14"/>
        <v>Saturday</v>
      </c>
      <c r="K486" t="str">
        <f t="shared" si="15"/>
        <v>Weekend</v>
      </c>
      <c r="L486" s="7">
        <f>IF(Bangladesh_Appointment_Trends[[#This Row],[Appointment Status]]="No-Show",1,0)</f>
        <v>0</v>
      </c>
      <c r="Q486" s="7"/>
    </row>
    <row r="487" spans="1:17" x14ac:dyDescent="0.3">
      <c r="A487">
        <v>43</v>
      </c>
      <c r="B487" t="s">
        <v>12</v>
      </c>
      <c r="C487" t="s">
        <v>26</v>
      </c>
      <c r="D487" t="s">
        <v>10</v>
      </c>
      <c r="E487" t="s">
        <v>11</v>
      </c>
      <c r="F487">
        <v>912</v>
      </c>
      <c r="G487">
        <v>4</v>
      </c>
      <c r="H487" s="3">
        <v>45131</v>
      </c>
      <c r="I487" t="s">
        <v>46</v>
      </c>
      <c r="J487" t="str">
        <f t="shared" si="14"/>
        <v>Monday</v>
      </c>
      <c r="K487" t="str">
        <f t="shared" si="15"/>
        <v>Weekday</v>
      </c>
      <c r="L487" s="7">
        <f>IF(Bangladesh_Appointment_Trends[[#This Row],[Appointment Status]]="No-Show",1,0)</f>
        <v>0</v>
      </c>
      <c r="Q487" s="7"/>
    </row>
    <row r="488" spans="1:17" x14ac:dyDescent="0.3">
      <c r="A488">
        <v>18</v>
      </c>
      <c r="B488" t="s">
        <v>8</v>
      </c>
      <c r="C488" t="s">
        <v>9</v>
      </c>
      <c r="D488" t="s">
        <v>10</v>
      </c>
      <c r="E488" t="s">
        <v>11</v>
      </c>
      <c r="F488">
        <v>1064</v>
      </c>
      <c r="G488">
        <v>19</v>
      </c>
      <c r="H488" s="3">
        <v>45630</v>
      </c>
      <c r="I488" t="s">
        <v>47</v>
      </c>
      <c r="J488" t="str">
        <f t="shared" si="14"/>
        <v>Wednesday</v>
      </c>
      <c r="K488" t="str">
        <f t="shared" si="15"/>
        <v>Weekday</v>
      </c>
      <c r="L488" s="7">
        <f>IF(Bangladesh_Appointment_Trends[[#This Row],[Appointment Status]]="No-Show",1,0)</f>
        <v>0</v>
      </c>
      <c r="Q488" s="7"/>
    </row>
    <row r="489" spans="1:17" x14ac:dyDescent="0.3">
      <c r="A489">
        <v>9</v>
      </c>
      <c r="B489" t="s">
        <v>8</v>
      </c>
      <c r="C489" t="s">
        <v>15</v>
      </c>
      <c r="D489" t="s">
        <v>20</v>
      </c>
      <c r="E489" t="s">
        <v>11</v>
      </c>
      <c r="F489">
        <v>501</v>
      </c>
      <c r="G489">
        <v>1</v>
      </c>
      <c r="H489" s="3">
        <v>45433</v>
      </c>
      <c r="I489" t="s">
        <v>48</v>
      </c>
      <c r="J489" t="str">
        <f t="shared" si="14"/>
        <v>Tuesday</v>
      </c>
      <c r="K489" t="str">
        <f t="shared" si="15"/>
        <v>Weekday</v>
      </c>
      <c r="L489" s="7">
        <f>IF(Bangladesh_Appointment_Trends[[#This Row],[Appointment Status]]="No-Show",1,0)</f>
        <v>0</v>
      </c>
      <c r="Q489" s="7"/>
    </row>
    <row r="490" spans="1:17" x14ac:dyDescent="0.3">
      <c r="A490">
        <v>39</v>
      </c>
      <c r="B490" t="s">
        <v>8</v>
      </c>
      <c r="C490" t="s">
        <v>9</v>
      </c>
      <c r="D490" t="s">
        <v>10</v>
      </c>
      <c r="E490" t="s">
        <v>11</v>
      </c>
      <c r="F490">
        <v>1179</v>
      </c>
      <c r="G490">
        <v>10</v>
      </c>
      <c r="H490" s="3">
        <v>45238</v>
      </c>
      <c r="I490" t="s">
        <v>46</v>
      </c>
      <c r="J490" t="str">
        <f t="shared" si="14"/>
        <v>Wednesday</v>
      </c>
      <c r="K490" t="str">
        <f t="shared" si="15"/>
        <v>Weekday</v>
      </c>
      <c r="L490" s="7">
        <f>IF(Bangladesh_Appointment_Trends[[#This Row],[Appointment Status]]="No-Show",1,0)</f>
        <v>0</v>
      </c>
      <c r="Q490" s="7"/>
    </row>
    <row r="491" spans="1:17" x14ac:dyDescent="0.3">
      <c r="A491">
        <v>79</v>
      </c>
      <c r="B491" t="s">
        <v>12</v>
      </c>
      <c r="C491" t="s">
        <v>9</v>
      </c>
      <c r="D491" t="s">
        <v>17</v>
      </c>
      <c r="E491" t="s">
        <v>18</v>
      </c>
      <c r="F491">
        <v>1357</v>
      </c>
      <c r="G491">
        <v>4</v>
      </c>
      <c r="H491" s="3">
        <v>45051</v>
      </c>
      <c r="I491" t="s">
        <v>45</v>
      </c>
      <c r="J491" t="str">
        <f t="shared" si="14"/>
        <v>Friday</v>
      </c>
      <c r="K491" t="str">
        <f t="shared" si="15"/>
        <v>Weekend</v>
      </c>
      <c r="L491" s="7">
        <f>IF(Bangladesh_Appointment_Trends[[#This Row],[Appointment Status]]="No-Show",1,0)</f>
        <v>0</v>
      </c>
      <c r="Q491" s="7"/>
    </row>
    <row r="492" spans="1:17" x14ac:dyDescent="0.3">
      <c r="A492">
        <v>22</v>
      </c>
      <c r="B492" t="s">
        <v>8</v>
      </c>
      <c r="C492" t="s">
        <v>23</v>
      </c>
      <c r="D492" t="s">
        <v>17</v>
      </c>
      <c r="E492" t="s">
        <v>11</v>
      </c>
      <c r="F492">
        <v>1237</v>
      </c>
      <c r="G492">
        <v>9</v>
      </c>
      <c r="H492" s="3">
        <v>45011</v>
      </c>
      <c r="I492" t="s">
        <v>47</v>
      </c>
      <c r="J492" t="str">
        <f t="shared" si="14"/>
        <v>Sunday</v>
      </c>
      <c r="K492" t="str">
        <f t="shared" si="15"/>
        <v>Weekday</v>
      </c>
      <c r="L492" s="7">
        <f>IF(Bangladesh_Appointment_Trends[[#This Row],[Appointment Status]]="No-Show",1,0)</f>
        <v>0</v>
      </c>
      <c r="Q492" s="7"/>
    </row>
    <row r="493" spans="1:17" x14ac:dyDescent="0.3">
      <c r="A493">
        <v>13</v>
      </c>
      <c r="B493" t="s">
        <v>12</v>
      </c>
      <c r="C493" t="s">
        <v>23</v>
      </c>
      <c r="D493" t="s">
        <v>17</v>
      </c>
      <c r="E493" t="s">
        <v>11</v>
      </c>
      <c r="F493">
        <v>1262</v>
      </c>
      <c r="G493">
        <v>13</v>
      </c>
      <c r="H493" s="3">
        <v>45062</v>
      </c>
      <c r="I493" t="s">
        <v>48</v>
      </c>
      <c r="J493" t="str">
        <f t="shared" si="14"/>
        <v>Tuesday</v>
      </c>
      <c r="K493" t="str">
        <f t="shared" si="15"/>
        <v>Weekday</v>
      </c>
      <c r="L493" s="7">
        <f>IF(Bangladesh_Appointment_Trends[[#This Row],[Appointment Status]]="No-Show",1,0)</f>
        <v>0</v>
      </c>
      <c r="Q493" s="7"/>
    </row>
    <row r="494" spans="1:17" x14ac:dyDescent="0.3">
      <c r="A494">
        <v>78</v>
      </c>
      <c r="B494" t="s">
        <v>8</v>
      </c>
      <c r="C494" t="s">
        <v>9</v>
      </c>
      <c r="D494" t="s">
        <v>20</v>
      </c>
      <c r="E494" t="s">
        <v>18</v>
      </c>
      <c r="F494">
        <v>510</v>
      </c>
      <c r="G494">
        <v>14</v>
      </c>
      <c r="H494" s="3">
        <v>45264</v>
      </c>
      <c r="I494" t="s">
        <v>45</v>
      </c>
      <c r="J494" t="str">
        <f t="shared" si="14"/>
        <v>Monday</v>
      </c>
      <c r="K494" t="str">
        <f t="shared" si="15"/>
        <v>Weekday</v>
      </c>
      <c r="L494" s="7">
        <f>IF(Bangladesh_Appointment_Trends[[#This Row],[Appointment Status]]="No-Show",1,0)</f>
        <v>0</v>
      </c>
      <c r="Q494" s="7"/>
    </row>
    <row r="495" spans="1:17" x14ac:dyDescent="0.3">
      <c r="A495">
        <v>62</v>
      </c>
      <c r="B495" t="s">
        <v>8</v>
      </c>
      <c r="C495" t="s">
        <v>15</v>
      </c>
      <c r="D495" t="s">
        <v>10</v>
      </c>
      <c r="E495" t="s">
        <v>11</v>
      </c>
      <c r="F495">
        <v>1001</v>
      </c>
      <c r="G495">
        <v>10</v>
      </c>
      <c r="H495" s="3">
        <v>45344</v>
      </c>
      <c r="I495" t="s">
        <v>45</v>
      </c>
      <c r="J495" t="str">
        <f t="shared" si="14"/>
        <v>Thursday</v>
      </c>
      <c r="K495" t="str">
        <f t="shared" si="15"/>
        <v>Weekday</v>
      </c>
      <c r="L495" s="7">
        <f>IF(Bangladesh_Appointment_Trends[[#This Row],[Appointment Status]]="No-Show",1,0)</f>
        <v>0</v>
      </c>
      <c r="Q495" s="7"/>
    </row>
    <row r="496" spans="1:17" x14ac:dyDescent="0.3">
      <c r="A496">
        <v>21</v>
      </c>
      <c r="B496" t="s">
        <v>12</v>
      </c>
      <c r="C496" t="s">
        <v>19</v>
      </c>
      <c r="D496" t="s">
        <v>20</v>
      </c>
      <c r="E496" t="s">
        <v>22</v>
      </c>
      <c r="F496">
        <v>416</v>
      </c>
      <c r="G496">
        <v>6</v>
      </c>
      <c r="H496" s="3">
        <v>45031</v>
      </c>
      <c r="I496" t="s">
        <v>47</v>
      </c>
      <c r="J496" t="str">
        <f t="shared" si="14"/>
        <v>Saturday</v>
      </c>
      <c r="K496" t="str">
        <f t="shared" si="15"/>
        <v>Weekend</v>
      </c>
      <c r="L496" s="7">
        <f>IF(Bangladesh_Appointment_Trends[[#This Row],[Appointment Status]]="No-Show",1,0)</f>
        <v>1</v>
      </c>
      <c r="Q496" s="7"/>
    </row>
    <row r="497" spans="1:17" x14ac:dyDescent="0.3">
      <c r="A497">
        <v>11</v>
      </c>
      <c r="B497" t="s">
        <v>12</v>
      </c>
      <c r="C497" t="s">
        <v>9</v>
      </c>
      <c r="D497" t="s">
        <v>17</v>
      </c>
      <c r="E497" t="s">
        <v>11</v>
      </c>
      <c r="F497">
        <v>1367</v>
      </c>
      <c r="G497">
        <v>16</v>
      </c>
      <c r="H497" s="3">
        <v>45089</v>
      </c>
      <c r="I497" t="s">
        <v>48</v>
      </c>
      <c r="J497" t="str">
        <f t="shared" si="14"/>
        <v>Monday</v>
      </c>
      <c r="K497" t="str">
        <f t="shared" si="15"/>
        <v>Weekday</v>
      </c>
      <c r="L497" s="7">
        <f>IF(Bangladesh_Appointment_Trends[[#This Row],[Appointment Status]]="No-Show",1,0)</f>
        <v>0</v>
      </c>
      <c r="Q497" s="7"/>
    </row>
    <row r="498" spans="1:17" x14ac:dyDescent="0.3">
      <c r="A498">
        <v>50</v>
      </c>
      <c r="B498" t="s">
        <v>12</v>
      </c>
      <c r="C498" t="s">
        <v>15</v>
      </c>
      <c r="D498" t="s">
        <v>10</v>
      </c>
      <c r="E498" t="s">
        <v>11</v>
      </c>
      <c r="F498">
        <v>1081</v>
      </c>
      <c r="G498">
        <v>6</v>
      </c>
      <c r="H498" s="3">
        <v>44931</v>
      </c>
      <c r="I498" t="s">
        <v>46</v>
      </c>
      <c r="J498" t="str">
        <f t="shared" si="14"/>
        <v>Thursday</v>
      </c>
      <c r="K498" t="str">
        <f t="shared" si="15"/>
        <v>Weekday</v>
      </c>
      <c r="L498" s="7">
        <f>IF(Bangladesh_Appointment_Trends[[#This Row],[Appointment Status]]="No-Show",1,0)</f>
        <v>0</v>
      </c>
      <c r="Q498" s="7"/>
    </row>
    <row r="499" spans="1:17" x14ac:dyDescent="0.3">
      <c r="A499">
        <v>17</v>
      </c>
      <c r="B499" t="s">
        <v>12</v>
      </c>
      <c r="C499" t="s">
        <v>21</v>
      </c>
      <c r="D499" t="s">
        <v>10</v>
      </c>
      <c r="E499" t="s">
        <v>11</v>
      </c>
      <c r="F499">
        <v>923</v>
      </c>
      <c r="G499">
        <v>17</v>
      </c>
      <c r="H499" s="3">
        <v>45588</v>
      </c>
      <c r="I499" t="s">
        <v>48</v>
      </c>
      <c r="J499" t="str">
        <f t="shared" si="14"/>
        <v>Wednesday</v>
      </c>
      <c r="K499" t="str">
        <f t="shared" si="15"/>
        <v>Weekday</v>
      </c>
      <c r="L499" s="7">
        <f>IF(Bangladesh_Appointment_Trends[[#This Row],[Appointment Status]]="No-Show",1,0)</f>
        <v>0</v>
      </c>
      <c r="Q499" s="7"/>
    </row>
    <row r="500" spans="1:17" x14ac:dyDescent="0.3">
      <c r="A500">
        <v>44</v>
      </c>
      <c r="B500" t="s">
        <v>12</v>
      </c>
      <c r="C500" t="s">
        <v>23</v>
      </c>
      <c r="D500" t="s">
        <v>16</v>
      </c>
      <c r="E500" t="s">
        <v>22</v>
      </c>
      <c r="F500">
        <v>728</v>
      </c>
      <c r="G500">
        <v>10</v>
      </c>
      <c r="H500" s="3">
        <v>45032</v>
      </c>
      <c r="I500" t="s">
        <v>46</v>
      </c>
      <c r="J500" t="str">
        <f t="shared" si="14"/>
        <v>Sunday</v>
      </c>
      <c r="K500" t="str">
        <f t="shared" si="15"/>
        <v>Weekday</v>
      </c>
      <c r="L500" s="7">
        <f>IF(Bangladesh_Appointment_Trends[[#This Row],[Appointment Status]]="No-Show",1,0)</f>
        <v>1</v>
      </c>
      <c r="Q500" s="7"/>
    </row>
    <row r="501" spans="1:17" x14ac:dyDescent="0.3">
      <c r="A501">
        <v>46</v>
      </c>
      <c r="B501" t="s">
        <v>8</v>
      </c>
      <c r="C501" t="s">
        <v>23</v>
      </c>
      <c r="D501" t="s">
        <v>16</v>
      </c>
      <c r="E501" t="s">
        <v>11</v>
      </c>
      <c r="F501">
        <v>870</v>
      </c>
      <c r="G501">
        <v>18</v>
      </c>
      <c r="H501" s="3">
        <v>45457</v>
      </c>
      <c r="I501" t="s">
        <v>46</v>
      </c>
      <c r="J501" t="str">
        <f t="shared" si="14"/>
        <v>Friday</v>
      </c>
      <c r="K501" t="str">
        <f t="shared" si="15"/>
        <v>Weekend</v>
      </c>
      <c r="L501" s="7">
        <f>IF(Bangladesh_Appointment_Trends[[#This Row],[Appointment Status]]="No-Show",1,0)</f>
        <v>0</v>
      </c>
      <c r="Q501" s="7"/>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Appointment Pivot Tables</vt:lpstr>
      <vt:lpstr>Appointment No Show Dashboard</vt:lpstr>
      <vt:lpstr>Appointment Wait Days Dashboard</vt:lpstr>
      <vt:lpstr>Cleaned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Md.Navidul Hoque</cp:lastModifiedBy>
  <cp:revision/>
  <dcterms:created xsi:type="dcterms:W3CDTF">2026-08-12T10:13:21Z</dcterms:created>
  <dcterms:modified xsi:type="dcterms:W3CDTF">2026-09-29T07:18:50Z</dcterms:modified>
  <cp:category/>
  <cp:contentStatus/>
</cp:coreProperties>
</file>