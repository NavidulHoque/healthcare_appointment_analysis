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hidePivotFieldList="1"/>
  <xr:revisionPtr revIDLastSave="0" documentId="8_{DBB86C63-219F-4D23-B1F2-8CF4DEA09FE0}" xr6:coauthVersionLast="47" xr6:coauthVersionMax="47" xr10:uidLastSave="{00000000-0000-0000-0000-000000000000}"/>
  <bookViews>
    <workbookView xWindow="0" yWindow="0" windowWidth="0" windowHeight="0" firstSheet="4" activeTab="4" xr2:uid="{00000000-000D-0000-FFFF-FFFF00000000}"/>
  </bookViews>
  <sheets>
    <sheet name="Raw Data" sheetId="1" r:id="rId1"/>
    <sheet name="Wait Days Detailed Analysis" sheetId="3" r:id="rId2"/>
    <sheet name="No Show Detailed Analysis" sheetId="4" r:id="rId3"/>
    <sheet name="No Show Visualization" sheetId="5" r:id="rId4"/>
    <sheet name="Wait Days Visualization" sheetId="6" r:id="rId5"/>
    <sheet name="Cleaned Data" sheetId="2" r:id="rId6"/>
  </sheets>
  <calcPr calcId="191028"/>
  <pivotCaches>
    <pivotCache cacheId="2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</calcChain>
</file>

<file path=xl/sharedStrings.xml><?xml version="1.0" encoding="utf-8"?>
<sst xmlns="http://schemas.openxmlformats.org/spreadsheetml/2006/main" count="5811" uniqueCount="99">
  <si>
    <t>patient_age</t>
  </si>
  <si>
    <t>patient_gender</t>
  </si>
  <si>
    <t>division</t>
  </si>
  <si>
    <t>specialty</t>
  </si>
  <si>
    <t>appointment_status</t>
  </si>
  <si>
    <t>consultation_fee_bdt</t>
  </si>
  <si>
    <t>wait_days</t>
  </si>
  <si>
    <t>appointment_date</t>
  </si>
  <si>
    <t>Female</t>
  </si>
  <si>
    <t>Chattogram</t>
  </si>
  <si>
    <t>Gynecologist</t>
  </si>
  <si>
    <t>Completed</t>
  </si>
  <si>
    <t>Male</t>
  </si>
  <si>
    <t>Barishal</t>
  </si>
  <si>
    <t>Cardiologist</t>
  </si>
  <si>
    <t>Dhaka</t>
  </si>
  <si>
    <t>Pediatrician</t>
  </si>
  <si>
    <t>Orthopedic</t>
  </si>
  <si>
    <t>Cancelled</t>
  </si>
  <si>
    <t>Rajshahi</t>
  </si>
  <si>
    <t>General Physician</t>
  </si>
  <si>
    <t>Mymensingh</t>
  </si>
  <si>
    <t>No-show</t>
  </si>
  <si>
    <t>Khulna</t>
  </si>
  <si>
    <t>Dermatologist</t>
  </si>
  <si>
    <t>Sylhet</t>
  </si>
  <si>
    <t>Rangpur</t>
  </si>
  <si>
    <t>Year</t>
  </si>
  <si>
    <t>Quarter</t>
  </si>
  <si>
    <t>Month Name</t>
  </si>
  <si>
    <t>Day Type</t>
  </si>
  <si>
    <t>Division</t>
  </si>
  <si>
    <t>Age Group</t>
  </si>
  <si>
    <t>Sum of Wait Days</t>
  </si>
  <si>
    <t>Average of Wait Days</t>
  </si>
  <si>
    <t>Max of Wait Days</t>
  </si>
  <si>
    <t>Min of Wait Days</t>
  </si>
  <si>
    <t>Q1</t>
  </si>
  <si>
    <t>Q2</t>
  </si>
  <si>
    <t>Q3</t>
  </si>
  <si>
    <t>Q4</t>
  </si>
  <si>
    <t>2023 Total</t>
  </si>
  <si>
    <t>2024 Total</t>
  </si>
  <si>
    <t>Grand Total</t>
  </si>
  <si>
    <t>Count of Appointment Status</t>
  </si>
  <si>
    <t>Appointment Status</t>
  </si>
  <si>
    <t>Jan</t>
  </si>
  <si>
    <t>Weekday</t>
  </si>
  <si>
    <t>Weekday Total</t>
  </si>
  <si>
    <t>Weekend</t>
  </si>
  <si>
    <t>Weekend Total</t>
  </si>
  <si>
    <t>Jan Total</t>
  </si>
  <si>
    <t>Feb</t>
  </si>
  <si>
    <t>Feb Total</t>
  </si>
  <si>
    <t>Mar</t>
  </si>
  <si>
    <t>Mar Total</t>
  </si>
  <si>
    <t>Q1 Total</t>
  </si>
  <si>
    <t>Apr</t>
  </si>
  <si>
    <t>Apr Total</t>
  </si>
  <si>
    <t>May</t>
  </si>
  <si>
    <t>May Total</t>
  </si>
  <si>
    <t>Jun</t>
  </si>
  <si>
    <t>Jun Total</t>
  </si>
  <si>
    <t>Q2 Total</t>
  </si>
  <si>
    <t>Jul</t>
  </si>
  <si>
    <t>Jul Total</t>
  </si>
  <si>
    <t>Aug</t>
  </si>
  <si>
    <t>Aug Total</t>
  </si>
  <si>
    <t>Sep</t>
  </si>
  <si>
    <t>Sep Total</t>
  </si>
  <si>
    <t>Q3 Total</t>
  </si>
  <si>
    <t>Oct</t>
  </si>
  <si>
    <t>Oct Total</t>
  </si>
  <si>
    <t>Nov</t>
  </si>
  <si>
    <t>Nov Total</t>
  </si>
  <si>
    <t>Dec</t>
  </si>
  <si>
    <t>Dec Total</t>
  </si>
  <si>
    <t>Q4 Total</t>
  </si>
  <si>
    <t>Total No Show Count</t>
  </si>
  <si>
    <t>Senior (56+)</t>
  </si>
  <si>
    <t>Middle Age (36-55)</t>
  </si>
  <si>
    <t>Young Adult (18-35)</t>
  </si>
  <si>
    <t>Child (0-17)</t>
  </si>
  <si>
    <t>Dhaka Total</t>
  </si>
  <si>
    <t>Chattogram Total</t>
  </si>
  <si>
    <t>Rajshahi Total</t>
  </si>
  <si>
    <t>Mymensingh Total</t>
  </si>
  <si>
    <t>Sylhet Total</t>
  </si>
  <si>
    <t>Barishal Total</t>
  </si>
  <si>
    <t>Khulna Total</t>
  </si>
  <si>
    <t>Doctor Specialty</t>
  </si>
  <si>
    <t>Rangpur Total</t>
  </si>
  <si>
    <t>Age</t>
  </si>
  <si>
    <t>Gender</t>
  </si>
  <si>
    <t>Consultation Fee</t>
  </si>
  <si>
    <t>Wait Days</t>
  </si>
  <si>
    <t>Appointment Date</t>
  </si>
  <si>
    <t>Month</t>
  </si>
  <si>
    <t>Day of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</si>
</sst>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0" fontId="1" fillId="0" borderId="2" xfId="0" applyFont="1" applyBorder="1" applyAlignment="1">
      <alignment horizontal="left" vertical="top"/>
    </xf>
    <xf numFmtId="0" fontId="1" fillId="0" borderId="2" xfId="0" applyNumberFormat="1" applyFont="1" applyBorder="1" applyAlignment="1">
      <alignment horizontal="left" vertical="top"/>
    </xf>
    <xf numFmtId="0" fontId="0" fillId="0" borderId="0" xfId="0" pivotButton="1"/>
    <xf numFmtId="0" fontId="0" fillId="0" borderId="0" xfId="0" applyNumberFormat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[appointments 5.xlsx]No Show Visualization!PivotTable1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No Show Count -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'No Show Visualization'!$D$3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'No Show Visualization'!$A$4:$C$47</c:f>
              <c:multiLvlStrCache>
                <c:ptCount val="29"/>
                <c:lvl>
                  <c:pt idx="0">
                    <c:v>Senior (56+)</c:v>
                  </c:pt>
                  <c:pt idx="1">
                    <c:v>Middle Age (36-55)</c:v>
                  </c:pt>
                  <c:pt idx="2">
                    <c:v>Young Adult (18-35)</c:v>
                  </c:pt>
                  <c:pt idx="3">
                    <c:v>Child (0-17)</c:v>
                  </c:pt>
                  <c:pt idx="4">
                    <c:v>Senior (56+)</c:v>
                  </c:pt>
                  <c:pt idx="5">
                    <c:v>Middle Age (36-55)</c:v>
                  </c:pt>
                  <c:pt idx="6">
                    <c:v>Young Adult (18-35)</c:v>
                  </c:pt>
                  <c:pt idx="7">
                    <c:v>Child (0-17)</c:v>
                  </c:pt>
                  <c:pt idx="8">
                    <c:v>Middle Age (36-55)</c:v>
                  </c:pt>
                  <c:pt idx="9">
                    <c:v>Child (0-17)</c:v>
                  </c:pt>
                  <c:pt idx="10">
                    <c:v>Young Adult (18-35)</c:v>
                  </c:pt>
                  <c:pt idx="11">
                    <c:v>Senior (56+)</c:v>
                  </c:pt>
                  <c:pt idx="12">
                    <c:v>Middle Age (36-55)</c:v>
                  </c:pt>
                  <c:pt idx="13">
                    <c:v>Child (0-17)</c:v>
                  </c:pt>
                  <c:pt idx="14">
                    <c:v>Senior (56+)</c:v>
                  </c:pt>
                  <c:pt idx="15">
                    <c:v>Child (0-17)</c:v>
                  </c:pt>
                  <c:pt idx="16">
                    <c:v>Middle Age (36-55)</c:v>
                  </c:pt>
                  <c:pt idx="17">
                    <c:v>Child (0-17)</c:v>
                  </c:pt>
                  <c:pt idx="18">
                    <c:v>Senior (56+)</c:v>
                  </c:pt>
                  <c:pt idx="19">
                    <c:v>Middle Age (36-55)</c:v>
                  </c:pt>
                  <c:pt idx="20">
                    <c:v>Child (0-17)</c:v>
                  </c:pt>
                  <c:pt idx="21">
                    <c:v>Senior (56+)</c:v>
                  </c:pt>
                  <c:pt idx="22">
                    <c:v>Young Adult (18-35)</c:v>
                  </c:pt>
                  <c:pt idx="23">
                    <c:v>Middle Age (36-55)</c:v>
                  </c:pt>
                  <c:pt idx="24">
                    <c:v>Senior (56+)</c:v>
                  </c:pt>
                  <c:pt idx="25">
                    <c:v>Middle Age (36-55)</c:v>
                  </c:pt>
                  <c:pt idx="26">
                    <c:v>Senior (56+)</c:v>
                  </c:pt>
                  <c:pt idx="27">
                    <c:v>Senior (56+)</c:v>
                  </c:pt>
                  <c:pt idx="28">
                    <c:v>Middle Age (36-55)</c:v>
                  </c:pt>
                </c:lvl>
                <c:lvl>
                  <c:pt idx="0">
                    <c:v>Dhaka</c:v>
                  </c:pt>
                  <c:pt idx="4">
                    <c:v>Chattogram</c:v>
                  </c:pt>
                  <c:pt idx="8">
                    <c:v>Rajshahi</c:v>
                  </c:pt>
                  <c:pt idx="12">
                    <c:v>Mymensingh</c:v>
                  </c:pt>
                  <c:pt idx="14">
                    <c:v>Sylhet</c:v>
                  </c:pt>
                  <c:pt idx="15">
                    <c:v>Barishal</c:v>
                  </c:pt>
                  <c:pt idx="16">
                    <c:v>Khulna</c:v>
                  </c:pt>
                  <c:pt idx="17">
                    <c:v>Dhaka</c:v>
                  </c:pt>
                  <c:pt idx="20">
                    <c:v>Chattogram</c:v>
                  </c:pt>
                  <c:pt idx="24">
                    <c:v>Khulna</c:v>
                  </c:pt>
                  <c:pt idx="26">
                    <c:v>Sylhet</c:v>
                  </c:pt>
                  <c:pt idx="27">
                    <c:v>Rajshahi</c:v>
                  </c:pt>
                </c:lvl>
                <c:lvl>
                  <c:pt idx="0">
                    <c:v>2023</c:v>
                  </c:pt>
                  <c:pt idx="17">
                    <c:v>2024</c:v>
                  </c:pt>
                </c:lvl>
              </c:multiLvlStrCache>
            </c:multiLvlStrRef>
          </c:cat>
          <c:val>
            <c:numRef>
              <c:f>'No Show Visualization'!$D$4:$D$47</c:f>
              <c:numCache>
                <c:formatCode>General</c:formatCode>
                <c:ptCount val="29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6</c:v>
                </c:pt>
                <c:pt idx="18">
                  <c:v>3</c:v>
                </c:pt>
                <c:pt idx="19">
                  <c:v>1</c:v>
                </c:pt>
                <c:pt idx="20">
                  <c:v>3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87-46B5-AE14-0527CCF22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0546568"/>
        <c:axId val="2020552712"/>
      </c:barChart>
      <c:catAx>
        <c:axId val="2020546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52712"/>
        <c:crosses val="autoZero"/>
        <c:auto val="1"/>
        <c:lblAlgn val="ctr"/>
        <c:lblOffset val="100"/>
        <c:noMultiLvlLbl val="0"/>
      </c:catAx>
      <c:valAx>
        <c:axId val="202055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546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[appointments 5.xlsx]No Show Visualization!PivotTable2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No Show Count - Specialty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'No Show Visualization'!$D$52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'No Show Visualization'!$A$53:$C$100</c:f>
              <c:multiLvlStrCache>
                <c:ptCount val="33"/>
                <c:lvl>
                  <c:pt idx="0">
                    <c:v>Pediatrician</c:v>
                  </c:pt>
                  <c:pt idx="1">
                    <c:v>Dermatologist</c:v>
                  </c:pt>
                  <c:pt idx="2">
                    <c:v>Orthopedic</c:v>
                  </c:pt>
                  <c:pt idx="3">
                    <c:v>General Physician</c:v>
                  </c:pt>
                  <c:pt idx="4">
                    <c:v>Cardiologist</c:v>
                  </c:pt>
                  <c:pt idx="5">
                    <c:v>Pediatrician</c:v>
                  </c:pt>
                  <c:pt idx="6">
                    <c:v>Dermatologist</c:v>
                  </c:pt>
                  <c:pt idx="7">
                    <c:v>General Physician</c:v>
                  </c:pt>
                  <c:pt idx="8">
                    <c:v>Orthopedic</c:v>
                  </c:pt>
                  <c:pt idx="9">
                    <c:v>Pediatrician</c:v>
                  </c:pt>
                  <c:pt idx="10">
                    <c:v>General Physician</c:v>
                  </c:pt>
                  <c:pt idx="11">
                    <c:v>Dermatologist</c:v>
                  </c:pt>
                  <c:pt idx="12">
                    <c:v>Gynecologist</c:v>
                  </c:pt>
                  <c:pt idx="13">
                    <c:v>Dermatologist</c:v>
                  </c:pt>
                  <c:pt idx="14">
                    <c:v>General Physician</c:v>
                  </c:pt>
                  <c:pt idx="15">
                    <c:v>Cardiologist</c:v>
                  </c:pt>
                  <c:pt idx="16">
                    <c:v>Cardiologist</c:v>
                  </c:pt>
                  <c:pt idx="17">
                    <c:v>Pediatrician</c:v>
                  </c:pt>
                  <c:pt idx="18">
                    <c:v>Cardiologist</c:v>
                  </c:pt>
                  <c:pt idx="19">
                    <c:v>Dermatologist</c:v>
                  </c:pt>
                  <c:pt idx="20">
                    <c:v>Pediatrician</c:v>
                  </c:pt>
                  <c:pt idx="21">
                    <c:v>Orthopedic</c:v>
                  </c:pt>
                  <c:pt idx="22">
                    <c:v>Gynecologist</c:v>
                  </c:pt>
                  <c:pt idx="23">
                    <c:v>General Physician</c:v>
                  </c:pt>
                  <c:pt idx="24">
                    <c:v>Orthopedic</c:v>
                  </c:pt>
                  <c:pt idx="25">
                    <c:v>Cardiologist</c:v>
                  </c:pt>
                  <c:pt idx="26">
                    <c:v>Cardiologist</c:v>
                  </c:pt>
                  <c:pt idx="27">
                    <c:v>Orthopedic</c:v>
                  </c:pt>
                  <c:pt idx="28">
                    <c:v>Dermatologist</c:v>
                  </c:pt>
                  <c:pt idx="29">
                    <c:v>Orthopedic</c:v>
                  </c:pt>
                  <c:pt idx="30">
                    <c:v>Dermatologist</c:v>
                  </c:pt>
                  <c:pt idx="31">
                    <c:v>Pediatrician</c:v>
                  </c:pt>
                  <c:pt idx="32">
                    <c:v>Cardiologist</c:v>
                  </c:pt>
                </c:lvl>
                <c:lvl>
                  <c:pt idx="0">
                    <c:v>Dhaka</c:v>
                  </c:pt>
                  <c:pt idx="5">
                    <c:v>Chattogram</c:v>
                  </c:pt>
                  <c:pt idx="9">
                    <c:v>Rajshahi</c:v>
                  </c:pt>
                  <c:pt idx="12">
                    <c:v>Mymensingh</c:v>
                  </c:pt>
                  <c:pt idx="14">
                    <c:v>Sylhet</c:v>
                  </c:pt>
                  <c:pt idx="16">
                    <c:v>Barishal</c:v>
                  </c:pt>
                  <c:pt idx="17">
                    <c:v>Khulna</c:v>
                  </c:pt>
                  <c:pt idx="18">
                    <c:v>Dhaka</c:v>
                  </c:pt>
                  <c:pt idx="22">
                    <c:v>Chattogram</c:v>
                  </c:pt>
                  <c:pt idx="26">
                    <c:v>Khulna</c:v>
                  </c:pt>
                  <c:pt idx="29">
                    <c:v>Sylhet</c:v>
                  </c:pt>
                  <c:pt idx="31">
                    <c:v>Rajshahi</c:v>
                  </c:pt>
                </c:lvl>
                <c:lvl>
                  <c:pt idx="0">
                    <c:v>2023</c:v>
                  </c:pt>
                  <c:pt idx="18">
                    <c:v>2024</c:v>
                  </c:pt>
                </c:lvl>
              </c:multiLvlStrCache>
            </c:multiLvlStrRef>
          </c:cat>
          <c:val>
            <c:numRef>
              <c:f>'No Show Visualization'!$D$53:$D$100</c:f>
              <c:numCache>
                <c:formatCode>General</c:formatCode>
                <c:ptCount val="33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A3-4855-B5B7-5DEE51B68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1060103"/>
        <c:axId val="621062151"/>
      </c:barChart>
      <c:catAx>
        <c:axId val="621060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62151"/>
        <c:crosses val="autoZero"/>
        <c:auto val="1"/>
        <c:lblAlgn val="ctr"/>
        <c:lblOffset val="100"/>
        <c:noMultiLvlLbl val="0"/>
      </c:catAx>
      <c:valAx>
        <c:axId val="621062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60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[appointments 5.xlsx]Wait Days Visualization!PivotTable3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Wait Days -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'Wait Days Visualization'!$D$3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'Wait Days Visualization'!$A$4:$C$85</c:f>
              <c:multiLvlStrCache>
                <c:ptCount val="63"/>
                <c:lvl>
                  <c:pt idx="0">
                    <c:v>Middle Age (36-55)</c:v>
                  </c:pt>
                  <c:pt idx="1">
                    <c:v>Senior (56+)</c:v>
                  </c:pt>
                  <c:pt idx="2">
                    <c:v>Child (0-17)</c:v>
                  </c:pt>
                  <c:pt idx="3">
                    <c:v>Young Adult (18-35)</c:v>
                  </c:pt>
                  <c:pt idx="4">
                    <c:v>Senior (56+)</c:v>
                  </c:pt>
                  <c:pt idx="5">
                    <c:v>Middle Age (36-55)</c:v>
                  </c:pt>
                  <c:pt idx="6">
                    <c:v>Young Adult (18-35)</c:v>
                  </c:pt>
                  <c:pt idx="7">
                    <c:v>Child (0-17)</c:v>
                  </c:pt>
                  <c:pt idx="8">
                    <c:v>Young Adult (18-35)</c:v>
                  </c:pt>
                  <c:pt idx="9">
                    <c:v>Middle Age (36-55)</c:v>
                  </c:pt>
                  <c:pt idx="10">
                    <c:v>Child (0-17)</c:v>
                  </c:pt>
                  <c:pt idx="11">
                    <c:v>Senior (56+)</c:v>
                  </c:pt>
                  <c:pt idx="12">
                    <c:v>Middle Age (36-55)</c:v>
                  </c:pt>
                  <c:pt idx="13">
                    <c:v>Senior (56+)</c:v>
                  </c:pt>
                  <c:pt idx="14">
                    <c:v>Young Adult (18-35)</c:v>
                  </c:pt>
                  <c:pt idx="15">
                    <c:v>Child (0-17)</c:v>
                  </c:pt>
                  <c:pt idx="16">
                    <c:v>Middle Age (36-55)</c:v>
                  </c:pt>
                  <c:pt idx="17">
                    <c:v>Young Adult (18-35)</c:v>
                  </c:pt>
                  <c:pt idx="18">
                    <c:v>Senior (56+)</c:v>
                  </c:pt>
                  <c:pt idx="19">
                    <c:v>Child (0-17)</c:v>
                  </c:pt>
                  <c:pt idx="20">
                    <c:v>Middle Age (36-55)</c:v>
                  </c:pt>
                  <c:pt idx="21">
                    <c:v>Senior (56+)</c:v>
                  </c:pt>
                  <c:pt idx="22">
                    <c:v>Child (0-17)</c:v>
                  </c:pt>
                  <c:pt idx="23">
                    <c:v>Young Adult (18-35)</c:v>
                  </c:pt>
                  <c:pt idx="24">
                    <c:v>Middle Age (36-55)</c:v>
                  </c:pt>
                  <c:pt idx="25">
                    <c:v>Young Adult (18-35)</c:v>
                  </c:pt>
                  <c:pt idx="26">
                    <c:v>Child (0-17)</c:v>
                  </c:pt>
                  <c:pt idx="27">
                    <c:v>Senior (56+)</c:v>
                  </c:pt>
                  <c:pt idx="28">
                    <c:v>Senior (56+)</c:v>
                  </c:pt>
                  <c:pt idx="29">
                    <c:v>Middle Age (36-55)</c:v>
                  </c:pt>
                  <c:pt idx="30">
                    <c:v>Young Adult (18-35)</c:v>
                  </c:pt>
                  <c:pt idx="31">
                    <c:v>Child (0-17)</c:v>
                  </c:pt>
                  <c:pt idx="32">
                    <c:v>Senior (56+)</c:v>
                  </c:pt>
                  <c:pt idx="33">
                    <c:v>Child (0-17)</c:v>
                  </c:pt>
                  <c:pt idx="34">
                    <c:v>Middle Age (36-55)</c:v>
                  </c:pt>
                  <c:pt idx="35">
                    <c:v>Young Adult (18-35)</c:v>
                  </c:pt>
                  <c:pt idx="36">
                    <c:v>Young Adult (18-35)</c:v>
                  </c:pt>
                  <c:pt idx="37">
                    <c:v>Senior (56+)</c:v>
                  </c:pt>
                  <c:pt idx="38">
                    <c:v>Child (0-17)</c:v>
                  </c:pt>
                  <c:pt idx="39">
                    <c:v>Middle Age (36-55)</c:v>
                  </c:pt>
                  <c:pt idx="40">
                    <c:v>Young Adult (18-35)</c:v>
                  </c:pt>
                  <c:pt idx="41">
                    <c:v>Middle Age (36-55)</c:v>
                  </c:pt>
                  <c:pt idx="42">
                    <c:v>Senior (56+)</c:v>
                  </c:pt>
                  <c:pt idx="43">
                    <c:v>Child (0-17)</c:v>
                  </c:pt>
                  <c:pt idx="44">
                    <c:v>Senior (56+)</c:v>
                  </c:pt>
                  <c:pt idx="45">
                    <c:v>Young Adult (18-35)</c:v>
                  </c:pt>
                  <c:pt idx="46">
                    <c:v>Middle Age (36-55)</c:v>
                  </c:pt>
                  <c:pt idx="47">
                    <c:v>Child (0-17)</c:v>
                  </c:pt>
                  <c:pt idx="48">
                    <c:v>Senior (56+)</c:v>
                  </c:pt>
                  <c:pt idx="49">
                    <c:v>Middle Age (36-55)</c:v>
                  </c:pt>
                  <c:pt idx="50">
                    <c:v>Child (0-17)</c:v>
                  </c:pt>
                  <c:pt idx="51">
                    <c:v>Young Adult (18-35)</c:v>
                  </c:pt>
                  <c:pt idx="52">
                    <c:v>Young Adult (18-35)</c:v>
                  </c:pt>
                  <c:pt idx="53">
                    <c:v>Child (0-17)</c:v>
                  </c:pt>
                  <c:pt idx="54">
                    <c:v>Senior (56+)</c:v>
                  </c:pt>
                  <c:pt idx="55">
                    <c:v>Middle Age (36-55)</c:v>
                  </c:pt>
                  <c:pt idx="56">
                    <c:v>Young Adult (18-35)</c:v>
                  </c:pt>
                  <c:pt idx="57">
                    <c:v>Senior (56+)</c:v>
                  </c:pt>
                  <c:pt idx="58">
                    <c:v>Middle Age (36-55)</c:v>
                  </c:pt>
                  <c:pt idx="59">
                    <c:v>Senior (56+)</c:v>
                  </c:pt>
                  <c:pt idx="60">
                    <c:v>Middle Age (36-55)</c:v>
                  </c:pt>
                  <c:pt idx="61">
                    <c:v>Child (0-17)</c:v>
                  </c:pt>
                  <c:pt idx="62">
                    <c:v>Young Adult (18-35)</c:v>
                  </c:pt>
                </c:lvl>
                <c:lvl>
                  <c:pt idx="0">
                    <c:v>Dhaka</c:v>
                  </c:pt>
                  <c:pt idx="4">
                    <c:v>Chattogram</c:v>
                  </c:pt>
                  <c:pt idx="8">
                    <c:v>Khulna</c:v>
                  </c:pt>
                  <c:pt idx="12">
                    <c:v>Rajshahi</c:v>
                  </c:pt>
                  <c:pt idx="16">
                    <c:v>Sylhet</c:v>
                  </c:pt>
                  <c:pt idx="20">
                    <c:v>Mymensingh</c:v>
                  </c:pt>
                  <c:pt idx="24">
                    <c:v>Rangpur</c:v>
                  </c:pt>
                  <c:pt idx="28">
                    <c:v>Barishal</c:v>
                  </c:pt>
                  <c:pt idx="32">
                    <c:v>Dhaka</c:v>
                  </c:pt>
                  <c:pt idx="36">
                    <c:v>Chattogram</c:v>
                  </c:pt>
                  <c:pt idx="40">
                    <c:v>Rajshahi</c:v>
                  </c:pt>
                  <c:pt idx="44">
                    <c:v>Khulna</c:v>
                  </c:pt>
                  <c:pt idx="48">
                    <c:v>Sylhet</c:v>
                  </c:pt>
                  <c:pt idx="52">
                    <c:v>Mymensingh</c:v>
                  </c:pt>
                  <c:pt idx="56">
                    <c:v>Barishal</c:v>
                  </c:pt>
                  <c:pt idx="59">
                    <c:v>Rangpur</c:v>
                  </c:pt>
                </c:lvl>
                <c:lvl>
                  <c:pt idx="0">
                    <c:v>2023</c:v>
                  </c:pt>
                  <c:pt idx="32">
                    <c:v>2024</c:v>
                  </c:pt>
                </c:lvl>
              </c:multiLvlStrCache>
            </c:multiLvlStrRef>
          </c:cat>
          <c:val>
            <c:numRef>
              <c:f>'Wait Days Visualization'!$D$4:$D$85</c:f>
              <c:numCache>
                <c:formatCode>General</c:formatCode>
                <c:ptCount val="63"/>
                <c:pt idx="0">
                  <c:v>225</c:v>
                </c:pt>
                <c:pt idx="1">
                  <c:v>212</c:v>
                </c:pt>
                <c:pt idx="2">
                  <c:v>164</c:v>
                </c:pt>
                <c:pt idx="3">
                  <c:v>113</c:v>
                </c:pt>
                <c:pt idx="4">
                  <c:v>186</c:v>
                </c:pt>
                <c:pt idx="5">
                  <c:v>181</c:v>
                </c:pt>
                <c:pt idx="6">
                  <c:v>150</c:v>
                </c:pt>
                <c:pt idx="7">
                  <c:v>107</c:v>
                </c:pt>
                <c:pt idx="8">
                  <c:v>127</c:v>
                </c:pt>
                <c:pt idx="9">
                  <c:v>87</c:v>
                </c:pt>
                <c:pt idx="10">
                  <c:v>67</c:v>
                </c:pt>
                <c:pt idx="11">
                  <c:v>43</c:v>
                </c:pt>
                <c:pt idx="12">
                  <c:v>103</c:v>
                </c:pt>
                <c:pt idx="13">
                  <c:v>80</c:v>
                </c:pt>
                <c:pt idx="14">
                  <c:v>75</c:v>
                </c:pt>
                <c:pt idx="15">
                  <c:v>25</c:v>
                </c:pt>
                <c:pt idx="16">
                  <c:v>76</c:v>
                </c:pt>
                <c:pt idx="17">
                  <c:v>64</c:v>
                </c:pt>
                <c:pt idx="18">
                  <c:v>62</c:v>
                </c:pt>
                <c:pt idx="19">
                  <c:v>10</c:v>
                </c:pt>
                <c:pt idx="20">
                  <c:v>63</c:v>
                </c:pt>
                <c:pt idx="21">
                  <c:v>44</c:v>
                </c:pt>
                <c:pt idx="22">
                  <c:v>43</c:v>
                </c:pt>
                <c:pt idx="23">
                  <c:v>15</c:v>
                </c:pt>
                <c:pt idx="24">
                  <c:v>41</c:v>
                </c:pt>
                <c:pt idx="25">
                  <c:v>22</c:v>
                </c:pt>
                <c:pt idx="26">
                  <c:v>20</c:v>
                </c:pt>
                <c:pt idx="27">
                  <c:v>11</c:v>
                </c:pt>
                <c:pt idx="28">
                  <c:v>45</c:v>
                </c:pt>
                <c:pt idx="29">
                  <c:v>27</c:v>
                </c:pt>
                <c:pt idx="30">
                  <c:v>10</c:v>
                </c:pt>
                <c:pt idx="31">
                  <c:v>1</c:v>
                </c:pt>
                <c:pt idx="32">
                  <c:v>355</c:v>
                </c:pt>
                <c:pt idx="33">
                  <c:v>213</c:v>
                </c:pt>
                <c:pt idx="34">
                  <c:v>203</c:v>
                </c:pt>
                <c:pt idx="35">
                  <c:v>176</c:v>
                </c:pt>
                <c:pt idx="36">
                  <c:v>148</c:v>
                </c:pt>
                <c:pt idx="37">
                  <c:v>148</c:v>
                </c:pt>
                <c:pt idx="38">
                  <c:v>141</c:v>
                </c:pt>
                <c:pt idx="39">
                  <c:v>101</c:v>
                </c:pt>
                <c:pt idx="40">
                  <c:v>136</c:v>
                </c:pt>
                <c:pt idx="41">
                  <c:v>101</c:v>
                </c:pt>
                <c:pt idx="42">
                  <c:v>94</c:v>
                </c:pt>
                <c:pt idx="43">
                  <c:v>43</c:v>
                </c:pt>
                <c:pt idx="44">
                  <c:v>119</c:v>
                </c:pt>
                <c:pt idx="45">
                  <c:v>102</c:v>
                </c:pt>
                <c:pt idx="46">
                  <c:v>90</c:v>
                </c:pt>
                <c:pt idx="47">
                  <c:v>3</c:v>
                </c:pt>
                <c:pt idx="48">
                  <c:v>175</c:v>
                </c:pt>
                <c:pt idx="49">
                  <c:v>36</c:v>
                </c:pt>
                <c:pt idx="50">
                  <c:v>34</c:v>
                </c:pt>
                <c:pt idx="51">
                  <c:v>31</c:v>
                </c:pt>
                <c:pt idx="52">
                  <c:v>38</c:v>
                </c:pt>
                <c:pt idx="53">
                  <c:v>35</c:v>
                </c:pt>
                <c:pt idx="54">
                  <c:v>28</c:v>
                </c:pt>
                <c:pt idx="55">
                  <c:v>20</c:v>
                </c:pt>
                <c:pt idx="56">
                  <c:v>57</c:v>
                </c:pt>
                <c:pt idx="57">
                  <c:v>36</c:v>
                </c:pt>
                <c:pt idx="58">
                  <c:v>28</c:v>
                </c:pt>
                <c:pt idx="59">
                  <c:v>22</c:v>
                </c:pt>
                <c:pt idx="60">
                  <c:v>20</c:v>
                </c:pt>
                <c:pt idx="61">
                  <c:v>13</c:v>
                </c:pt>
                <c:pt idx="6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3-47E5-BD7A-5BA76DBAF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7847"/>
        <c:axId val="163329543"/>
      </c:barChart>
      <c:catAx>
        <c:axId val="126947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29543"/>
        <c:crosses val="autoZero"/>
        <c:auto val="1"/>
        <c:lblAlgn val="ctr"/>
        <c:lblOffset val="100"/>
        <c:noMultiLvlLbl val="0"/>
      </c:catAx>
      <c:valAx>
        <c:axId val="163329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7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[appointments 5.xlsx]Wait Days Visualization!PivotTable4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Wait Days - Specialty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'Wait Days Visualization'!$D$88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'Wait Days Visualization'!$A$89:$C$198</c:f>
              <c:multiLvlStrCache>
                <c:ptCount val="91"/>
                <c:lvl>
                  <c:pt idx="0">
                    <c:v>Orthopedic</c:v>
                  </c:pt>
                  <c:pt idx="1">
                    <c:v>Pediatrician</c:v>
                  </c:pt>
                  <c:pt idx="2">
                    <c:v>Dermatologist</c:v>
                  </c:pt>
                  <c:pt idx="3">
                    <c:v>Gynecologist</c:v>
                  </c:pt>
                  <c:pt idx="4">
                    <c:v>General Physician</c:v>
                  </c:pt>
                  <c:pt idx="5">
                    <c:v>Cardiologist</c:v>
                  </c:pt>
                  <c:pt idx="6">
                    <c:v>Dermatologist</c:v>
                  </c:pt>
                  <c:pt idx="7">
                    <c:v>General Physician</c:v>
                  </c:pt>
                  <c:pt idx="8">
                    <c:v>Pediatrician</c:v>
                  </c:pt>
                  <c:pt idx="9">
                    <c:v>Gynecologist</c:v>
                  </c:pt>
                  <c:pt idx="10">
                    <c:v>Orthopedic</c:v>
                  </c:pt>
                  <c:pt idx="11">
                    <c:v>Cardiologist</c:v>
                  </c:pt>
                  <c:pt idx="12">
                    <c:v>Orthopedic</c:v>
                  </c:pt>
                  <c:pt idx="13">
                    <c:v>General Physician</c:v>
                  </c:pt>
                  <c:pt idx="14">
                    <c:v>Pediatrician</c:v>
                  </c:pt>
                  <c:pt idx="15">
                    <c:v>Dermatologist</c:v>
                  </c:pt>
                  <c:pt idx="16">
                    <c:v>Cardiologist</c:v>
                  </c:pt>
                  <c:pt idx="17">
                    <c:v>Gynecologist</c:v>
                  </c:pt>
                  <c:pt idx="18">
                    <c:v>General Physician</c:v>
                  </c:pt>
                  <c:pt idx="19">
                    <c:v>Cardiologist</c:v>
                  </c:pt>
                  <c:pt idx="20">
                    <c:v>Dermatologist</c:v>
                  </c:pt>
                  <c:pt idx="21">
                    <c:v>Orthopedic</c:v>
                  </c:pt>
                  <c:pt idx="22">
                    <c:v>Gynecologist</c:v>
                  </c:pt>
                  <c:pt idx="23">
                    <c:v>Pediatrician</c:v>
                  </c:pt>
                  <c:pt idx="24">
                    <c:v>Gynecologist</c:v>
                  </c:pt>
                  <c:pt idx="25">
                    <c:v>Orthopedic</c:v>
                  </c:pt>
                  <c:pt idx="26">
                    <c:v>Cardiologist</c:v>
                  </c:pt>
                  <c:pt idx="27">
                    <c:v>General Physician</c:v>
                  </c:pt>
                  <c:pt idx="28">
                    <c:v>Pediatrician</c:v>
                  </c:pt>
                  <c:pt idx="29">
                    <c:v>Dermatologist</c:v>
                  </c:pt>
                  <c:pt idx="30">
                    <c:v>Gynecologist</c:v>
                  </c:pt>
                  <c:pt idx="31">
                    <c:v>Dermatologist</c:v>
                  </c:pt>
                  <c:pt idx="32">
                    <c:v>Orthopedic</c:v>
                  </c:pt>
                  <c:pt idx="33">
                    <c:v>Cardiologist</c:v>
                  </c:pt>
                  <c:pt idx="34">
                    <c:v>General Physician</c:v>
                  </c:pt>
                  <c:pt idx="35">
                    <c:v>Pediatrician</c:v>
                  </c:pt>
                  <c:pt idx="36">
                    <c:v>General Physician</c:v>
                  </c:pt>
                  <c:pt idx="37">
                    <c:v>Orthopedic</c:v>
                  </c:pt>
                  <c:pt idx="38">
                    <c:v>Cardiologist</c:v>
                  </c:pt>
                  <c:pt idx="39">
                    <c:v>Dermatologist</c:v>
                  </c:pt>
                  <c:pt idx="40">
                    <c:v>Gynecologist</c:v>
                  </c:pt>
                  <c:pt idx="41">
                    <c:v>General Physician</c:v>
                  </c:pt>
                  <c:pt idx="42">
                    <c:v>Pediatrician</c:v>
                  </c:pt>
                  <c:pt idx="43">
                    <c:v>Orthopedic</c:v>
                  </c:pt>
                  <c:pt idx="44">
                    <c:v>Cardiologist</c:v>
                  </c:pt>
                  <c:pt idx="45">
                    <c:v>Gynecologist</c:v>
                  </c:pt>
                  <c:pt idx="46">
                    <c:v>Dermatologist</c:v>
                  </c:pt>
                  <c:pt idx="47">
                    <c:v>Dermatologist</c:v>
                  </c:pt>
                  <c:pt idx="48">
                    <c:v>Cardiologist</c:v>
                  </c:pt>
                  <c:pt idx="49">
                    <c:v>Gynecologist</c:v>
                  </c:pt>
                  <c:pt idx="50">
                    <c:v>General Physician</c:v>
                  </c:pt>
                  <c:pt idx="51">
                    <c:v>Pediatrician</c:v>
                  </c:pt>
                  <c:pt idx="52">
                    <c:v>Orthopedic</c:v>
                  </c:pt>
                  <c:pt idx="53">
                    <c:v>Pediatrician</c:v>
                  </c:pt>
                  <c:pt idx="54">
                    <c:v>Cardiologist</c:v>
                  </c:pt>
                  <c:pt idx="55">
                    <c:v>Gynecologist</c:v>
                  </c:pt>
                  <c:pt idx="56">
                    <c:v>General Physician</c:v>
                  </c:pt>
                  <c:pt idx="57">
                    <c:v>Dermatologist</c:v>
                  </c:pt>
                  <c:pt idx="58">
                    <c:v>Orthopedic</c:v>
                  </c:pt>
                  <c:pt idx="59">
                    <c:v>Gynecologist</c:v>
                  </c:pt>
                  <c:pt idx="60">
                    <c:v>Pediatrician</c:v>
                  </c:pt>
                  <c:pt idx="61">
                    <c:v>Dermatologist</c:v>
                  </c:pt>
                  <c:pt idx="62">
                    <c:v>Orthopedic</c:v>
                  </c:pt>
                  <c:pt idx="63">
                    <c:v>General Physician</c:v>
                  </c:pt>
                  <c:pt idx="64">
                    <c:v>Cardiologist</c:v>
                  </c:pt>
                  <c:pt idx="65">
                    <c:v>Dermatologist</c:v>
                  </c:pt>
                  <c:pt idx="66">
                    <c:v>Cardiologist</c:v>
                  </c:pt>
                  <c:pt idx="67">
                    <c:v>Orthopedic</c:v>
                  </c:pt>
                  <c:pt idx="68">
                    <c:v>Pediatrician</c:v>
                  </c:pt>
                  <c:pt idx="69">
                    <c:v>Gynecologist</c:v>
                  </c:pt>
                  <c:pt idx="70">
                    <c:v>General Physician</c:v>
                  </c:pt>
                  <c:pt idx="71">
                    <c:v>Orthopedic</c:v>
                  </c:pt>
                  <c:pt idx="72">
                    <c:v>General Physician</c:v>
                  </c:pt>
                  <c:pt idx="73">
                    <c:v>Gynecologist</c:v>
                  </c:pt>
                  <c:pt idx="74">
                    <c:v>Pediatrician</c:v>
                  </c:pt>
                  <c:pt idx="75">
                    <c:v>Dermatologist</c:v>
                  </c:pt>
                  <c:pt idx="76">
                    <c:v>Cardiologist</c:v>
                  </c:pt>
                  <c:pt idx="77">
                    <c:v>Cardiologist</c:v>
                  </c:pt>
                  <c:pt idx="78">
                    <c:v>Gynecologist</c:v>
                  </c:pt>
                  <c:pt idx="79">
                    <c:v>Dermatologist</c:v>
                  </c:pt>
                  <c:pt idx="80">
                    <c:v>Pediatrician</c:v>
                  </c:pt>
                  <c:pt idx="81">
                    <c:v>Cardiologist</c:v>
                  </c:pt>
                  <c:pt idx="82">
                    <c:v>Gynecologist</c:v>
                  </c:pt>
                  <c:pt idx="83">
                    <c:v>Orthopedic</c:v>
                  </c:pt>
                  <c:pt idx="84">
                    <c:v>Pediatrician</c:v>
                  </c:pt>
                  <c:pt idx="85">
                    <c:v>General Physician</c:v>
                  </c:pt>
                  <c:pt idx="86">
                    <c:v>Dermatologist</c:v>
                  </c:pt>
                  <c:pt idx="87">
                    <c:v>Pediatrician</c:v>
                  </c:pt>
                  <c:pt idx="88">
                    <c:v>Cardiologist</c:v>
                  </c:pt>
                  <c:pt idx="89">
                    <c:v>Dermatologist</c:v>
                  </c:pt>
                  <c:pt idx="90">
                    <c:v>Gynecologist</c:v>
                  </c:pt>
                </c:lvl>
                <c:lvl>
                  <c:pt idx="0">
                    <c:v>Dhaka</c:v>
                  </c:pt>
                  <c:pt idx="6">
                    <c:v>Chattogram</c:v>
                  </c:pt>
                  <c:pt idx="12">
                    <c:v>Khulna</c:v>
                  </c:pt>
                  <c:pt idx="18">
                    <c:v>Rajshahi</c:v>
                  </c:pt>
                  <c:pt idx="24">
                    <c:v>Sylhet</c:v>
                  </c:pt>
                  <c:pt idx="30">
                    <c:v>Mymensingh</c:v>
                  </c:pt>
                  <c:pt idx="36">
                    <c:v>Rangpur</c:v>
                  </c:pt>
                  <c:pt idx="41">
                    <c:v>Barishal</c:v>
                  </c:pt>
                  <c:pt idx="47">
                    <c:v>Dhaka</c:v>
                  </c:pt>
                  <c:pt idx="53">
                    <c:v>Chattogram</c:v>
                  </c:pt>
                  <c:pt idx="59">
                    <c:v>Rajshahi</c:v>
                  </c:pt>
                  <c:pt idx="65">
                    <c:v>Khulna</c:v>
                  </c:pt>
                  <c:pt idx="71">
                    <c:v>Sylhet</c:v>
                  </c:pt>
                  <c:pt idx="77">
                    <c:v>Mymensingh</c:v>
                  </c:pt>
                  <c:pt idx="81">
                    <c:v>Barishal</c:v>
                  </c:pt>
                  <c:pt idx="87">
                    <c:v>Rangpur</c:v>
                  </c:pt>
                </c:lvl>
                <c:lvl>
                  <c:pt idx="0">
                    <c:v>2023</c:v>
                  </c:pt>
                  <c:pt idx="47">
                    <c:v>2024</c:v>
                  </c:pt>
                </c:lvl>
              </c:multiLvlStrCache>
            </c:multiLvlStrRef>
          </c:cat>
          <c:val>
            <c:numRef>
              <c:f>'Wait Days Visualization'!$D$89:$D$198</c:f>
              <c:numCache>
                <c:formatCode>General</c:formatCode>
                <c:ptCount val="91"/>
                <c:pt idx="0">
                  <c:v>189</c:v>
                </c:pt>
                <c:pt idx="1">
                  <c:v>139</c:v>
                </c:pt>
                <c:pt idx="2">
                  <c:v>125</c:v>
                </c:pt>
                <c:pt idx="3">
                  <c:v>110</c:v>
                </c:pt>
                <c:pt idx="4">
                  <c:v>89</c:v>
                </c:pt>
                <c:pt idx="5">
                  <c:v>62</c:v>
                </c:pt>
                <c:pt idx="6">
                  <c:v>179</c:v>
                </c:pt>
                <c:pt idx="7">
                  <c:v>139</c:v>
                </c:pt>
                <c:pt idx="8">
                  <c:v>110</c:v>
                </c:pt>
                <c:pt idx="9">
                  <c:v>87</c:v>
                </c:pt>
                <c:pt idx="10">
                  <c:v>74</c:v>
                </c:pt>
                <c:pt idx="11">
                  <c:v>35</c:v>
                </c:pt>
                <c:pt idx="12">
                  <c:v>83</c:v>
                </c:pt>
                <c:pt idx="13">
                  <c:v>62</c:v>
                </c:pt>
                <c:pt idx="14">
                  <c:v>55</c:v>
                </c:pt>
                <c:pt idx="15">
                  <c:v>51</c:v>
                </c:pt>
                <c:pt idx="16">
                  <c:v>43</c:v>
                </c:pt>
                <c:pt idx="17">
                  <c:v>30</c:v>
                </c:pt>
                <c:pt idx="18">
                  <c:v>137</c:v>
                </c:pt>
                <c:pt idx="19">
                  <c:v>39</c:v>
                </c:pt>
                <c:pt idx="20">
                  <c:v>30</c:v>
                </c:pt>
                <c:pt idx="21">
                  <c:v>29</c:v>
                </c:pt>
                <c:pt idx="22">
                  <c:v>26</c:v>
                </c:pt>
                <c:pt idx="23">
                  <c:v>22</c:v>
                </c:pt>
                <c:pt idx="24">
                  <c:v>53</c:v>
                </c:pt>
                <c:pt idx="25">
                  <c:v>50</c:v>
                </c:pt>
                <c:pt idx="26">
                  <c:v>44</c:v>
                </c:pt>
                <c:pt idx="27">
                  <c:v>38</c:v>
                </c:pt>
                <c:pt idx="28">
                  <c:v>17</c:v>
                </c:pt>
                <c:pt idx="29">
                  <c:v>10</c:v>
                </c:pt>
                <c:pt idx="30">
                  <c:v>43</c:v>
                </c:pt>
                <c:pt idx="31">
                  <c:v>38</c:v>
                </c:pt>
                <c:pt idx="32">
                  <c:v>37</c:v>
                </c:pt>
                <c:pt idx="33">
                  <c:v>29</c:v>
                </c:pt>
                <c:pt idx="34">
                  <c:v>17</c:v>
                </c:pt>
                <c:pt idx="35">
                  <c:v>1</c:v>
                </c:pt>
                <c:pt idx="36">
                  <c:v>57</c:v>
                </c:pt>
                <c:pt idx="37">
                  <c:v>15</c:v>
                </c:pt>
                <c:pt idx="38">
                  <c:v>8</c:v>
                </c:pt>
                <c:pt idx="39">
                  <c:v>7</c:v>
                </c:pt>
                <c:pt idx="40">
                  <c:v>7</c:v>
                </c:pt>
                <c:pt idx="41">
                  <c:v>34</c:v>
                </c:pt>
                <c:pt idx="42">
                  <c:v>24</c:v>
                </c:pt>
                <c:pt idx="43">
                  <c:v>9</c:v>
                </c:pt>
                <c:pt idx="44">
                  <c:v>9</c:v>
                </c:pt>
                <c:pt idx="45">
                  <c:v>4</c:v>
                </c:pt>
                <c:pt idx="46">
                  <c:v>3</c:v>
                </c:pt>
                <c:pt idx="47">
                  <c:v>217</c:v>
                </c:pt>
                <c:pt idx="48">
                  <c:v>178</c:v>
                </c:pt>
                <c:pt idx="49">
                  <c:v>164</c:v>
                </c:pt>
                <c:pt idx="50">
                  <c:v>164</c:v>
                </c:pt>
                <c:pt idx="51">
                  <c:v>143</c:v>
                </c:pt>
                <c:pt idx="52">
                  <c:v>81</c:v>
                </c:pt>
                <c:pt idx="53">
                  <c:v>127</c:v>
                </c:pt>
                <c:pt idx="54">
                  <c:v>126</c:v>
                </c:pt>
                <c:pt idx="55">
                  <c:v>84</c:v>
                </c:pt>
                <c:pt idx="56">
                  <c:v>79</c:v>
                </c:pt>
                <c:pt idx="57">
                  <c:v>67</c:v>
                </c:pt>
                <c:pt idx="58">
                  <c:v>55</c:v>
                </c:pt>
                <c:pt idx="59">
                  <c:v>103</c:v>
                </c:pt>
                <c:pt idx="60">
                  <c:v>78</c:v>
                </c:pt>
                <c:pt idx="61">
                  <c:v>69</c:v>
                </c:pt>
                <c:pt idx="62">
                  <c:v>64</c:v>
                </c:pt>
                <c:pt idx="63">
                  <c:v>40</c:v>
                </c:pt>
                <c:pt idx="64">
                  <c:v>20</c:v>
                </c:pt>
                <c:pt idx="65">
                  <c:v>81</c:v>
                </c:pt>
                <c:pt idx="66">
                  <c:v>61</c:v>
                </c:pt>
                <c:pt idx="67">
                  <c:v>58</c:v>
                </c:pt>
                <c:pt idx="68">
                  <c:v>54</c:v>
                </c:pt>
                <c:pt idx="69">
                  <c:v>46</c:v>
                </c:pt>
                <c:pt idx="70">
                  <c:v>14</c:v>
                </c:pt>
                <c:pt idx="71">
                  <c:v>92</c:v>
                </c:pt>
                <c:pt idx="72">
                  <c:v>82</c:v>
                </c:pt>
                <c:pt idx="73">
                  <c:v>38</c:v>
                </c:pt>
                <c:pt idx="74">
                  <c:v>29</c:v>
                </c:pt>
                <c:pt idx="75">
                  <c:v>26</c:v>
                </c:pt>
                <c:pt idx="76">
                  <c:v>9</c:v>
                </c:pt>
                <c:pt idx="77">
                  <c:v>51</c:v>
                </c:pt>
                <c:pt idx="78">
                  <c:v>37</c:v>
                </c:pt>
                <c:pt idx="79">
                  <c:v>20</c:v>
                </c:pt>
                <c:pt idx="80">
                  <c:v>13</c:v>
                </c:pt>
                <c:pt idx="81">
                  <c:v>29</c:v>
                </c:pt>
                <c:pt idx="82">
                  <c:v>26</c:v>
                </c:pt>
                <c:pt idx="83">
                  <c:v>25</c:v>
                </c:pt>
                <c:pt idx="84">
                  <c:v>20</c:v>
                </c:pt>
                <c:pt idx="85">
                  <c:v>19</c:v>
                </c:pt>
                <c:pt idx="86">
                  <c:v>2</c:v>
                </c:pt>
                <c:pt idx="87">
                  <c:v>23</c:v>
                </c:pt>
                <c:pt idx="88">
                  <c:v>20</c:v>
                </c:pt>
                <c:pt idx="89">
                  <c:v>9</c:v>
                </c:pt>
                <c:pt idx="9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A0-4CB5-8D1F-DD381029B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2"/>
        <c:overlap val="-27"/>
        <c:axId val="127000071"/>
        <c:axId val="621079559"/>
      </c:barChart>
      <c:catAx>
        <c:axId val="1270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79559"/>
        <c:crosses val="autoZero"/>
        <c:auto val="1"/>
        <c:lblAlgn val="ctr"/>
        <c:lblOffset val="100"/>
        <c:noMultiLvlLbl val="0"/>
      </c:catAx>
      <c:valAx>
        <c:axId val="621079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00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2</xdr:row>
      <xdr:rowOff>76200</xdr:rowOff>
    </xdr:from>
    <xdr:to>
      <xdr:col>24</xdr:col>
      <xdr:colOff>38100</xdr:colOff>
      <xdr:row>24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9F9EFC-F7E3-C998-D93B-C912FD5DB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219075</xdr:colOff>
      <xdr:row>52</xdr:row>
      <xdr:rowOff>152400</xdr:rowOff>
    </xdr:from>
    <xdr:to>
      <xdr:col>26</xdr:col>
      <xdr:colOff>590550</xdr:colOff>
      <xdr:row>75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D216D6-536E-24F1-3CAB-9A6FADFACEAA}"/>
            </a:ext>
            <a:ext uri="{147F2762-F138-4A5C-976F-8EAC2B608ADB}">
              <a16:predDERef xmlns:a16="http://schemas.microsoft.com/office/drawing/2014/main" pred="{349F9EFC-F7E3-C998-D93B-C912FD5DB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2</xdr:row>
      <xdr:rowOff>28575</xdr:rowOff>
    </xdr:from>
    <xdr:to>
      <xdr:col>27</xdr:col>
      <xdr:colOff>76200</xdr:colOff>
      <xdr:row>26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9D22BD-BA44-5F67-190A-1AF554910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400050</xdr:colOff>
      <xdr:row>87</xdr:row>
      <xdr:rowOff>0</xdr:rowOff>
    </xdr:from>
    <xdr:to>
      <xdr:col>31</xdr:col>
      <xdr:colOff>95250</xdr:colOff>
      <xdr:row>110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BBA3BC-0835-110F-8F98-93EBE57880D8}"/>
            </a:ext>
            <a:ext uri="{147F2762-F138-4A5C-976F-8EAC2B608ADB}">
              <a16:predDERef xmlns:a16="http://schemas.microsoft.com/office/drawing/2014/main" pred="{CD9D22BD-BA44-5F67-190A-1AF554910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7.900518634262" createdVersion="8" refreshedVersion="8" minRefreshableVersion="3" recordCount="500" xr:uid="{9EC2A9EC-312C-4BDB-ACEE-7B62ED0B6ECA}">
  <cacheSource type="worksheet">
    <worksheetSource name="Table1"/>
  </cacheSource>
  <cacheFields count="15">
    <cacheField name="Age" numFmtId="0">
      <sharedItems containsSemiMixedTypes="0" containsString="0" containsNumber="1" containsInteger="1" minValue="5" maxValue="79"/>
    </cacheField>
    <cacheField name="Gender" numFmtId="0">
      <sharedItems/>
    </cacheField>
    <cacheField name="Division" numFmtId="0">
      <sharedItems count="8">
        <s v="Chattogram"/>
        <s v="Barishal"/>
        <s v="Dhaka"/>
        <s v="Rajshahi"/>
        <s v="Mymensingh"/>
        <s v="Khulna"/>
        <s v="Sylhet"/>
        <s v="Rangpur"/>
      </sharedItems>
    </cacheField>
    <cacheField name="Doctor Specialty" numFmtId="0">
      <sharedItems count="6">
        <s v="Gynecologist"/>
        <s v="Cardiologist"/>
        <s v="Pediatrician"/>
        <s v="Orthopedic"/>
        <s v="General Physician"/>
        <s v="Dermatologist"/>
      </sharedItems>
    </cacheField>
    <cacheField name="Appointment Status" numFmtId="0">
      <sharedItems count="3">
        <s v="Completed"/>
        <s v="Cancelled"/>
        <s v="No-show"/>
      </sharedItems>
    </cacheField>
    <cacheField name="Consultation Fee" numFmtId="0">
      <sharedItems containsSemiMixedTypes="0" containsString="0" containsNumber="1" containsInteger="1" minValue="412" maxValue="1699"/>
    </cacheField>
    <cacheField name="Wait Days" numFmtId="0">
      <sharedItems containsSemiMixedTypes="0" containsString="0" containsNumber="1" containsInteger="1" minValue="1" maxValue="20"/>
    </cacheField>
    <cacheField name="Appointment Date" numFmtId="14">
      <sharedItems containsSemiMixedTypes="0" containsNonDate="0" containsDate="1" containsString="0" minDate="2023-01-02T00:00:00" maxDate="2024-12-27T00:00:00"/>
    </cacheField>
    <cacheField name="Age Group" numFmtId="0">
      <sharedItems count="4">
        <s v="Senior (56+)"/>
        <s v="Young Adult (18-35)"/>
        <s v="Child (0-17)"/>
        <s v="Middle Age (36-55)"/>
      </sharedItems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23" maxValue="2024" count="2">
        <n v="2023"/>
        <n v="2024"/>
      </sharedItems>
    </cacheField>
    <cacheField name="Month Name" numFmtId="0">
      <sharedItems count="12">
        <s v="Nov"/>
        <s v="Jun"/>
        <s v="Feb"/>
        <s v="Mar"/>
        <s v="Apr"/>
        <s v="May"/>
        <s v="Sep"/>
        <s v="Dec"/>
        <s v="Oct"/>
        <s v="Aug"/>
        <s v="Jan"/>
        <s v="Jul"/>
      </sharedItems>
    </cacheField>
    <cacheField name="Day of Week" numFmtId="0">
      <sharedItems/>
    </cacheField>
    <cacheField name="Day Type" numFmtId="0">
      <sharedItems count="2">
        <s v="Weekday"/>
        <s v="Weekend"/>
      </sharedItems>
    </cacheField>
    <cacheField name="Quarter" numFmtId="0">
      <sharedItems count="4">
        <s v="Q4"/>
        <s v="Q2"/>
        <s v="Q1"/>
        <s v="Q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56"/>
    <s v="Female"/>
    <x v="0"/>
    <x v="0"/>
    <x v="0"/>
    <n v="914"/>
    <n v="4"/>
    <d v="2023-11-19T00:00:00"/>
    <x v="0"/>
    <n v="11"/>
    <x v="0"/>
    <x v="0"/>
    <s v="Sunday"/>
    <x v="0"/>
    <x v="0"/>
  </r>
  <r>
    <n v="19"/>
    <s v="Male"/>
    <x v="1"/>
    <x v="1"/>
    <x v="0"/>
    <n v="1546"/>
    <n v="6"/>
    <d v="2024-06-07T00:00:00"/>
    <x v="1"/>
    <n v="6"/>
    <x v="1"/>
    <x v="1"/>
    <s v="Friday"/>
    <x v="1"/>
    <x v="1"/>
  </r>
  <r>
    <n v="76"/>
    <s v="Female"/>
    <x v="2"/>
    <x v="2"/>
    <x v="0"/>
    <n v="725"/>
    <n v="1"/>
    <d v="2023-02-27T00:00:00"/>
    <x v="0"/>
    <n v="2"/>
    <x v="0"/>
    <x v="2"/>
    <s v="Monday"/>
    <x v="0"/>
    <x v="2"/>
  </r>
  <r>
    <n v="65"/>
    <s v="Male"/>
    <x v="0"/>
    <x v="1"/>
    <x v="0"/>
    <n v="1492"/>
    <n v="20"/>
    <d v="2024-03-17T00:00:00"/>
    <x v="0"/>
    <n v="3"/>
    <x v="1"/>
    <x v="3"/>
    <s v="Sunday"/>
    <x v="0"/>
    <x v="2"/>
  </r>
  <r>
    <n v="25"/>
    <s v="Male"/>
    <x v="2"/>
    <x v="3"/>
    <x v="1"/>
    <n v="1331"/>
    <n v="16"/>
    <d v="2023-04-06T00:00:00"/>
    <x v="1"/>
    <n v="4"/>
    <x v="0"/>
    <x v="4"/>
    <s v="Thursday"/>
    <x v="0"/>
    <x v="1"/>
  </r>
  <r>
    <n v="79"/>
    <s v="Female"/>
    <x v="3"/>
    <x v="4"/>
    <x v="0"/>
    <n v="420"/>
    <n v="15"/>
    <d v="2023-11-19T00:00:00"/>
    <x v="0"/>
    <n v="11"/>
    <x v="0"/>
    <x v="0"/>
    <s v="Sunday"/>
    <x v="0"/>
    <x v="0"/>
  </r>
  <r>
    <n v="79"/>
    <s v="Male"/>
    <x v="1"/>
    <x v="0"/>
    <x v="0"/>
    <n v="937"/>
    <n v="17"/>
    <d v="2024-05-24T00:00:00"/>
    <x v="0"/>
    <n v="5"/>
    <x v="1"/>
    <x v="5"/>
    <s v="Friday"/>
    <x v="1"/>
    <x v="1"/>
  </r>
  <r>
    <n v="28"/>
    <s v="Female"/>
    <x v="1"/>
    <x v="1"/>
    <x v="1"/>
    <n v="1675"/>
    <n v="8"/>
    <d v="2023-09-06T00:00:00"/>
    <x v="1"/>
    <n v="9"/>
    <x v="0"/>
    <x v="6"/>
    <s v="Wednesday"/>
    <x v="0"/>
    <x v="3"/>
  </r>
  <r>
    <n v="7"/>
    <s v="Female"/>
    <x v="2"/>
    <x v="4"/>
    <x v="0"/>
    <n v="556"/>
    <n v="12"/>
    <d v="2023-12-02T00:00:00"/>
    <x v="2"/>
    <n v="12"/>
    <x v="0"/>
    <x v="7"/>
    <s v="Saturday"/>
    <x v="1"/>
    <x v="0"/>
  </r>
  <r>
    <n v="26"/>
    <s v="Female"/>
    <x v="4"/>
    <x v="2"/>
    <x v="1"/>
    <n v="878"/>
    <n v="10"/>
    <d v="2024-04-06T00:00:00"/>
    <x v="1"/>
    <n v="4"/>
    <x v="1"/>
    <x v="4"/>
    <s v="Saturday"/>
    <x v="1"/>
    <x v="1"/>
  </r>
  <r>
    <n v="57"/>
    <s v="Female"/>
    <x v="3"/>
    <x v="4"/>
    <x v="0"/>
    <n v="531"/>
    <n v="15"/>
    <d v="2024-11-23T00:00:00"/>
    <x v="0"/>
    <n v="11"/>
    <x v="1"/>
    <x v="0"/>
    <s v="Saturday"/>
    <x v="1"/>
    <x v="0"/>
  </r>
  <r>
    <n v="6"/>
    <s v="Female"/>
    <x v="0"/>
    <x v="0"/>
    <x v="2"/>
    <n v="927"/>
    <n v="9"/>
    <d v="2024-09-05T00:00:00"/>
    <x v="2"/>
    <n v="9"/>
    <x v="1"/>
    <x v="6"/>
    <s v="Thursday"/>
    <x v="0"/>
    <x v="3"/>
  </r>
  <r>
    <n v="34"/>
    <s v="Female"/>
    <x v="5"/>
    <x v="1"/>
    <x v="0"/>
    <n v="1659"/>
    <n v="2"/>
    <d v="2023-11-19T00:00:00"/>
    <x v="1"/>
    <n v="11"/>
    <x v="0"/>
    <x v="0"/>
    <s v="Sunday"/>
    <x v="0"/>
    <x v="0"/>
  </r>
  <r>
    <n v="42"/>
    <s v="Female"/>
    <x v="0"/>
    <x v="3"/>
    <x v="0"/>
    <n v="1175"/>
    <n v="5"/>
    <d v="2023-10-20T00:00:00"/>
    <x v="3"/>
    <n v="10"/>
    <x v="0"/>
    <x v="8"/>
    <s v="Friday"/>
    <x v="1"/>
    <x v="0"/>
  </r>
  <r>
    <n v="6"/>
    <s v="Female"/>
    <x v="0"/>
    <x v="2"/>
    <x v="0"/>
    <n v="766"/>
    <n v="6"/>
    <d v="2023-03-04T00:00:00"/>
    <x v="2"/>
    <n v="3"/>
    <x v="0"/>
    <x v="3"/>
    <s v="Saturday"/>
    <x v="1"/>
    <x v="2"/>
  </r>
  <r>
    <n v="68"/>
    <s v="Male"/>
    <x v="5"/>
    <x v="1"/>
    <x v="2"/>
    <n v="1593"/>
    <n v="7"/>
    <d v="2024-08-22T00:00:00"/>
    <x v="0"/>
    <n v="8"/>
    <x v="1"/>
    <x v="9"/>
    <s v="Thursday"/>
    <x v="0"/>
    <x v="3"/>
  </r>
  <r>
    <n v="64"/>
    <s v="Male"/>
    <x v="2"/>
    <x v="0"/>
    <x v="1"/>
    <n v="1061"/>
    <n v="1"/>
    <d v="2023-12-26T00:00:00"/>
    <x v="0"/>
    <n v="12"/>
    <x v="0"/>
    <x v="7"/>
    <s v="Tuesday"/>
    <x v="0"/>
    <x v="0"/>
  </r>
  <r>
    <n v="25"/>
    <s v="Female"/>
    <x v="2"/>
    <x v="2"/>
    <x v="0"/>
    <n v="956"/>
    <n v="7"/>
    <d v="2023-01-17T00:00:00"/>
    <x v="1"/>
    <n v="1"/>
    <x v="0"/>
    <x v="10"/>
    <s v="Tuesday"/>
    <x v="0"/>
    <x v="2"/>
  </r>
  <r>
    <n v="37"/>
    <s v="Male"/>
    <x v="0"/>
    <x v="5"/>
    <x v="0"/>
    <n v="971"/>
    <n v="20"/>
    <d v="2023-11-11T00:00:00"/>
    <x v="3"/>
    <n v="11"/>
    <x v="0"/>
    <x v="0"/>
    <s v="Saturday"/>
    <x v="1"/>
    <x v="0"/>
  </r>
  <r>
    <n v="62"/>
    <s v="Male"/>
    <x v="2"/>
    <x v="4"/>
    <x v="2"/>
    <n v="486"/>
    <n v="12"/>
    <d v="2023-09-04T00:00:00"/>
    <x v="0"/>
    <n v="9"/>
    <x v="0"/>
    <x v="6"/>
    <s v="Monday"/>
    <x v="0"/>
    <x v="3"/>
  </r>
  <r>
    <n v="26"/>
    <s v="Male"/>
    <x v="0"/>
    <x v="0"/>
    <x v="0"/>
    <n v="1161"/>
    <n v="16"/>
    <d v="2023-09-26T00:00:00"/>
    <x v="1"/>
    <n v="9"/>
    <x v="0"/>
    <x v="6"/>
    <s v="Tuesday"/>
    <x v="0"/>
    <x v="3"/>
  </r>
  <r>
    <n v="53"/>
    <s v="Male"/>
    <x v="3"/>
    <x v="5"/>
    <x v="1"/>
    <n v="1113"/>
    <n v="16"/>
    <d v="2023-10-13T00:00:00"/>
    <x v="3"/>
    <n v="10"/>
    <x v="0"/>
    <x v="8"/>
    <s v="Friday"/>
    <x v="1"/>
    <x v="0"/>
  </r>
  <r>
    <n v="63"/>
    <s v="Female"/>
    <x v="5"/>
    <x v="1"/>
    <x v="1"/>
    <n v="1552"/>
    <n v="11"/>
    <d v="2023-02-20T00:00:00"/>
    <x v="0"/>
    <n v="2"/>
    <x v="0"/>
    <x v="2"/>
    <s v="Monday"/>
    <x v="0"/>
    <x v="2"/>
  </r>
  <r>
    <n v="46"/>
    <s v="Female"/>
    <x v="5"/>
    <x v="3"/>
    <x v="0"/>
    <n v="1309"/>
    <n v="4"/>
    <d v="2024-04-26T00:00:00"/>
    <x v="3"/>
    <n v="4"/>
    <x v="1"/>
    <x v="4"/>
    <s v="Friday"/>
    <x v="1"/>
    <x v="1"/>
  </r>
  <r>
    <n v="64"/>
    <s v="Male"/>
    <x v="6"/>
    <x v="2"/>
    <x v="0"/>
    <n v="760"/>
    <n v="13"/>
    <d v="2024-08-17T00:00:00"/>
    <x v="0"/>
    <n v="8"/>
    <x v="1"/>
    <x v="9"/>
    <s v="Saturday"/>
    <x v="1"/>
    <x v="3"/>
  </r>
  <r>
    <n v="19"/>
    <s v="Female"/>
    <x v="5"/>
    <x v="4"/>
    <x v="0"/>
    <n v="667"/>
    <n v="7"/>
    <d v="2024-07-09T00:00:00"/>
    <x v="1"/>
    <n v="7"/>
    <x v="1"/>
    <x v="11"/>
    <s v="Tuesday"/>
    <x v="0"/>
    <x v="3"/>
  </r>
  <r>
    <n v="66"/>
    <s v="Female"/>
    <x v="5"/>
    <x v="2"/>
    <x v="0"/>
    <n v="961"/>
    <n v="4"/>
    <d v="2023-01-04T00:00:00"/>
    <x v="0"/>
    <n v="1"/>
    <x v="0"/>
    <x v="10"/>
    <s v="Wednesday"/>
    <x v="0"/>
    <x v="2"/>
  </r>
  <r>
    <n v="66"/>
    <s v="Male"/>
    <x v="2"/>
    <x v="1"/>
    <x v="2"/>
    <n v="1617"/>
    <n v="15"/>
    <d v="2023-05-23T00:00:00"/>
    <x v="0"/>
    <n v="5"/>
    <x v="0"/>
    <x v="5"/>
    <s v="Tuesday"/>
    <x v="0"/>
    <x v="1"/>
  </r>
  <r>
    <n v="51"/>
    <s v="Female"/>
    <x v="0"/>
    <x v="2"/>
    <x v="0"/>
    <n v="982"/>
    <n v="19"/>
    <d v="2024-07-14T00:00:00"/>
    <x v="3"/>
    <n v="7"/>
    <x v="1"/>
    <x v="11"/>
    <s v="Sunday"/>
    <x v="0"/>
    <x v="3"/>
  </r>
  <r>
    <n v="66"/>
    <s v="Male"/>
    <x v="0"/>
    <x v="4"/>
    <x v="2"/>
    <n v="535"/>
    <n v="9"/>
    <d v="2023-04-19T00:00:00"/>
    <x v="0"/>
    <n v="4"/>
    <x v="0"/>
    <x v="4"/>
    <s v="Wednesday"/>
    <x v="0"/>
    <x v="1"/>
  </r>
  <r>
    <n v="55"/>
    <s v="Male"/>
    <x v="2"/>
    <x v="1"/>
    <x v="0"/>
    <n v="1492"/>
    <n v="11"/>
    <d v="2024-01-26T00:00:00"/>
    <x v="3"/>
    <n v="1"/>
    <x v="1"/>
    <x v="10"/>
    <s v="Friday"/>
    <x v="1"/>
    <x v="2"/>
  </r>
  <r>
    <n v="59"/>
    <s v="Female"/>
    <x v="0"/>
    <x v="2"/>
    <x v="2"/>
    <n v="808"/>
    <n v="8"/>
    <d v="2023-09-03T00:00:00"/>
    <x v="0"/>
    <n v="9"/>
    <x v="0"/>
    <x v="6"/>
    <s v="Sunday"/>
    <x v="0"/>
    <x v="3"/>
  </r>
  <r>
    <n v="68"/>
    <s v="Male"/>
    <x v="0"/>
    <x v="3"/>
    <x v="0"/>
    <n v="1340"/>
    <n v="1"/>
    <d v="2023-05-14T00:00:00"/>
    <x v="0"/>
    <n v="5"/>
    <x v="0"/>
    <x v="5"/>
    <s v="Sunday"/>
    <x v="0"/>
    <x v="1"/>
  </r>
  <r>
    <n v="7"/>
    <s v="Female"/>
    <x v="6"/>
    <x v="0"/>
    <x v="0"/>
    <n v="1041"/>
    <n v="8"/>
    <d v="2024-11-08T00:00:00"/>
    <x v="2"/>
    <n v="11"/>
    <x v="1"/>
    <x v="0"/>
    <s v="Friday"/>
    <x v="1"/>
    <x v="0"/>
  </r>
  <r>
    <n v="55"/>
    <s v="Female"/>
    <x v="7"/>
    <x v="1"/>
    <x v="0"/>
    <n v="1690"/>
    <n v="13"/>
    <d v="2024-02-24T00:00:00"/>
    <x v="3"/>
    <n v="2"/>
    <x v="1"/>
    <x v="2"/>
    <s v="Saturday"/>
    <x v="1"/>
    <x v="2"/>
  </r>
  <r>
    <n v="11"/>
    <s v="Male"/>
    <x v="3"/>
    <x v="0"/>
    <x v="1"/>
    <n v="1136"/>
    <n v="4"/>
    <d v="2024-08-27T00:00:00"/>
    <x v="2"/>
    <n v="8"/>
    <x v="1"/>
    <x v="9"/>
    <s v="Tuesday"/>
    <x v="0"/>
    <x v="3"/>
  </r>
  <r>
    <n v="25"/>
    <s v="Female"/>
    <x v="2"/>
    <x v="1"/>
    <x v="0"/>
    <n v="1576"/>
    <n v="8"/>
    <d v="2024-11-01T00:00:00"/>
    <x v="1"/>
    <n v="11"/>
    <x v="1"/>
    <x v="0"/>
    <s v="Friday"/>
    <x v="1"/>
    <x v="0"/>
  </r>
  <r>
    <n v="77"/>
    <s v="Female"/>
    <x v="2"/>
    <x v="3"/>
    <x v="1"/>
    <n v="1240"/>
    <n v="3"/>
    <d v="2024-02-10T00:00:00"/>
    <x v="0"/>
    <n v="2"/>
    <x v="1"/>
    <x v="2"/>
    <s v="Saturday"/>
    <x v="1"/>
    <x v="2"/>
  </r>
  <r>
    <n v="43"/>
    <s v="Male"/>
    <x v="4"/>
    <x v="0"/>
    <x v="0"/>
    <n v="1088"/>
    <n v="9"/>
    <d v="2023-03-18T00:00:00"/>
    <x v="3"/>
    <n v="3"/>
    <x v="0"/>
    <x v="3"/>
    <s v="Saturday"/>
    <x v="1"/>
    <x v="2"/>
  </r>
  <r>
    <n v="22"/>
    <s v="Female"/>
    <x v="4"/>
    <x v="5"/>
    <x v="0"/>
    <n v="948"/>
    <n v="2"/>
    <d v="2023-10-16T00:00:00"/>
    <x v="1"/>
    <n v="10"/>
    <x v="0"/>
    <x v="8"/>
    <s v="Monday"/>
    <x v="0"/>
    <x v="0"/>
  </r>
  <r>
    <n v="8"/>
    <s v="Female"/>
    <x v="2"/>
    <x v="4"/>
    <x v="0"/>
    <n v="589"/>
    <n v="2"/>
    <d v="2023-01-08T00:00:00"/>
    <x v="2"/>
    <n v="1"/>
    <x v="0"/>
    <x v="10"/>
    <s v="Sunday"/>
    <x v="0"/>
    <x v="2"/>
  </r>
  <r>
    <n v="64"/>
    <s v="Female"/>
    <x v="5"/>
    <x v="5"/>
    <x v="0"/>
    <n v="1035"/>
    <n v="13"/>
    <d v="2024-11-01T00:00:00"/>
    <x v="0"/>
    <n v="11"/>
    <x v="1"/>
    <x v="0"/>
    <s v="Friday"/>
    <x v="1"/>
    <x v="0"/>
  </r>
  <r>
    <n v="18"/>
    <s v="Female"/>
    <x v="2"/>
    <x v="2"/>
    <x v="0"/>
    <n v="742"/>
    <n v="15"/>
    <d v="2024-02-12T00:00:00"/>
    <x v="1"/>
    <n v="2"/>
    <x v="1"/>
    <x v="2"/>
    <s v="Monday"/>
    <x v="0"/>
    <x v="2"/>
  </r>
  <r>
    <n v="13"/>
    <s v="Male"/>
    <x v="2"/>
    <x v="3"/>
    <x v="2"/>
    <n v="1189"/>
    <n v="12"/>
    <d v="2024-07-08T00:00:00"/>
    <x v="2"/>
    <n v="7"/>
    <x v="1"/>
    <x v="11"/>
    <s v="Monday"/>
    <x v="0"/>
    <x v="3"/>
  </r>
  <r>
    <n v="57"/>
    <s v="Female"/>
    <x v="2"/>
    <x v="5"/>
    <x v="2"/>
    <n v="1194"/>
    <n v="4"/>
    <d v="2024-10-24T00:00:00"/>
    <x v="0"/>
    <n v="10"/>
    <x v="1"/>
    <x v="8"/>
    <s v="Thursday"/>
    <x v="0"/>
    <x v="0"/>
  </r>
  <r>
    <n v="6"/>
    <s v="Female"/>
    <x v="2"/>
    <x v="1"/>
    <x v="2"/>
    <n v="1644"/>
    <n v="8"/>
    <d v="2024-02-16T00:00:00"/>
    <x v="2"/>
    <n v="2"/>
    <x v="1"/>
    <x v="2"/>
    <s v="Friday"/>
    <x v="1"/>
    <x v="2"/>
  </r>
  <r>
    <n v="64"/>
    <s v="Female"/>
    <x v="7"/>
    <x v="2"/>
    <x v="1"/>
    <n v="891"/>
    <n v="9"/>
    <d v="2024-06-18T00:00:00"/>
    <x v="0"/>
    <n v="6"/>
    <x v="1"/>
    <x v="1"/>
    <s v="Tuesday"/>
    <x v="0"/>
    <x v="1"/>
  </r>
  <r>
    <n v="75"/>
    <s v="Female"/>
    <x v="5"/>
    <x v="2"/>
    <x v="0"/>
    <n v="805"/>
    <n v="5"/>
    <d v="2023-03-04T00:00:00"/>
    <x v="0"/>
    <n v="3"/>
    <x v="0"/>
    <x v="3"/>
    <s v="Saturday"/>
    <x v="1"/>
    <x v="2"/>
  </r>
  <r>
    <n v="48"/>
    <s v="Female"/>
    <x v="0"/>
    <x v="5"/>
    <x v="0"/>
    <n v="1132"/>
    <n v="20"/>
    <d v="2023-04-06T00:00:00"/>
    <x v="3"/>
    <n v="4"/>
    <x v="0"/>
    <x v="4"/>
    <s v="Thursday"/>
    <x v="0"/>
    <x v="1"/>
  </r>
  <r>
    <n v="12"/>
    <s v="Male"/>
    <x v="5"/>
    <x v="5"/>
    <x v="0"/>
    <n v="1164"/>
    <n v="18"/>
    <d v="2023-11-12T00:00:00"/>
    <x v="2"/>
    <n v="11"/>
    <x v="0"/>
    <x v="0"/>
    <s v="Sunday"/>
    <x v="0"/>
    <x v="0"/>
  </r>
  <r>
    <n v="51"/>
    <s v="Female"/>
    <x v="4"/>
    <x v="3"/>
    <x v="1"/>
    <n v="1136"/>
    <n v="11"/>
    <d v="2023-08-27T00:00:00"/>
    <x v="3"/>
    <n v="8"/>
    <x v="0"/>
    <x v="9"/>
    <s v="Sunday"/>
    <x v="0"/>
    <x v="3"/>
  </r>
  <r>
    <n v="39"/>
    <s v="Female"/>
    <x v="7"/>
    <x v="4"/>
    <x v="0"/>
    <n v="440"/>
    <n v="15"/>
    <d v="2023-03-09T00:00:00"/>
    <x v="3"/>
    <n v="3"/>
    <x v="0"/>
    <x v="3"/>
    <s v="Thursday"/>
    <x v="0"/>
    <x v="2"/>
  </r>
  <r>
    <n v="40"/>
    <s v="Female"/>
    <x v="2"/>
    <x v="5"/>
    <x v="0"/>
    <n v="916"/>
    <n v="9"/>
    <d v="2024-10-15T00:00:00"/>
    <x v="3"/>
    <n v="10"/>
    <x v="1"/>
    <x v="8"/>
    <s v="Tuesday"/>
    <x v="0"/>
    <x v="0"/>
  </r>
  <r>
    <n v="54"/>
    <s v="Female"/>
    <x v="0"/>
    <x v="5"/>
    <x v="0"/>
    <n v="1176"/>
    <n v="17"/>
    <d v="2024-06-16T00:00:00"/>
    <x v="3"/>
    <n v="6"/>
    <x v="1"/>
    <x v="1"/>
    <s v="Sunday"/>
    <x v="0"/>
    <x v="1"/>
  </r>
  <r>
    <n v="8"/>
    <s v="Male"/>
    <x v="2"/>
    <x v="0"/>
    <x v="0"/>
    <n v="958"/>
    <n v="12"/>
    <d v="2024-01-24T00:00:00"/>
    <x v="2"/>
    <n v="1"/>
    <x v="1"/>
    <x v="10"/>
    <s v="Wednesday"/>
    <x v="0"/>
    <x v="2"/>
  </r>
  <r>
    <n v="6"/>
    <s v="Male"/>
    <x v="2"/>
    <x v="1"/>
    <x v="2"/>
    <n v="1582"/>
    <n v="7"/>
    <d v="2024-07-12T00:00:00"/>
    <x v="2"/>
    <n v="7"/>
    <x v="1"/>
    <x v="11"/>
    <s v="Friday"/>
    <x v="1"/>
    <x v="3"/>
  </r>
  <r>
    <n v="10"/>
    <s v="Male"/>
    <x v="2"/>
    <x v="0"/>
    <x v="1"/>
    <n v="940"/>
    <n v="10"/>
    <d v="2024-08-24T00:00:00"/>
    <x v="2"/>
    <n v="8"/>
    <x v="1"/>
    <x v="9"/>
    <s v="Saturday"/>
    <x v="1"/>
    <x v="3"/>
  </r>
  <r>
    <n v="58"/>
    <s v="Male"/>
    <x v="3"/>
    <x v="0"/>
    <x v="0"/>
    <n v="938"/>
    <n v="10"/>
    <d v="2024-11-23T00:00:00"/>
    <x v="0"/>
    <n v="11"/>
    <x v="1"/>
    <x v="0"/>
    <s v="Saturday"/>
    <x v="1"/>
    <x v="0"/>
  </r>
  <r>
    <n v="8"/>
    <s v="Female"/>
    <x v="0"/>
    <x v="2"/>
    <x v="2"/>
    <n v="891"/>
    <n v="13"/>
    <d v="2023-08-14T00:00:00"/>
    <x v="2"/>
    <n v="8"/>
    <x v="0"/>
    <x v="9"/>
    <s v="Monday"/>
    <x v="0"/>
    <x v="3"/>
  </r>
  <r>
    <n v="58"/>
    <s v="Female"/>
    <x v="2"/>
    <x v="4"/>
    <x v="0"/>
    <n v="666"/>
    <n v="19"/>
    <d v="2024-03-13T00:00:00"/>
    <x v="0"/>
    <n v="3"/>
    <x v="1"/>
    <x v="3"/>
    <s v="Wednesday"/>
    <x v="0"/>
    <x v="2"/>
  </r>
  <r>
    <n v="67"/>
    <s v="Female"/>
    <x v="2"/>
    <x v="1"/>
    <x v="0"/>
    <n v="1546"/>
    <n v="11"/>
    <d v="2024-10-25T00:00:00"/>
    <x v="0"/>
    <n v="10"/>
    <x v="1"/>
    <x v="8"/>
    <s v="Friday"/>
    <x v="1"/>
    <x v="0"/>
  </r>
  <r>
    <n v="22"/>
    <s v="Male"/>
    <x v="0"/>
    <x v="3"/>
    <x v="0"/>
    <n v="1226"/>
    <n v="13"/>
    <d v="2024-01-02T00:00:00"/>
    <x v="1"/>
    <n v="1"/>
    <x v="1"/>
    <x v="10"/>
    <s v="Tuesday"/>
    <x v="0"/>
    <x v="2"/>
  </r>
  <r>
    <n v="48"/>
    <s v="Female"/>
    <x v="2"/>
    <x v="3"/>
    <x v="0"/>
    <n v="1145"/>
    <n v="8"/>
    <d v="2024-09-03T00:00:00"/>
    <x v="3"/>
    <n v="9"/>
    <x v="1"/>
    <x v="6"/>
    <s v="Tuesday"/>
    <x v="0"/>
    <x v="3"/>
  </r>
  <r>
    <n v="38"/>
    <s v="Male"/>
    <x v="0"/>
    <x v="5"/>
    <x v="0"/>
    <n v="944"/>
    <n v="8"/>
    <d v="2023-06-26T00:00:00"/>
    <x v="3"/>
    <n v="6"/>
    <x v="0"/>
    <x v="1"/>
    <s v="Monday"/>
    <x v="0"/>
    <x v="1"/>
  </r>
  <r>
    <n v="78"/>
    <s v="Male"/>
    <x v="2"/>
    <x v="5"/>
    <x v="2"/>
    <n v="900"/>
    <n v="4"/>
    <d v="2023-11-24T00:00:00"/>
    <x v="0"/>
    <n v="11"/>
    <x v="0"/>
    <x v="0"/>
    <s v="Friday"/>
    <x v="1"/>
    <x v="0"/>
  </r>
  <r>
    <n v="66"/>
    <s v="Female"/>
    <x v="2"/>
    <x v="3"/>
    <x v="0"/>
    <n v="1267"/>
    <n v="15"/>
    <d v="2024-09-22T00:00:00"/>
    <x v="0"/>
    <n v="9"/>
    <x v="1"/>
    <x v="6"/>
    <s v="Sunday"/>
    <x v="0"/>
    <x v="3"/>
  </r>
  <r>
    <n v="18"/>
    <s v="Female"/>
    <x v="0"/>
    <x v="5"/>
    <x v="2"/>
    <n v="1007"/>
    <n v="11"/>
    <d v="2023-07-10T00:00:00"/>
    <x v="1"/>
    <n v="7"/>
    <x v="0"/>
    <x v="11"/>
    <s v="Monday"/>
    <x v="0"/>
    <x v="3"/>
  </r>
  <r>
    <n v="52"/>
    <s v="Male"/>
    <x v="3"/>
    <x v="4"/>
    <x v="0"/>
    <n v="418"/>
    <n v="11"/>
    <d v="2023-01-09T00:00:00"/>
    <x v="3"/>
    <n v="1"/>
    <x v="0"/>
    <x v="10"/>
    <s v="Monday"/>
    <x v="0"/>
    <x v="2"/>
  </r>
  <r>
    <n v="19"/>
    <s v="Male"/>
    <x v="2"/>
    <x v="0"/>
    <x v="0"/>
    <n v="971"/>
    <n v="1"/>
    <d v="2024-12-26T00:00:00"/>
    <x v="1"/>
    <n v="12"/>
    <x v="1"/>
    <x v="7"/>
    <s v="Thursday"/>
    <x v="0"/>
    <x v="0"/>
  </r>
  <r>
    <n v="76"/>
    <s v="Male"/>
    <x v="2"/>
    <x v="5"/>
    <x v="0"/>
    <n v="1008"/>
    <n v="17"/>
    <d v="2024-12-20T00:00:00"/>
    <x v="0"/>
    <n v="12"/>
    <x v="1"/>
    <x v="7"/>
    <s v="Friday"/>
    <x v="1"/>
    <x v="0"/>
  </r>
  <r>
    <n v="66"/>
    <s v="Male"/>
    <x v="2"/>
    <x v="2"/>
    <x v="0"/>
    <n v="967"/>
    <n v="15"/>
    <d v="2024-01-08T00:00:00"/>
    <x v="0"/>
    <n v="1"/>
    <x v="1"/>
    <x v="10"/>
    <s v="Monday"/>
    <x v="0"/>
    <x v="2"/>
  </r>
  <r>
    <n v="44"/>
    <s v="Female"/>
    <x v="4"/>
    <x v="5"/>
    <x v="0"/>
    <n v="1139"/>
    <n v="20"/>
    <d v="2024-06-10T00:00:00"/>
    <x v="3"/>
    <n v="6"/>
    <x v="1"/>
    <x v="1"/>
    <s v="Monday"/>
    <x v="0"/>
    <x v="1"/>
  </r>
  <r>
    <n v="57"/>
    <s v="Male"/>
    <x v="0"/>
    <x v="1"/>
    <x v="2"/>
    <n v="1489"/>
    <n v="6"/>
    <d v="2024-05-19T00:00:00"/>
    <x v="0"/>
    <n v="5"/>
    <x v="1"/>
    <x v="5"/>
    <s v="Sunday"/>
    <x v="0"/>
    <x v="1"/>
  </r>
  <r>
    <n v="28"/>
    <s v="Female"/>
    <x v="3"/>
    <x v="4"/>
    <x v="0"/>
    <n v="502"/>
    <n v="15"/>
    <d v="2023-09-03T00:00:00"/>
    <x v="1"/>
    <n v="9"/>
    <x v="0"/>
    <x v="6"/>
    <s v="Sunday"/>
    <x v="0"/>
    <x v="3"/>
  </r>
  <r>
    <n v="30"/>
    <s v="Male"/>
    <x v="4"/>
    <x v="1"/>
    <x v="0"/>
    <n v="1649"/>
    <n v="9"/>
    <d v="2024-02-24T00:00:00"/>
    <x v="1"/>
    <n v="2"/>
    <x v="1"/>
    <x v="2"/>
    <s v="Saturday"/>
    <x v="1"/>
    <x v="2"/>
  </r>
  <r>
    <n v="64"/>
    <s v="Male"/>
    <x v="2"/>
    <x v="1"/>
    <x v="0"/>
    <n v="1407"/>
    <n v="14"/>
    <d v="2024-08-05T00:00:00"/>
    <x v="0"/>
    <n v="8"/>
    <x v="1"/>
    <x v="9"/>
    <s v="Monday"/>
    <x v="0"/>
    <x v="3"/>
  </r>
  <r>
    <n v="45"/>
    <s v="Male"/>
    <x v="1"/>
    <x v="2"/>
    <x v="0"/>
    <n v="852"/>
    <n v="18"/>
    <d v="2024-11-03T00:00:00"/>
    <x v="3"/>
    <n v="11"/>
    <x v="1"/>
    <x v="0"/>
    <s v="Sunday"/>
    <x v="0"/>
    <x v="0"/>
  </r>
  <r>
    <n v="33"/>
    <s v="Male"/>
    <x v="3"/>
    <x v="4"/>
    <x v="0"/>
    <n v="573"/>
    <n v="17"/>
    <d v="2023-05-26T00:00:00"/>
    <x v="1"/>
    <n v="5"/>
    <x v="0"/>
    <x v="5"/>
    <s v="Friday"/>
    <x v="1"/>
    <x v="1"/>
  </r>
  <r>
    <n v="19"/>
    <s v="Male"/>
    <x v="2"/>
    <x v="4"/>
    <x v="0"/>
    <n v="557"/>
    <n v="18"/>
    <d v="2024-02-27T00:00:00"/>
    <x v="1"/>
    <n v="2"/>
    <x v="1"/>
    <x v="2"/>
    <s v="Tuesday"/>
    <x v="0"/>
    <x v="2"/>
  </r>
  <r>
    <n v="49"/>
    <s v="Male"/>
    <x v="0"/>
    <x v="4"/>
    <x v="0"/>
    <n v="614"/>
    <n v="5"/>
    <d v="2024-10-16T00:00:00"/>
    <x v="3"/>
    <n v="10"/>
    <x v="1"/>
    <x v="8"/>
    <s v="Wednesday"/>
    <x v="0"/>
    <x v="0"/>
  </r>
  <r>
    <n v="69"/>
    <s v="Female"/>
    <x v="6"/>
    <x v="4"/>
    <x v="0"/>
    <n v="576"/>
    <n v="20"/>
    <d v="2024-11-17T00:00:00"/>
    <x v="0"/>
    <n v="11"/>
    <x v="1"/>
    <x v="0"/>
    <s v="Sunday"/>
    <x v="0"/>
    <x v="0"/>
  </r>
  <r>
    <n v="75"/>
    <s v="Male"/>
    <x v="0"/>
    <x v="4"/>
    <x v="0"/>
    <n v="574"/>
    <n v="20"/>
    <d v="2023-11-15T00:00:00"/>
    <x v="0"/>
    <n v="11"/>
    <x v="0"/>
    <x v="0"/>
    <s v="Wednesday"/>
    <x v="0"/>
    <x v="0"/>
  </r>
  <r>
    <n v="13"/>
    <s v="Female"/>
    <x v="7"/>
    <x v="2"/>
    <x v="0"/>
    <n v="845"/>
    <n v="9"/>
    <d v="2024-12-03T00:00:00"/>
    <x v="2"/>
    <n v="12"/>
    <x v="1"/>
    <x v="7"/>
    <s v="Tuesday"/>
    <x v="0"/>
    <x v="0"/>
  </r>
  <r>
    <n v="5"/>
    <s v="Male"/>
    <x v="0"/>
    <x v="5"/>
    <x v="0"/>
    <n v="1060"/>
    <n v="11"/>
    <d v="2024-06-12T00:00:00"/>
    <x v="2"/>
    <n v="6"/>
    <x v="1"/>
    <x v="1"/>
    <s v="Wednesday"/>
    <x v="0"/>
    <x v="1"/>
  </r>
  <r>
    <n v="12"/>
    <s v="Female"/>
    <x v="5"/>
    <x v="1"/>
    <x v="0"/>
    <n v="1526"/>
    <n v="1"/>
    <d v="2024-10-09T00:00:00"/>
    <x v="2"/>
    <n v="10"/>
    <x v="1"/>
    <x v="8"/>
    <s v="Wednesday"/>
    <x v="0"/>
    <x v="0"/>
  </r>
  <r>
    <n v="67"/>
    <s v="Female"/>
    <x v="0"/>
    <x v="4"/>
    <x v="2"/>
    <n v="481"/>
    <n v="18"/>
    <d v="2023-08-21T00:00:00"/>
    <x v="0"/>
    <n v="8"/>
    <x v="0"/>
    <x v="9"/>
    <s v="Monday"/>
    <x v="0"/>
    <x v="3"/>
  </r>
  <r>
    <n v="15"/>
    <s v="Female"/>
    <x v="6"/>
    <x v="5"/>
    <x v="0"/>
    <n v="1046"/>
    <n v="6"/>
    <d v="2024-04-12T00:00:00"/>
    <x v="2"/>
    <n v="4"/>
    <x v="1"/>
    <x v="4"/>
    <s v="Friday"/>
    <x v="1"/>
    <x v="1"/>
  </r>
  <r>
    <n v="12"/>
    <s v="Female"/>
    <x v="3"/>
    <x v="5"/>
    <x v="0"/>
    <n v="1138"/>
    <n v="2"/>
    <d v="2024-02-26T00:00:00"/>
    <x v="2"/>
    <n v="2"/>
    <x v="1"/>
    <x v="2"/>
    <s v="Monday"/>
    <x v="0"/>
    <x v="2"/>
  </r>
  <r>
    <n v="39"/>
    <s v="Male"/>
    <x v="2"/>
    <x v="1"/>
    <x v="0"/>
    <n v="1483"/>
    <n v="15"/>
    <d v="2024-12-15T00:00:00"/>
    <x v="3"/>
    <n v="12"/>
    <x v="1"/>
    <x v="7"/>
    <s v="Sunday"/>
    <x v="0"/>
    <x v="0"/>
  </r>
  <r>
    <n v="39"/>
    <s v="Female"/>
    <x v="2"/>
    <x v="2"/>
    <x v="2"/>
    <n v="812"/>
    <n v="14"/>
    <d v="2023-11-02T00:00:00"/>
    <x v="3"/>
    <n v="11"/>
    <x v="0"/>
    <x v="0"/>
    <s v="Thursday"/>
    <x v="0"/>
    <x v="0"/>
  </r>
  <r>
    <n v="37"/>
    <s v="Male"/>
    <x v="2"/>
    <x v="3"/>
    <x v="0"/>
    <n v="1324"/>
    <n v="5"/>
    <d v="2024-05-23T00:00:00"/>
    <x v="3"/>
    <n v="5"/>
    <x v="1"/>
    <x v="5"/>
    <s v="Thursday"/>
    <x v="0"/>
    <x v="1"/>
  </r>
  <r>
    <n v="9"/>
    <s v="Female"/>
    <x v="2"/>
    <x v="3"/>
    <x v="0"/>
    <n v="1342"/>
    <n v="6"/>
    <d v="2024-12-18T00:00:00"/>
    <x v="2"/>
    <n v="12"/>
    <x v="1"/>
    <x v="7"/>
    <s v="Wednesday"/>
    <x v="0"/>
    <x v="0"/>
  </r>
  <r>
    <n v="45"/>
    <s v="Male"/>
    <x v="2"/>
    <x v="5"/>
    <x v="1"/>
    <n v="1042"/>
    <n v="6"/>
    <d v="2024-02-20T00:00:00"/>
    <x v="3"/>
    <n v="2"/>
    <x v="1"/>
    <x v="2"/>
    <s v="Tuesday"/>
    <x v="0"/>
    <x v="2"/>
  </r>
  <r>
    <n v="32"/>
    <s v="Male"/>
    <x v="5"/>
    <x v="0"/>
    <x v="0"/>
    <n v="940"/>
    <n v="18"/>
    <d v="2023-02-12T00:00:00"/>
    <x v="1"/>
    <n v="2"/>
    <x v="0"/>
    <x v="2"/>
    <s v="Sunday"/>
    <x v="0"/>
    <x v="2"/>
  </r>
  <r>
    <n v="11"/>
    <s v="Female"/>
    <x v="0"/>
    <x v="0"/>
    <x v="0"/>
    <n v="1157"/>
    <n v="14"/>
    <d v="2023-06-23T00:00:00"/>
    <x v="2"/>
    <n v="6"/>
    <x v="0"/>
    <x v="1"/>
    <s v="Friday"/>
    <x v="1"/>
    <x v="1"/>
  </r>
  <r>
    <n v="77"/>
    <s v="Female"/>
    <x v="5"/>
    <x v="1"/>
    <x v="0"/>
    <n v="1684"/>
    <n v="10"/>
    <d v="2024-11-04T00:00:00"/>
    <x v="0"/>
    <n v="11"/>
    <x v="1"/>
    <x v="0"/>
    <s v="Monday"/>
    <x v="0"/>
    <x v="0"/>
  </r>
  <r>
    <n v="76"/>
    <s v="Female"/>
    <x v="4"/>
    <x v="3"/>
    <x v="0"/>
    <n v="1204"/>
    <n v="14"/>
    <d v="2023-10-23T00:00:00"/>
    <x v="0"/>
    <n v="10"/>
    <x v="0"/>
    <x v="8"/>
    <s v="Monday"/>
    <x v="0"/>
    <x v="0"/>
  </r>
  <r>
    <n v="16"/>
    <s v="Female"/>
    <x v="3"/>
    <x v="5"/>
    <x v="2"/>
    <n v="1101"/>
    <n v="13"/>
    <d v="2023-09-16T00:00:00"/>
    <x v="2"/>
    <n v="9"/>
    <x v="0"/>
    <x v="6"/>
    <s v="Saturday"/>
    <x v="1"/>
    <x v="3"/>
  </r>
  <r>
    <n v="38"/>
    <s v="Female"/>
    <x v="5"/>
    <x v="2"/>
    <x v="1"/>
    <n v="965"/>
    <n v="3"/>
    <d v="2023-04-23T00:00:00"/>
    <x v="3"/>
    <n v="4"/>
    <x v="0"/>
    <x v="4"/>
    <s v="Sunday"/>
    <x v="0"/>
    <x v="1"/>
  </r>
  <r>
    <n v="37"/>
    <s v="Male"/>
    <x v="5"/>
    <x v="3"/>
    <x v="0"/>
    <n v="1309"/>
    <n v="6"/>
    <d v="2024-06-16T00:00:00"/>
    <x v="3"/>
    <n v="6"/>
    <x v="1"/>
    <x v="1"/>
    <s v="Sunday"/>
    <x v="0"/>
    <x v="1"/>
  </r>
  <r>
    <n v="52"/>
    <s v="Male"/>
    <x v="0"/>
    <x v="5"/>
    <x v="0"/>
    <n v="950"/>
    <n v="8"/>
    <d v="2024-07-01T00:00:00"/>
    <x v="3"/>
    <n v="7"/>
    <x v="1"/>
    <x v="11"/>
    <s v="Monday"/>
    <x v="0"/>
    <x v="3"/>
  </r>
  <r>
    <n v="27"/>
    <s v="Male"/>
    <x v="2"/>
    <x v="5"/>
    <x v="0"/>
    <n v="1017"/>
    <n v="12"/>
    <d v="2023-11-22T00:00:00"/>
    <x v="1"/>
    <n v="11"/>
    <x v="0"/>
    <x v="0"/>
    <s v="Wednesday"/>
    <x v="0"/>
    <x v="0"/>
  </r>
  <r>
    <n v="66"/>
    <s v="Male"/>
    <x v="2"/>
    <x v="4"/>
    <x v="0"/>
    <n v="600"/>
    <n v="13"/>
    <d v="2023-06-25T00:00:00"/>
    <x v="0"/>
    <n v="6"/>
    <x v="0"/>
    <x v="1"/>
    <s v="Sunday"/>
    <x v="0"/>
    <x v="1"/>
  </r>
  <r>
    <n v="41"/>
    <s v="Female"/>
    <x v="2"/>
    <x v="2"/>
    <x v="1"/>
    <n v="738"/>
    <n v="11"/>
    <d v="2023-08-02T00:00:00"/>
    <x v="3"/>
    <n v="8"/>
    <x v="0"/>
    <x v="9"/>
    <s v="Wednesday"/>
    <x v="0"/>
    <x v="3"/>
  </r>
  <r>
    <n v="48"/>
    <s v="Male"/>
    <x v="2"/>
    <x v="4"/>
    <x v="0"/>
    <n v="427"/>
    <n v="12"/>
    <d v="2024-04-03T00:00:00"/>
    <x v="3"/>
    <n v="4"/>
    <x v="1"/>
    <x v="4"/>
    <s v="Wednesday"/>
    <x v="0"/>
    <x v="1"/>
  </r>
  <r>
    <n v="39"/>
    <s v="Female"/>
    <x v="2"/>
    <x v="1"/>
    <x v="0"/>
    <n v="1658"/>
    <n v="1"/>
    <d v="2024-12-26T00:00:00"/>
    <x v="3"/>
    <n v="12"/>
    <x v="1"/>
    <x v="7"/>
    <s v="Thursday"/>
    <x v="0"/>
    <x v="0"/>
  </r>
  <r>
    <n v="69"/>
    <s v="Male"/>
    <x v="1"/>
    <x v="4"/>
    <x v="1"/>
    <n v="483"/>
    <n v="17"/>
    <d v="2023-01-21T00:00:00"/>
    <x v="0"/>
    <n v="1"/>
    <x v="0"/>
    <x v="10"/>
    <s v="Saturday"/>
    <x v="1"/>
    <x v="2"/>
  </r>
  <r>
    <n v="51"/>
    <s v="Female"/>
    <x v="5"/>
    <x v="4"/>
    <x v="0"/>
    <n v="554"/>
    <n v="16"/>
    <d v="2023-07-25T00:00:00"/>
    <x v="3"/>
    <n v="7"/>
    <x v="0"/>
    <x v="11"/>
    <s v="Tuesday"/>
    <x v="0"/>
    <x v="3"/>
  </r>
  <r>
    <n v="7"/>
    <s v="Female"/>
    <x v="2"/>
    <x v="3"/>
    <x v="0"/>
    <n v="1216"/>
    <n v="11"/>
    <d v="2023-03-20T00:00:00"/>
    <x v="2"/>
    <n v="3"/>
    <x v="0"/>
    <x v="3"/>
    <s v="Monday"/>
    <x v="0"/>
    <x v="2"/>
  </r>
  <r>
    <n v="5"/>
    <s v="Male"/>
    <x v="2"/>
    <x v="0"/>
    <x v="0"/>
    <n v="901"/>
    <n v="13"/>
    <d v="2023-06-17T00:00:00"/>
    <x v="2"/>
    <n v="6"/>
    <x v="0"/>
    <x v="1"/>
    <s v="Saturday"/>
    <x v="1"/>
    <x v="1"/>
  </r>
  <r>
    <n v="9"/>
    <s v="Male"/>
    <x v="2"/>
    <x v="5"/>
    <x v="2"/>
    <n v="992"/>
    <n v="18"/>
    <d v="2024-02-20T00:00:00"/>
    <x v="2"/>
    <n v="2"/>
    <x v="1"/>
    <x v="2"/>
    <s v="Tuesday"/>
    <x v="0"/>
    <x v="2"/>
  </r>
  <r>
    <n v="18"/>
    <s v="Male"/>
    <x v="0"/>
    <x v="2"/>
    <x v="0"/>
    <n v="865"/>
    <n v="11"/>
    <d v="2023-09-22T00:00:00"/>
    <x v="1"/>
    <n v="9"/>
    <x v="0"/>
    <x v="6"/>
    <s v="Friday"/>
    <x v="1"/>
    <x v="3"/>
  </r>
  <r>
    <n v="31"/>
    <s v="Male"/>
    <x v="0"/>
    <x v="4"/>
    <x v="0"/>
    <n v="695"/>
    <n v="12"/>
    <d v="2024-01-21T00:00:00"/>
    <x v="1"/>
    <n v="1"/>
    <x v="1"/>
    <x v="10"/>
    <s v="Sunday"/>
    <x v="0"/>
    <x v="2"/>
  </r>
  <r>
    <n v="13"/>
    <s v="Male"/>
    <x v="6"/>
    <x v="2"/>
    <x v="0"/>
    <n v="957"/>
    <n v="6"/>
    <d v="2023-06-01T00:00:00"/>
    <x v="2"/>
    <n v="6"/>
    <x v="0"/>
    <x v="1"/>
    <s v="Thursday"/>
    <x v="0"/>
    <x v="1"/>
  </r>
  <r>
    <n v="19"/>
    <s v="Male"/>
    <x v="2"/>
    <x v="0"/>
    <x v="0"/>
    <n v="980"/>
    <n v="9"/>
    <d v="2023-06-20T00:00:00"/>
    <x v="1"/>
    <n v="6"/>
    <x v="0"/>
    <x v="1"/>
    <s v="Tuesday"/>
    <x v="0"/>
    <x v="1"/>
  </r>
  <r>
    <n v="46"/>
    <s v="Male"/>
    <x v="6"/>
    <x v="0"/>
    <x v="1"/>
    <n v="1167"/>
    <n v="16"/>
    <d v="2023-05-06T00:00:00"/>
    <x v="3"/>
    <n v="5"/>
    <x v="0"/>
    <x v="5"/>
    <s v="Saturday"/>
    <x v="1"/>
    <x v="1"/>
  </r>
  <r>
    <n v="55"/>
    <s v="Female"/>
    <x v="7"/>
    <x v="4"/>
    <x v="1"/>
    <n v="634"/>
    <n v="4"/>
    <d v="2023-05-15T00:00:00"/>
    <x v="3"/>
    <n v="5"/>
    <x v="0"/>
    <x v="5"/>
    <s v="Monday"/>
    <x v="0"/>
    <x v="1"/>
  </r>
  <r>
    <n v="67"/>
    <s v="Female"/>
    <x v="2"/>
    <x v="1"/>
    <x v="0"/>
    <n v="1612"/>
    <n v="3"/>
    <d v="2023-01-26T00:00:00"/>
    <x v="0"/>
    <n v="1"/>
    <x v="0"/>
    <x v="10"/>
    <s v="Thursday"/>
    <x v="0"/>
    <x v="2"/>
  </r>
  <r>
    <n v="56"/>
    <s v="Female"/>
    <x v="6"/>
    <x v="4"/>
    <x v="0"/>
    <n v="461"/>
    <n v="16"/>
    <d v="2024-10-26T00:00:00"/>
    <x v="0"/>
    <n v="10"/>
    <x v="1"/>
    <x v="8"/>
    <s v="Saturday"/>
    <x v="1"/>
    <x v="0"/>
  </r>
  <r>
    <n v="8"/>
    <s v="Male"/>
    <x v="3"/>
    <x v="3"/>
    <x v="0"/>
    <n v="1148"/>
    <n v="12"/>
    <d v="2023-12-14T00:00:00"/>
    <x v="2"/>
    <n v="12"/>
    <x v="0"/>
    <x v="7"/>
    <s v="Thursday"/>
    <x v="0"/>
    <x v="0"/>
  </r>
  <r>
    <n v="27"/>
    <s v="Female"/>
    <x v="0"/>
    <x v="5"/>
    <x v="0"/>
    <n v="1026"/>
    <n v="11"/>
    <d v="2023-05-20T00:00:00"/>
    <x v="1"/>
    <n v="5"/>
    <x v="0"/>
    <x v="5"/>
    <s v="Saturday"/>
    <x v="1"/>
    <x v="1"/>
  </r>
  <r>
    <n v="19"/>
    <s v="Male"/>
    <x v="0"/>
    <x v="1"/>
    <x v="0"/>
    <n v="1622"/>
    <n v="5"/>
    <d v="2023-02-15T00:00:00"/>
    <x v="1"/>
    <n v="2"/>
    <x v="0"/>
    <x v="2"/>
    <s v="Wednesday"/>
    <x v="0"/>
    <x v="2"/>
  </r>
  <r>
    <n v="47"/>
    <s v="Male"/>
    <x v="6"/>
    <x v="4"/>
    <x v="1"/>
    <n v="678"/>
    <n v="18"/>
    <d v="2024-07-14T00:00:00"/>
    <x v="3"/>
    <n v="7"/>
    <x v="1"/>
    <x v="11"/>
    <s v="Sunday"/>
    <x v="0"/>
    <x v="3"/>
  </r>
  <r>
    <n v="33"/>
    <s v="Female"/>
    <x v="3"/>
    <x v="2"/>
    <x v="0"/>
    <n v="993"/>
    <n v="19"/>
    <d v="2024-03-25T00:00:00"/>
    <x v="1"/>
    <n v="3"/>
    <x v="1"/>
    <x v="3"/>
    <s v="Monday"/>
    <x v="0"/>
    <x v="2"/>
  </r>
  <r>
    <n v="40"/>
    <s v="Male"/>
    <x v="6"/>
    <x v="1"/>
    <x v="0"/>
    <n v="1683"/>
    <n v="6"/>
    <d v="2024-04-21T00:00:00"/>
    <x v="3"/>
    <n v="4"/>
    <x v="1"/>
    <x v="4"/>
    <s v="Sunday"/>
    <x v="0"/>
    <x v="1"/>
  </r>
  <r>
    <n v="17"/>
    <s v="Female"/>
    <x v="4"/>
    <x v="1"/>
    <x v="0"/>
    <n v="1676"/>
    <n v="18"/>
    <d v="2024-03-24T00:00:00"/>
    <x v="2"/>
    <n v="3"/>
    <x v="1"/>
    <x v="3"/>
    <s v="Sunday"/>
    <x v="0"/>
    <x v="2"/>
  </r>
  <r>
    <n v="36"/>
    <s v="Female"/>
    <x v="3"/>
    <x v="4"/>
    <x v="1"/>
    <n v="506"/>
    <n v="6"/>
    <d v="2023-03-25T00:00:00"/>
    <x v="3"/>
    <n v="3"/>
    <x v="0"/>
    <x v="3"/>
    <s v="Saturday"/>
    <x v="1"/>
    <x v="2"/>
  </r>
  <r>
    <n v="75"/>
    <s v="Male"/>
    <x v="7"/>
    <x v="1"/>
    <x v="1"/>
    <n v="1545"/>
    <n v="4"/>
    <d v="2023-04-26T00:00:00"/>
    <x v="0"/>
    <n v="4"/>
    <x v="0"/>
    <x v="4"/>
    <s v="Wednesday"/>
    <x v="0"/>
    <x v="1"/>
  </r>
  <r>
    <n v="63"/>
    <s v="Male"/>
    <x v="3"/>
    <x v="2"/>
    <x v="2"/>
    <n v="798"/>
    <n v="12"/>
    <d v="2023-05-05T00:00:00"/>
    <x v="0"/>
    <n v="5"/>
    <x v="0"/>
    <x v="5"/>
    <s v="Friday"/>
    <x v="1"/>
    <x v="1"/>
  </r>
  <r>
    <n v="32"/>
    <s v="Male"/>
    <x v="3"/>
    <x v="0"/>
    <x v="0"/>
    <n v="972"/>
    <n v="19"/>
    <d v="2024-01-06T00:00:00"/>
    <x v="1"/>
    <n v="1"/>
    <x v="1"/>
    <x v="10"/>
    <s v="Saturday"/>
    <x v="1"/>
    <x v="2"/>
  </r>
  <r>
    <n v="70"/>
    <s v="Female"/>
    <x v="3"/>
    <x v="1"/>
    <x v="0"/>
    <n v="1521"/>
    <n v="2"/>
    <d v="2023-04-17T00:00:00"/>
    <x v="0"/>
    <n v="4"/>
    <x v="0"/>
    <x v="4"/>
    <s v="Monday"/>
    <x v="0"/>
    <x v="1"/>
  </r>
  <r>
    <n v="46"/>
    <s v="Male"/>
    <x v="2"/>
    <x v="0"/>
    <x v="1"/>
    <n v="929"/>
    <n v="17"/>
    <d v="2023-12-11T00:00:00"/>
    <x v="3"/>
    <n v="12"/>
    <x v="0"/>
    <x v="7"/>
    <s v="Monday"/>
    <x v="0"/>
    <x v="0"/>
  </r>
  <r>
    <n v="49"/>
    <s v="Male"/>
    <x v="5"/>
    <x v="2"/>
    <x v="0"/>
    <n v="887"/>
    <n v="11"/>
    <d v="2024-12-16T00:00:00"/>
    <x v="3"/>
    <n v="12"/>
    <x v="1"/>
    <x v="7"/>
    <s v="Monday"/>
    <x v="0"/>
    <x v="0"/>
  </r>
  <r>
    <n v="66"/>
    <s v="Male"/>
    <x v="0"/>
    <x v="4"/>
    <x v="0"/>
    <n v="687"/>
    <n v="11"/>
    <d v="2024-11-12T00:00:00"/>
    <x v="0"/>
    <n v="11"/>
    <x v="1"/>
    <x v="0"/>
    <s v="Tuesday"/>
    <x v="0"/>
    <x v="0"/>
  </r>
  <r>
    <n v="61"/>
    <s v="Female"/>
    <x v="0"/>
    <x v="5"/>
    <x v="1"/>
    <n v="1094"/>
    <n v="16"/>
    <d v="2024-08-15T00:00:00"/>
    <x v="0"/>
    <n v="8"/>
    <x v="1"/>
    <x v="9"/>
    <s v="Thursday"/>
    <x v="0"/>
    <x v="3"/>
  </r>
  <r>
    <n v="10"/>
    <s v="Male"/>
    <x v="4"/>
    <x v="1"/>
    <x v="1"/>
    <n v="1555"/>
    <n v="2"/>
    <d v="2023-10-23T00:00:00"/>
    <x v="2"/>
    <n v="10"/>
    <x v="0"/>
    <x v="8"/>
    <s v="Monday"/>
    <x v="0"/>
    <x v="0"/>
  </r>
  <r>
    <n v="32"/>
    <s v="Male"/>
    <x v="2"/>
    <x v="5"/>
    <x v="0"/>
    <n v="1071"/>
    <n v="2"/>
    <d v="2023-07-04T00:00:00"/>
    <x v="1"/>
    <n v="7"/>
    <x v="0"/>
    <x v="11"/>
    <s v="Tuesday"/>
    <x v="0"/>
    <x v="3"/>
  </r>
  <r>
    <n v="32"/>
    <s v="Female"/>
    <x v="0"/>
    <x v="2"/>
    <x v="0"/>
    <n v="740"/>
    <n v="8"/>
    <d v="2024-09-27T00:00:00"/>
    <x v="1"/>
    <n v="9"/>
    <x v="1"/>
    <x v="6"/>
    <s v="Friday"/>
    <x v="1"/>
    <x v="3"/>
  </r>
  <r>
    <n v="48"/>
    <s v="Female"/>
    <x v="5"/>
    <x v="1"/>
    <x v="0"/>
    <n v="1462"/>
    <n v="13"/>
    <d v="2023-05-18T00:00:00"/>
    <x v="3"/>
    <n v="5"/>
    <x v="0"/>
    <x v="5"/>
    <s v="Thursday"/>
    <x v="0"/>
    <x v="1"/>
  </r>
  <r>
    <n v="34"/>
    <s v="Male"/>
    <x v="6"/>
    <x v="0"/>
    <x v="0"/>
    <n v="922"/>
    <n v="10"/>
    <d v="2024-10-21T00:00:00"/>
    <x v="1"/>
    <n v="10"/>
    <x v="1"/>
    <x v="8"/>
    <s v="Monday"/>
    <x v="0"/>
    <x v="0"/>
  </r>
  <r>
    <n v="66"/>
    <s v="Male"/>
    <x v="0"/>
    <x v="3"/>
    <x v="0"/>
    <n v="1174"/>
    <n v="8"/>
    <d v="2024-04-03T00:00:00"/>
    <x v="0"/>
    <n v="4"/>
    <x v="1"/>
    <x v="4"/>
    <s v="Wednesday"/>
    <x v="0"/>
    <x v="1"/>
  </r>
  <r>
    <n v="79"/>
    <s v="Male"/>
    <x v="6"/>
    <x v="5"/>
    <x v="1"/>
    <n v="947"/>
    <n v="4"/>
    <d v="2023-08-22T00:00:00"/>
    <x v="0"/>
    <n v="8"/>
    <x v="0"/>
    <x v="9"/>
    <s v="Tuesday"/>
    <x v="0"/>
    <x v="3"/>
  </r>
  <r>
    <n v="66"/>
    <s v="Female"/>
    <x v="5"/>
    <x v="1"/>
    <x v="1"/>
    <n v="1559"/>
    <n v="15"/>
    <d v="2024-09-08T00:00:00"/>
    <x v="0"/>
    <n v="9"/>
    <x v="1"/>
    <x v="6"/>
    <s v="Sunday"/>
    <x v="0"/>
    <x v="3"/>
  </r>
  <r>
    <n v="5"/>
    <s v="Male"/>
    <x v="2"/>
    <x v="5"/>
    <x v="1"/>
    <n v="1017"/>
    <n v="1"/>
    <d v="2024-07-23T00:00:00"/>
    <x v="2"/>
    <n v="7"/>
    <x v="1"/>
    <x v="11"/>
    <s v="Tuesday"/>
    <x v="0"/>
    <x v="3"/>
  </r>
  <r>
    <n v="31"/>
    <s v="Female"/>
    <x v="2"/>
    <x v="1"/>
    <x v="0"/>
    <n v="1499"/>
    <n v="11"/>
    <d v="2024-07-03T00:00:00"/>
    <x v="1"/>
    <n v="7"/>
    <x v="1"/>
    <x v="11"/>
    <s v="Wednesday"/>
    <x v="0"/>
    <x v="3"/>
  </r>
  <r>
    <n v="66"/>
    <s v="Female"/>
    <x v="3"/>
    <x v="4"/>
    <x v="1"/>
    <n v="566"/>
    <n v="7"/>
    <d v="2023-05-08T00:00:00"/>
    <x v="0"/>
    <n v="5"/>
    <x v="0"/>
    <x v="5"/>
    <s v="Monday"/>
    <x v="0"/>
    <x v="1"/>
  </r>
  <r>
    <n v="7"/>
    <s v="Female"/>
    <x v="2"/>
    <x v="0"/>
    <x v="1"/>
    <n v="1189"/>
    <n v="17"/>
    <d v="2024-04-18T00:00:00"/>
    <x v="2"/>
    <n v="4"/>
    <x v="1"/>
    <x v="4"/>
    <s v="Thursday"/>
    <x v="0"/>
    <x v="1"/>
  </r>
  <r>
    <n v="74"/>
    <s v="Male"/>
    <x v="2"/>
    <x v="5"/>
    <x v="0"/>
    <n v="1055"/>
    <n v="20"/>
    <d v="2024-10-10T00:00:00"/>
    <x v="0"/>
    <n v="10"/>
    <x v="1"/>
    <x v="8"/>
    <s v="Thursday"/>
    <x v="0"/>
    <x v="0"/>
  </r>
  <r>
    <n v="76"/>
    <s v="Female"/>
    <x v="3"/>
    <x v="3"/>
    <x v="1"/>
    <n v="1106"/>
    <n v="18"/>
    <d v="2024-01-25T00:00:00"/>
    <x v="0"/>
    <n v="1"/>
    <x v="1"/>
    <x v="10"/>
    <s v="Thursday"/>
    <x v="0"/>
    <x v="2"/>
  </r>
  <r>
    <n v="31"/>
    <s v="Female"/>
    <x v="2"/>
    <x v="3"/>
    <x v="1"/>
    <n v="1295"/>
    <n v="12"/>
    <d v="2024-10-20T00:00:00"/>
    <x v="1"/>
    <n v="10"/>
    <x v="1"/>
    <x v="8"/>
    <s v="Sunday"/>
    <x v="0"/>
    <x v="0"/>
  </r>
  <r>
    <n v="13"/>
    <s v="Female"/>
    <x v="0"/>
    <x v="2"/>
    <x v="0"/>
    <n v="755"/>
    <n v="9"/>
    <d v="2024-10-17T00:00:00"/>
    <x v="2"/>
    <n v="10"/>
    <x v="1"/>
    <x v="8"/>
    <s v="Thursday"/>
    <x v="0"/>
    <x v="0"/>
  </r>
  <r>
    <n v="66"/>
    <s v="Male"/>
    <x v="0"/>
    <x v="1"/>
    <x v="0"/>
    <n v="1592"/>
    <n v="5"/>
    <d v="2024-07-08T00:00:00"/>
    <x v="0"/>
    <n v="7"/>
    <x v="1"/>
    <x v="11"/>
    <s v="Monday"/>
    <x v="0"/>
    <x v="3"/>
  </r>
  <r>
    <n v="41"/>
    <s v="Female"/>
    <x v="3"/>
    <x v="5"/>
    <x v="0"/>
    <n v="946"/>
    <n v="10"/>
    <d v="2024-01-23T00:00:00"/>
    <x v="3"/>
    <n v="1"/>
    <x v="1"/>
    <x v="10"/>
    <s v="Tuesday"/>
    <x v="0"/>
    <x v="2"/>
  </r>
  <r>
    <n v="55"/>
    <s v="Male"/>
    <x v="0"/>
    <x v="2"/>
    <x v="0"/>
    <n v="847"/>
    <n v="4"/>
    <d v="2023-01-11T00:00:00"/>
    <x v="3"/>
    <n v="1"/>
    <x v="0"/>
    <x v="10"/>
    <s v="Wednesday"/>
    <x v="0"/>
    <x v="2"/>
  </r>
  <r>
    <n v="48"/>
    <s v="Male"/>
    <x v="5"/>
    <x v="5"/>
    <x v="0"/>
    <n v="1174"/>
    <n v="5"/>
    <d v="2023-05-05T00:00:00"/>
    <x v="3"/>
    <n v="5"/>
    <x v="0"/>
    <x v="5"/>
    <s v="Friday"/>
    <x v="1"/>
    <x v="1"/>
  </r>
  <r>
    <n v="28"/>
    <s v="Male"/>
    <x v="2"/>
    <x v="1"/>
    <x v="1"/>
    <n v="1556"/>
    <n v="10"/>
    <d v="2024-09-26T00:00:00"/>
    <x v="1"/>
    <n v="9"/>
    <x v="1"/>
    <x v="6"/>
    <s v="Thursday"/>
    <x v="0"/>
    <x v="3"/>
  </r>
  <r>
    <n v="63"/>
    <s v="Female"/>
    <x v="5"/>
    <x v="3"/>
    <x v="0"/>
    <n v="1301"/>
    <n v="11"/>
    <d v="2023-06-13T00:00:00"/>
    <x v="0"/>
    <n v="6"/>
    <x v="0"/>
    <x v="1"/>
    <s v="Tuesday"/>
    <x v="0"/>
    <x v="1"/>
  </r>
  <r>
    <n v="36"/>
    <s v="Male"/>
    <x v="0"/>
    <x v="4"/>
    <x v="0"/>
    <n v="525"/>
    <n v="10"/>
    <d v="2023-03-21T00:00:00"/>
    <x v="3"/>
    <n v="3"/>
    <x v="0"/>
    <x v="3"/>
    <s v="Tuesday"/>
    <x v="0"/>
    <x v="2"/>
  </r>
  <r>
    <n v="56"/>
    <s v="Male"/>
    <x v="1"/>
    <x v="3"/>
    <x v="0"/>
    <n v="1393"/>
    <n v="8"/>
    <d v="2024-03-23T00:00:00"/>
    <x v="0"/>
    <n v="3"/>
    <x v="1"/>
    <x v="3"/>
    <s v="Saturday"/>
    <x v="1"/>
    <x v="2"/>
  </r>
  <r>
    <n v="66"/>
    <s v="Male"/>
    <x v="0"/>
    <x v="2"/>
    <x v="0"/>
    <n v="763"/>
    <n v="2"/>
    <d v="2023-07-05T00:00:00"/>
    <x v="0"/>
    <n v="7"/>
    <x v="0"/>
    <x v="11"/>
    <s v="Wednesday"/>
    <x v="0"/>
    <x v="3"/>
  </r>
  <r>
    <n v="62"/>
    <s v="Male"/>
    <x v="7"/>
    <x v="0"/>
    <x v="0"/>
    <n v="1075"/>
    <n v="8"/>
    <d v="2024-06-24T00:00:00"/>
    <x v="0"/>
    <n v="6"/>
    <x v="1"/>
    <x v="1"/>
    <s v="Monday"/>
    <x v="0"/>
    <x v="1"/>
  </r>
  <r>
    <n v="56"/>
    <s v="Female"/>
    <x v="3"/>
    <x v="4"/>
    <x v="0"/>
    <n v="515"/>
    <n v="16"/>
    <d v="2024-09-27T00:00:00"/>
    <x v="0"/>
    <n v="9"/>
    <x v="1"/>
    <x v="6"/>
    <s v="Friday"/>
    <x v="1"/>
    <x v="3"/>
  </r>
  <r>
    <n v="16"/>
    <s v="Female"/>
    <x v="2"/>
    <x v="2"/>
    <x v="0"/>
    <n v="903"/>
    <n v="5"/>
    <d v="2024-06-13T00:00:00"/>
    <x v="2"/>
    <n v="6"/>
    <x v="1"/>
    <x v="1"/>
    <s v="Thursday"/>
    <x v="0"/>
    <x v="1"/>
  </r>
  <r>
    <n v="43"/>
    <s v="Male"/>
    <x v="6"/>
    <x v="1"/>
    <x v="0"/>
    <n v="1430"/>
    <n v="3"/>
    <d v="2024-05-06T00:00:00"/>
    <x v="3"/>
    <n v="5"/>
    <x v="1"/>
    <x v="5"/>
    <s v="Monday"/>
    <x v="0"/>
    <x v="1"/>
  </r>
  <r>
    <n v="6"/>
    <s v="Male"/>
    <x v="2"/>
    <x v="4"/>
    <x v="0"/>
    <n v="512"/>
    <n v="12"/>
    <d v="2024-10-05T00:00:00"/>
    <x v="2"/>
    <n v="10"/>
    <x v="1"/>
    <x v="8"/>
    <s v="Saturday"/>
    <x v="1"/>
    <x v="0"/>
  </r>
  <r>
    <n v="7"/>
    <s v="Female"/>
    <x v="2"/>
    <x v="2"/>
    <x v="0"/>
    <n v="766"/>
    <n v="13"/>
    <d v="2023-07-09T00:00:00"/>
    <x v="2"/>
    <n v="7"/>
    <x v="0"/>
    <x v="11"/>
    <s v="Sunday"/>
    <x v="0"/>
    <x v="3"/>
  </r>
  <r>
    <n v="60"/>
    <s v="Male"/>
    <x v="2"/>
    <x v="1"/>
    <x v="1"/>
    <n v="1474"/>
    <n v="13"/>
    <d v="2024-01-27T00:00:00"/>
    <x v="0"/>
    <n v="1"/>
    <x v="1"/>
    <x v="10"/>
    <s v="Saturday"/>
    <x v="1"/>
    <x v="2"/>
  </r>
  <r>
    <n v="63"/>
    <s v="Male"/>
    <x v="0"/>
    <x v="3"/>
    <x v="0"/>
    <n v="1144"/>
    <n v="10"/>
    <d v="2023-12-16T00:00:00"/>
    <x v="0"/>
    <n v="12"/>
    <x v="0"/>
    <x v="7"/>
    <s v="Saturday"/>
    <x v="1"/>
    <x v="0"/>
  </r>
  <r>
    <n v="6"/>
    <s v="Female"/>
    <x v="0"/>
    <x v="0"/>
    <x v="1"/>
    <n v="1159"/>
    <n v="4"/>
    <d v="2024-07-02T00:00:00"/>
    <x v="2"/>
    <n v="7"/>
    <x v="1"/>
    <x v="11"/>
    <s v="Tuesday"/>
    <x v="0"/>
    <x v="3"/>
  </r>
  <r>
    <n v="6"/>
    <s v="Female"/>
    <x v="0"/>
    <x v="1"/>
    <x v="0"/>
    <n v="1553"/>
    <n v="9"/>
    <d v="2024-03-01T00:00:00"/>
    <x v="2"/>
    <n v="3"/>
    <x v="1"/>
    <x v="3"/>
    <s v="Friday"/>
    <x v="1"/>
    <x v="2"/>
  </r>
  <r>
    <n v="58"/>
    <s v="Male"/>
    <x v="1"/>
    <x v="5"/>
    <x v="0"/>
    <n v="1054"/>
    <n v="2"/>
    <d v="2024-09-08T00:00:00"/>
    <x v="0"/>
    <n v="9"/>
    <x v="1"/>
    <x v="6"/>
    <s v="Sunday"/>
    <x v="0"/>
    <x v="3"/>
  </r>
  <r>
    <n v="5"/>
    <s v="Female"/>
    <x v="2"/>
    <x v="1"/>
    <x v="1"/>
    <n v="1633"/>
    <n v="19"/>
    <d v="2023-06-19T00:00:00"/>
    <x v="2"/>
    <n v="6"/>
    <x v="0"/>
    <x v="1"/>
    <s v="Monday"/>
    <x v="0"/>
    <x v="1"/>
  </r>
  <r>
    <n v="23"/>
    <s v="Male"/>
    <x v="2"/>
    <x v="1"/>
    <x v="0"/>
    <n v="1450"/>
    <n v="1"/>
    <d v="2024-09-11T00:00:00"/>
    <x v="1"/>
    <n v="9"/>
    <x v="1"/>
    <x v="6"/>
    <s v="Wednesday"/>
    <x v="0"/>
    <x v="3"/>
  </r>
  <r>
    <n v="6"/>
    <s v="Female"/>
    <x v="2"/>
    <x v="0"/>
    <x v="0"/>
    <n v="1161"/>
    <n v="7"/>
    <d v="2024-05-12T00:00:00"/>
    <x v="2"/>
    <n v="5"/>
    <x v="1"/>
    <x v="5"/>
    <s v="Sunday"/>
    <x v="0"/>
    <x v="1"/>
  </r>
  <r>
    <n v="57"/>
    <s v="Male"/>
    <x v="2"/>
    <x v="5"/>
    <x v="0"/>
    <n v="1024"/>
    <n v="17"/>
    <d v="2024-07-12T00:00:00"/>
    <x v="0"/>
    <n v="7"/>
    <x v="1"/>
    <x v="11"/>
    <s v="Friday"/>
    <x v="1"/>
    <x v="3"/>
  </r>
  <r>
    <n v="48"/>
    <s v="Male"/>
    <x v="0"/>
    <x v="2"/>
    <x v="0"/>
    <n v="944"/>
    <n v="3"/>
    <d v="2024-04-07T00:00:00"/>
    <x v="3"/>
    <n v="4"/>
    <x v="1"/>
    <x v="4"/>
    <s v="Sunday"/>
    <x v="0"/>
    <x v="1"/>
  </r>
  <r>
    <n v="36"/>
    <s v="Male"/>
    <x v="5"/>
    <x v="2"/>
    <x v="0"/>
    <n v="729"/>
    <n v="20"/>
    <d v="2023-07-26T00:00:00"/>
    <x v="3"/>
    <n v="7"/>
    <x v="0"/>
    <x v="11"/>
    <s v="Wednesday"/>
    <x v="0"/>
    <x v="3"/>
  </r>
  <r>
    <n v="74"/>
    <s v="Female"/>
    <x v="0"/>
    <x v="1"/>
    <x v="0"/>
    <n v="1521"/>
    <n v="20"/>
    <d v="2024-01-13T00:00:00"/>
    <x v="0"/>
    <n v="1"/>
    <x v="1"/>
    <x v="10"/>
    <s v="Saturday"/>
    <x v="1"/>
    <x v="2"/>
  </r>
  <r>
    <n v="36"/>
    <s v="Female"/>
    <x v="2"/>
    <x v="5"/>
    <x v="0"/>
    <n v="1024"/>
    <n v="3"/>
    <d v="2023-07-27T00:00:00"/>
    <x v="3"/>
    <n v="7"/>
    <x v="0"/>
    <x v="11"/>
    <s v="Thursday"/>
    <x v="0"/>
    <x v="3"/>
  </r>
  <r>
    <n v="72"/>
    <s v="Male"/>
    <x v="0"/>
    <x v="5"/>
    <x v="0"/>
    <n v="936"/>
    <n v="3"/>
    <d v="2024-08-08T00:00:00"/>
    <x v="0"/>
    <n v="8"/>
    <x v="1"/>
    <x v="9"/>
    <s v="Thursday"/>
    <x v="0"/>
    <x v="3"/>
  </r>
  <r>
    <n v="59"/>
    <s v="Male"/>
    <x v="2"/>
    <x v="0"/>
    <x v="0"/>
    <n v="1069"/>
    <n v="17"/>
    <d v="2023-05-22T00:00:00"/>
    <x v="0"/>
    <n v="5"/>
    <x v="0"/>
    <x v="5"/>
    <s v="Monday"/>
    <x v="0"/>
    <x v="1"/>
  </r>
  <r>
    <n v="79"/>
    <s v="Female"/>
    <x v="1"/>
    <x v="3"/>
    <x v="1"/>
    <n v="1223"/>
    <n v="7"/>
    <d v="2023-02-26T00:00:00"/>
    <x v="0"/>
    <n v="2"/>
    <x v="0"/>
    <x v="2"/>
    <s v="Sunday"/>
    <x v="0"/>
    <x v="2"/>
  </r>
  <r>
    <n v="60"/>
    <s v="Male"/>
    <x v="2"/>
    <x v="2"/>
    <x v="2"/>
    <n v="734"/>
    <n v="14"/>
    <d v="2024-05-09T00:00:00"/>
    <x v="0"/>
    <n v="5"/>
    <x v="1"/>
    <x v="5"/>
    <s v="Thursday"/>
    <x v="0"/>
    <x v="1"/>
  </r>
  <r>
    <n v="21"/>
    <s v="Male"/>
    <x v="3"/>
    <x v="0"/>
    <x v="0"/>
    <n v="986"/>
    <n v="17"/>
    <d v="2024-06-07T00:00:00"/>
    <x v="1"/>
    <n v="6"/>
    <x v="1"/>
    <x v="1"/>
    <s v="Friday"/>
    <x v="1"/>
    <x v="1"/>
  </r>
  <r>
    <n v="42"/>
    <s v="Female"/>
    <x v="7"/>
    <x v="4"/>
    <x v="1"/>
    <n v="533"/>
    <n v="18"/>
    <d v="2023-12-26T00:00:00"/>
    <x v="3"/>
    <n v="12"/>
    <x v="0"/>
    <x v="7"/>
    <s v="Tuesday"/>
    <x v="0"/>
    <x v="0"/>
  </r>
  <r>
    <n v="28"/>
    <s v="Male"/>
    <x v="0"/>
    <x v="2"/>
    <x v="0"/>
    <n v="895"/>
    <n v="13"/>
    <d v="2024-02-21T00:00:00"/>
    <x v="1"/>
    <n v="2"/>
    <x v="1"/>
    <x v="2"/>
    <s v="Wednesday"/>
    <x v="0"/>
    <x v="2"/>
  </r>
  <r>
    <n v="73"/>
    <s v="Female"/>
    <x v="4"/>
    <x v="0"/>
    <x v="0"/>
    <n v="1173"/>
    <n v="20"/>
    <d v="2024-06-24T00:00:00"/>
    <x v="0"/>
    <n v="6"/>
    <x v="1"/>
    <x v="1"/>
    <s v="Monday"/>
    <x v="0"/>
    <x v="1"/>
  </r>
  <r>
    <n v="74"/>
    <s v="Female"/>
    <x v="2"/>
    <x v="2"/>
    <x v="0"/>
    <n v="900"/>
    <n v="20"/>
    <d v="2024-06-15T00:00:00"/>
    <x v="0"/>
    <n v="6"/>
    <x v="1"/>
    <x v="1"/>
    <s v="Saturday"/>
    <x v="1"/>
    <x v="1"/>
  </r>
  <r>
    <n v="15"/>
    <s v="Male"/>
    <x v="5"/>
    <x v="3"/>
    <x v="1"/>
    <n v="1384"/>
    <n v="18"/>
    <d v="2023-01-02T00:00:00"/>
    <x v="2"/>
    <n v="1"/>
    <x v="0"/>
    <x v="10"/>
    <s v="Monday"/>
    <x v="0"/>
    <x v="2"/>
  </r>
  <r>
    <n v="20"/>
    <s v="Male"/>
    <x v="0"/>
    <x v="4"/>
    <x v="0"/>
    <n v="476"/>
    <n v="4"/>
    <d v="2024-01-23T00:00:00"/>
    <x v="1"/>
    <n v="1"/>
    <x v="1"/>
    <x v="10"/>
    <s v="Tuesday"/>
    <x v="0"/>
    <x v="2"/>
  </r>
  <r>
    <n v="77"/>
    <s v="Male"/>
    <x v="5"/>
    <x v="3"/>
    <x v="0"/>
    <n v="1158"/>
    <n v="1"/>
    <d v="2024-11-20T00:00:00"/>
    <x v="0"/>
    <n v="11"/>
    <x v="1"/>
    <x v="0"/>
    <s v="Wednesday"/>
    <x v="0"/>
    <x v="0"/>
  </r>
  <r>
    <n v="63"/>
    <s v="Female"/>
    <x v="2"/>
    <x v="4"/>
    <x v="0"/>
    <n v="525"/>
    <n v="18"/>
    <d v="2024-10-25T00:00:00"/>
    <x v="0"/>
    <n v="10"/>
    <x v="1"/>
    <x v="8"/>
    <s v="Friday"/>
    <x v="1"/>
    <x v="0"/>
  </r>
  <r>
    <n v="74"/>
    <s v="Female"/>
    <x v="2"/>
    <x v="1"/>
    <x v="1"/>
    <n v="1508"/>
    <n v="1"/>
    <d v="2023-03-12T00:00:00"/>
    <x v="0"/>
    <n v="3"/>
    <x v="0"/>
    <x v="3"/>
    <s v="Sunday"/>
    <x v="0"/>
    <x v="2"/>
  </r>
  <r>
    <n v="7"/>
    <s v="Female"/>
    <x v="2"/>
    <x v="0"/>
    <x v="1"/>
    <n v="1123"/>
    <n v="13"/>
    <d v="2024-10-01T00:00:00"/>
    <x v="2"/>
    <n v="10"/>
    <x v="1"/>
    <x v="8"/>
    <s v="Tuesday"/>
    <x v="0"/>
    <x v="0"/>
  </r>
  <r>
    <n v="24"/>
    <s v="Male"/>
    <x v="5"/>
    <x v="4"/>
    <x v="1"/>
    <n v="677"/>
    <n v="20"/>
    <d v="2023-10-23T00:00:00"/>
    <x v="1"/>
    <n v="10"/>
    <x v="0"/>
    <x v="8"/>
    <s v="Monday"/>
    <x v="0"/>
    <x v="0"/>
  </r>
  <r>
    <n v="63"/>
    <s v="Female"/>
    <x v="6"/>
    <x v="3"/>
    <x v="0"/>
    <n v="1167"/>
    <n v="20"/>
    <d v="2024-12-22T00:00:00"/>
    <x v="0"/>
    <n v="12"/>
    <x v="1"/>
    <x v="7"/>
    <s v="Sunday"/>
    <x v="0"/>
    <x v="0"/>
  </r>
  <r>
    <n v="40"/>
    <s v="Female"/>
    <x v="5"/>
    <x v="2"/>
    <x v="0"/>
    <n v="768"/>
    <n v="10"/>
    <d v="2023-03-08T00:00:00"/>
    <x v="3"/>
    <n v="3"/>
    <x v="0"/>
    <x v="3"/>
    <s v="Wednesday"/>
    <x v="0"/>
    <x v="2"/>
  </r>
  <r>
    <n v="23"/>
    <s v="Female"/>
    <x v="2"/>
    <x v="4"/>
    <x v="0"/>
    <n v="564"/>
    <n v="11"/>
    <d v="2024-04-05T00:00:00"/>
    <x v="1"/>
    <n v="4"/>
    <x v="1"/>
    <x v="4"/>
    <s v="Friday"/>
    <x v="1"/>
    <x v="1"/>
  </r>
  <r>
    <n v="71"/>
    <s v="Female"/>
    <x v="1"/>
    <x v="0"/>
    <x v="0"/>
    <n v="1061"/>
    <n v="9"/>
    <d v="2024-02-15T00:00:00"/>
    <x v="0"/>
    <n v="2"/>
    <x v="1"/>
    <x v="2"/>
    <s v="Thursday"/>
    <x v="0"/>
    <x v="2"/>
  </r>
  <r>
    <n v="23"/>
    <s v="Female"/>
    <x v="0"/>
    <x v="4"/>
    <x v="0"/>
    <n v="441"/>
    <n v="9"/>
    <d v="2023-09-01T00:00:00"/>
    <x v="1"/>
    <n v="9"/>
    <x v="0"/>
    <x v="6"/>
    <s v="Friday"/>
    <x v="1"/>
    <x v="3"/>
  </r>
  <r>
    <n v="24"/>
    <s v="Female"/>
    <x v="0"/>
    <x v="5"/>
    <x v="0"/>
    <n v="1008"/>
    <n v="5"/>
    <d v="2023-10-01T00:00:00"/>
    <x v="1"/>
    <n v="10"/>
    <x v="0"/>
    <x v="8"/>
    <s v="Sunday"/>
    <x v="0"/>
    <x v="0"/>
  </r>
  <r>
    <n v="75"/>
    <s v="Female"/>
    <x v="2"/>
    <x v="2"/>
    <x v="2"/>
    <n v="750"/>
    <n v="1"/>
    <d v="2023-12-25T00:00:00"/>
    <x v="0"/>
    <n v="12"/>
    <x v="0"/>
    <x v="7"/>
    <s v="Monday"/>
    <x v="0"/>
    <x v="0"/>
  </r>
  <r>
    <n v="56"/>
    <s v="Male"/>
    <x v="5"/>
    <x v="0"/>
    <x v="1"/>
    <n v="1149"/>
    <n v="17"/>
    <d v="2024-11-10T00:00:00"/>
    <x v="0"/>
    <n v="11"/>
    <x v="1"/>
    <x v="0"/>
    <s v="Sunday"/>
    <x v="0"/>
    <x v="0"/>
  </r>
  <r>
    <n v="37"/>
    <s v="Male"/>
    <x v="2"/>
    <x v="0"/>
    <x v="1"/>
    <n v="920"/>
    <n v="2"/>
    <d v="2024-07-22T00:00:00"/>
    <x v="3"/>
    <n v="7"/>
    <x v="1"/>
    <x v="11"/>
    <s v="Monday"/>
    <x v="0"/>
    <x v="3"/>
  </r>
  <r>
    <n v="44"/>
    <s v="Female"/>
    <x v="3"/>
    <x v="1"/>
    <x v="2"/>
    <n v="1699"/>
    <n v="13"/>
    <d v="2024-07-10T00:00:00"/>
    <x v="3"/>
    <n v="7"/>
    <x v="1"/>
    <x v="11"/>
    <s v="Wednesday"/>
    <x v="0"/>
    <x v="3"/>
  </r>
  <r>
    <n v="43"/>
    <s v="Male"/>
    <x v="6"/>
    <x v="3"/>
    <x v="0"/>
    <n v="1238"/>
    <n v="9"/>
    <d v="2024-06-21T00:00:00"/>
    <x v="3"/>
    <n v="6"/>
    <x v="1"/>
    <x v="1"/>
    <s v="Friday"/>
    <x v="1"/>
    <x v="1"/>
  </r>
  <r>
    <n v="5"/>
    <s v="Female"/>
    <x v="2"/>
    <x v="1"/>
    <x v="0"/>
    <n v="1491"/>
    <n v="4"/>
    <d v="2023-03-15T00:00:00"/>
    <x v="2"/>
    <n v="3"/>
    <x v="0"/>
    <x v="3"/>
    <s v="Wednesday"/>
    <x v="0"/>
    <x v="2"/>
  </r>
  <r>
    <n v="15"/>
    <s v="Female"/>
    <x v="0"/>
    <x v="0"/>
    <x v="2"/>
    <n v="1179"/>
    <n v="5"/>
    <d v="2024-06-17T00:00:00"/>
    <x v="2"/>
    <n v="6"/>
    <x v="1"/>
    <x v="1"/>
    <s v="Monday"/>
    <x v="0"/>
    <x v="1"/>
  </r>
  <r>
    <n v="61"/>
    <s v="Female"/>
    <x v="2"/>
    <x v="2"/>
    <x v="0"/>
    <n v="824"/>
    <n v="11"/>
    <d v="2024-12-22T00:00:00"/>
    <x v="0"/>
    <n v="12"/>
    <x v="1"/>
    <x v="7"/>
    <s v="Sunday"/>
    <x v="0"/>
    <x v="0"/>
  </r>
  <r>
    <n v="54"/>
    <s v="Male"/>
    <x v="2"/>
    <x v="4"/>
    <x v="1"/>
    <n v="510"/>
    <n v="19"/>
    <d v="2024-08-06T00:00:00"/>
    <x v="3"/>
    <n v="8"/>
    <x v="1"/>
    <x v="9"/>
    <s v="Tuesday"/>
    <x v="0"/>
    <x v="3"/>
  </r>
  <r>
    <n v="27"/>
    <s v="Male"/>
    <x v="0"/>
    <x v="4"/>
    <x v="0"/>
    <n v="538"/>
    <n v="3"/>
    <d v="2024-08-03T00:00:00"/>
    <x v="1"/>
    <n v="8"/>
    <x v="1"/>
    <x v="9"/>
    <s v="Saturday"/>
    <x v="1"/>
    <x v="3"/>
  </r>
  <r>
    <n v="35"/>
    <s v="Male"/>
    <x v="0"/>
    <x v="2"/>
    <x v="0"/>
    <n v="972"/>
    <n v="12"/>
    <d v="2024-11-13T00:00:00"/>
    <x v="1"/>
    <n v="11"/>
    <x v="1"/>
    <x v="0"/>
    <s v="Wednesday"/>
    <x v="0"/>
    <x v="0"/>
  </r>
  <r>
    <n v="46"/>
    <s v="Female"/>
    <x v="3"/>
    <x v="0"/>
    <x v="0"/>
    <n v="998"/>
    <n v="19"/>
    <d v="2024-09-16T00:00:00"/>
    <x v="3"/>
    <n v="9"/>
    <x v="1"/>
    <x v="6"/>
    <s v="Monday"/>
    <x v="0"/>
    <x v="3"/>
  </r>
  <r>
    <n v="11"/>
    <s v="Female"/>
    <x v="0"/>
    <x v="4"/>
    <x v="2"/>
    <n v="651"/>
    <n v="19"/>
    <d v="2024-01-08T00:00:00"/>
    <x v="2"/>
    <n v="1"/>
    <x v="1"/>
    <x v="10"/>
    <s v="Monday"/>
    <x v="0"/>
    <x v="2"/>
  </r>
  <r>
    <n v="20"/>
    <s v="Female"/>
    <x v="3"/>
    <x v="4"/>
    <x v="1"/>
    <n v="503"/>
    <n v="13"/>
    <d v="2023-01-15T00:00:00"/>
    <x v="1"/>
    <n v="1"/>
    <x v="0"/>
    <x v="10"/>
    <s v="Sunday"/>
    <x v="0"/>
    <x v="2"/>
  </r>
  <r>
    <n v="64"/>
    <s v="Male"/>
    <x v="5"/>
    <x v="4"/>
    <x v="0"/>
    <n v="613"/>
    <n v="7"/>
    <d v="2024-03-17T00:00:00"/>
    <x v="0"/>
    <n v="3"/>
    <x v="1"/>
    <x v="3"/>
    <s v="Sunday"/>
    <x v="0"/>
    <x v="2"/>
  </r>
  <r>
    <n v="6"/>
    <s v="Female"/>
    <x v="3"/>
    <x v="3"/>
    <x v="1"/>
    <n v="1348"/>
    <n v="15"/>
    <d v="2024-03-17T00:00:00"/>
    <x v="2"/>
    <n v="3"/>
    <x v="1"/>
    <x v="3"/>
    <s v="Sunday"/>
    <x v="0"/>
    <x v="2"/>
  </r>
  <r>
    <n v="5"/>
    <s v="Female"/>
    <x v="3"/>
    <x v="3"/>
    <x v="0"/>
    <n v="1251"/>
    <n v="7"/>
    <d v="2024-10-22T00:00:00"/>
    <x v="2"/>
    <n v="10"/>
    <x v="1"/>
    <x v="8"/>
    <s v="Tuesday"/>
    <x v="0"/>
    <x v="0"/>
  </r>
  <r>
    <n v="52"/>
    <s v="Male"/>
    <x v="3"/>
    <x v="5"/>
    <x v="0"/>
    <n v="1149"/>
    <n v="8"/>
    <d v="2024-08-26T00:00:00"/>
    <x v="3"/>
    <n v="8"/>
    <x v="1"/>
    <x v="9"/>
    <s v="Monday"/>
    <x v="0"/>
    <x v="3"/>
  </r>
  <r>
    <n v="16"/>
    <s v="Female"/>
    <x v="0"/>
    <x v="1"/>
    <x v="0"/>
    <n v="1674"/>
    <n v="5"/>
    <d v="2023-10-13T00:00:00"/>
    <x v="2"/>
    <n v="10"/>
    <x v="0"/>
    <x v="8"/>
    <s v="Friday"/>
    <x v="1"/>
    <x v="0"/>
  </r>
  <r>
    <n v="73"/>
    <s v="Male"/>
    <x v="2"/>
    <x v="2"/>
    <x v="0"/>
    <n v="864"/>
    <n v="14"/>
    <d v="2023-01-17T00:00:00"/>
    <x v="0"/>
    <n v="1"/>
    <x v="0"/>
    <x v="10"/>
    <s v="Tuesday"/>
    <x v="0"/>
    <x v="2"/>
  </r>
  <r>
    <n v="41"/>
    <s v="Male"/>
    <x v="1"/>
    <x v="2"/>
    <x v="0"/>
    <n v="707"/>
    <n v="4"/>
    <d v="2023-02-06T00:00:00"/>
    <x v="3"/>
    <n v="2"/>
    <x v="0"/>
    <x v="2"/>
    <s v="Monday"/>
    <x v="0"/>
    <x v="2"/>
  </r>
  <r>
    <n v="36"/>
    <s v="Female"/>
    <x v="3"/>
    <x v="2"/>
    <x v="2"/>
    <n v="983"/>
    <n v="10"/>
    <d v="2023-02-17T00:00:00"/>
    <x v="3"/>
    <n v="2"/>
    <x v="0"/>
    <x v="2"/>
    <s v="Friday"/>
    <x v="1"/>
    <x v="2"/>
  </r>
  <r>
    <n v="13"/>
    <s v="Male"/>
    <x v="2"/>
    <x v="5"/>
    <x v="1"/>
    <n v="904"/>
    <n v="20"/>
    <d v="2023-03-16T00:00:00"/>
    <x v="2"/>
    <n v="3"/>
    <x v="0"/>
    <x v="3"/>
    <s v="Thursday"/>
    <x v="0"/>
    <x v="2"/>
  </r>
  <r>
    <n v="23"/>
    <s v="Female"/>
    <x v="0"/>
    <x v="3"/>
    <x v="0"/>
    <n v="1244"/>
    <n v="15"/>
    <d v="2023-06-14T00:00:00"/>
    <x v="1"/>
    <n v="6"/>
    <x v="0"/>
    <x v="1"/>
    <s v="Wednesday"/>
    <x v="0"/>
    <x v="1"/>
  </r>
  <r>
    <n v="52"/>
    <s v="Female"/>
    <x v="2"/>
    <x v="0"/>
    <x v="0"/>
    <n v="1000"/>
    <n v="18"/>
    <d v="2024-01-13T00:00:00"/>
    <x v="3"/>
    <n v="1"/>
    <x v="1"/>
    <x v="10"/>
    <s v="Saturday"/>
    <x v="1"/>
    <x v="2"/>
  </r>
  <r>
    <n v="7"/>
    <s v="Female"/>
    <x v="4"/>
    <x v="0"/>
    <x v="2"/>
    <n v="1063"/>
    <n v="20"/>
    <d v="2023-02-06T00:00:00"/>
    <x v="2"/>
    <n v="2"/>
    <x v="0"/>
    <x v="2"/>
    <s v="Monday"/>
    <x v="0"/>
    <x v="2"/>
  </r>
  <r>
    <n v="24"/>
    <s v="Male"/>
    <x v="2"/>
    <x v="5"/>
    <x v="2"/>
    <n v="1046"/>
    <n v="13"/>
    <d v="2023-01-03T00:00:00"/>
    <x v="1"/>
    <n v="1"/>
    <x v="0"/>
    <x v="10"/>
    <s v="Tuesday"/>
    <x v="0"/>
    <x v="2"/>
  </r>
  <r>
    <n v="28"/>
    <s v="Female"/>
    <x v="2"/>
    <x v="0"/>
    <x v="1"/>
    <n v="963"/>
    <n v="8"/>
    <d v="2024-05-14T00:00:00"/>
    <x v="1"/>
    <n v="5"/>
    <x v="1"/>
    <x v="5"/>
    <s v="Tuesday"/>
    <x v="0"/>
    <x v="1"/>
  </r>
  <r>
    <n v="58"/>
    <s v="Female"/>
    <x v="0"/>
    <x v="2"/>
    <x v="0"/>
    <n v="790"/>
    <n v="9"/>
    <d v="2023-07-14T00:00:00"/>
    <x v="0"/>
    <n v="7"/>
    <x v="0"/>
    <x v="11"/>
    <s v="Friday"/>
    <x v="1"/>
    <x v="3"/>
  </r>
  <r>
    <n v="37"/>
    <s v="Female"/>
    <x v="0"/>
    <x v="1"/>
    <x v="0"/>
    <n v="1516"/>
    <n v="16"/>
    <d v="2024-08-15T00:00:00"/>
    <x v="3"/>
    <n v="8"/>
    <x v="1"/>
    <x v="9"/>
    <s v="Thursday"/>
    <x v="0"/>
    <x v="3"/>
  </r>
  <r>
    <n v="28"/>
    <s v="Male"/>
    <x v="1"/>
    <x v="4"/>
    <x v="0"/>
    <n v="666"/>
    <n v="19"/>
    <d v="2024-10-08T00:00:00"/>
    <x v="1"/>
    <n v="10"/>
    <x v="1"/>
    <x v="8"/>
    <s v="Tuesday"/>
    <x v="0"/>
    <x v="0"/>
  </r>
  <r>
    <n v="79"/>
    <s v="Male"/>
    <x v="2"/>
    <x v="3"/>
    <x v="0"/>
    <n v="1272"/>
    <n v="16"/>
    <d v="2023-01-15T00:00:00"/>
    <x v="0"/>
    <n v="1"/>
    <x v="0"/>
    <x v="10"/>
    <s v="Sunday"/>
    <x v="0"/>
    <x v="2"/>
  </r>
  <r>
    <n v="76"/>
    <s v="Female"/>
    <x v="6"/>
    <x v="3"/>
    <x v="0"/>
    <n v="1146"/>
    <n v="7"/>
    <d v="2024-07-22T00:00:00"/>
    <x v="0"/>
    <n v="7"/>
    <x v="1"/>
    <x v="11"/>
    <s v="Monday"/>
    <x v="0"/>
    <x v="3"/>
  </r>
  <r>
    <n v="40"/>
    <s v="Male"/>
    <x v="2"/>
    <x v="5"/>
    <x v="2"/>
    <n v="1039"/>
    <n v="14"/>
    <d v="2023-05-27T00:00:00"/>
    <x v="3"/>
    <n v="5"/>
    <x v="0"/>
    <x v="5"/>
    <s v="Saturday"/>
    <x v="1"/>
    <x v="1"/>
  </r>
  <r>
    <n v="42"/>
    <s v="Female"/>
    <x v="6"/>
    <x v="3"/>
    <x v="0"/>
    <n v="1345"/>
    <n v="14"/>
    <d v="2023-10-13T00:00:00"/>
    <x v="3"/>
    <n v="10"/>
    <x v="0"/>
    <x v="8"/>
    <s v="Friday"/>
    <x v="1"/>
    <x v="0"/>
  </r>
  <r>
    <n v="29"/>
    <s v="Female"/>
    <x v="2"/>
    <x v="2"/>
    <x v="0"/>
    <n v="848"/>
    <n v="4"/>
    <d v="2024-01-17T00:00:00"/>
    <x v="1"/>
    <n v="1"/>
    <x v="1"/>
    <x v="10"/>
    <s v="Wednesday"/>
    <x v="0"/>
    <x v="2"/>
  </r>
  <r>
    <n v="22"/>
    <s v="Male"/>
    <x v="2"/>
    <x v="0"/>
    <x v="0"/>
    <n v="1145"/>
    <n v="15"/>
    <d v="2024-03-21T00:00:00"/>
    <x v="1"/>
    <n v="3"/>
    <x v="1"/>
    <x v="3"/>
    <s v="Thursday"/>
    <x v="0"/>
    <x v="2"/>
  </r>
  <r>
    <n v="70"/>
    <s v="Female"/>
    <x v="5"/>
    <x v="2"/>
    <x v="0"/>
    <n v="704"/>
    <n v="3"/>
    <d v="2023-07-24T00:00:00"/>
    <x v="0"/>
    <n v="7"/>
    <x v="0"/>
    <x v="11"/>
    <s v="Monday"/>
    <x v="0"/>
    <x v="3"/>
  </r>
  <r>
    <n v="58"/>
    <s v="Female"/>
    <x v="7"/>
    <x v="5"/>
    <x v="0"/>
    <n v="1083"/>
    <n v="5"/>
    <d v="2024-10-03T00:00:00"/>
    <x v="0"/>
    <n v="10"/>
    <x v="1"/>
    <x v="8"/>
    <s v="Thursday"/>
    <x v="0"/>
    <x v="0"/>
  </r>
  <r>
    <n v="39"/>
    <s v="Female"/>
    <x v="1"/>
    <x v="2"/>
    <x v="0"/>
    <n v="719"/>
    <n v="1"/>
    <d v="2024-01-06T00:00:00"/>
    <x v="3"/>
    <n v="1"/>
    <x v="1"/>
    <x v="10"/>
    <s v="Saturday"/>
    <x v="1"/>
    <x v="2"/>
  </r>
  <r>
    <n v="65"/>
    <s v="Female"/>
    <x v="3"/>
    <x v="0"/>
    <x v="0"/>
    <n v="945"/>
    <n v="3"/>
    <d v="2023-07-05T00:00:00"/>
    <x v="0"/>
    <n v="7"/>
    <x v="0"/>
    <x v="11"/>
    <s v="Wednesday"/>
    <x v="0"/>
    <x v="3"/>
  </r>
  <r>
    <n v="45"/>
    <s v="Female"/>
    <x v="4"/>
    <x v="1"/>
    <x v="1"/>
    <n v="1411"/>
    <n v="15"/>
    <d v="2023-05-22T00:00:00"/>
    <x v="3"/>
    <n v="5"/>
    <x v="0"/>
    <x v="5"/>
    <s v="Monday"/>
    <x v="0"/>
    <x v="1"/>
  </r>
  <r>
    <n v="37"/>
    <s v="Male"/>
    <x v="2"/>
    <x v="5"/>
    <x v="2"/>
    <n v="969"/>
    <n v="8"/>
    <d v="2024-01-26T00:00:00"/>
    <x v="3"/>
    <n v="1"/>
    <x v="1"/>
    <x v="10"/>
    <s v="Friday"/>
    <x v="1"/>
    <x v="2"/>
  </r>
  <r>
    <n v="72"/>
    <s v="Male"/>
    <x v="7"/>
    <x v="1"/>
    <x v="0"/>
    <n v="1416"/>
    <n v="4"/>
    <d v="2023-01-17T00:00:00"/>
    <x v="0"/>
    <n v="1"/>
    <x v="0"/>
    <x v="10"/>
    <s v="Tuesday"/>
    <x v="0"/>
    <x v="2"/>
  </r>
  <r>
    <n v="37"/>
    <s v="Female"/>
    <x v="0"/>
    <x v="4"/>
    <x v="0"/>
    <n v="546"/>
    <n v="2"/>
    <d v="2023-01-23T00:00:00"/>
    <x v="3"/>
    <n v="1"/>
    <x v="0"/>
    <x v="10"/>
    <s v="Monday"/>
    <x v="0"/>
    <x v="2"/>
  </r>
  <r>
    <n v="18"/>
    <s v="Male"/>
    <x v="5"/>
    <x v="1"/>
    <x v="1"/>
    <n v="1553"/>
    <n v="10"/>
    <d v="2023-11-25T00:00:00"/>
    <x v="1"/>
    <n v="11"/>
    <x v="0"/>
    <x v="0"/>
    <s v="Saturday"/>
    <x v="1"/>
    <x v="0"/>
  </r>
  <r>
    <n v="25"/>
    <s v="Male"/>
    <x v="6"/>
    <x v="4"/>
    <x v="0"/>
    <n v="507"/>
    <n v="4"/>
    <d v="2023-09-02T00:00:00"/>
    <x v="1"/>
    <n v="9"/>
    <x v="0"/>
    <x v="6"/>
    <s v="Saturday"/>
    <x v="1"/>
    <x v="3"/>
  </r>
  <r>
    <n v="52"/>
    <s v="Male"/>
    <x v="5"/>
    <x v="4"/>
    <x v="0"/>
    <n v="635"/>
    <n v="3"/>
    <d v="2023-11-26T00:00:00"/>
    <x v="3"/>
    <n v="11"/>
    <x v="0"/>
    <x v="0"/>
    <s v="Sunday"/>
    <x v="0"/>
    <x v="0"/>
  </r>
  <r>
    <n v="24"/>
    <s v="Female"/>
    <x v="0"/>
    <x v="1"/>
    <x v="1"/>
    <n v="1469"/>
    <n v="2"/>
    <d v="2023-03-15T00:00:00"/>
    <x v="1"/>
    <n v="3"/>
    <x v="0"/>
    <x v="3"/>
    <s v="Wednesday"/>
    <x v="0"/>
    <x v="2"/>
  </r>
  <r>
    <n v="12"/>
    <s v="Female"/>
    <x v="0"/>
    <x v="5"/>
    <x v="0"/>
    <n v="1082"/>
    <n v="17"/>
    <d v="2023-05-05T00:00:00"/>
    <x v="2"/>
    <n v="5"/>
    <x v="0"/>
    <x v="5"/>
    <s v="Friday"/>
    <x v="1"/>
    <x v="1"/>
  </r>
  <r>
    <n v="11"/>
    <s v="Female"/>
    <x v="6"/>
    <x v="0"/>
    <x v="0"/>
    <n v="1149"/>
    <n v="20"/>
    <d v="2024-11-26T00:00:00"/>
    <x v="2"/>
    <n v="11"/>
    <x v="1"/>
    <x v="0"/>
    <s v="Tuesday"/>
    <x v="0"/>
    <x v="0"/>
  </r>
  <r>
    <n v="71"/>
    <s v="Female"/>
    <x v="2"/>
    <x v="2"/>
    <x v="0"/>
    <n v="927"/>
    <n v="13"/>
    <d v="2023-10-20T00:00:00"/>
    <x v="0"/>
    <n v="10"/>
    <x v="0"/>
    <x v="8"/>
    <s v="Friday"/>
    <x v="1"/>
    <x v="0"/>
  </r>
  <r>
    <n v="21"/>
    <s v="Female"/>
    <x v="7"/>
    <x v="2"/>
    <x v="0"/>
    <n v="801"/>
    <n v="5"/>
    <d v="2024-12-06T00:00:00"/>
    <x v="1"/>
    <n v="12"/>
    <x v="1"/>
    <x v="7"/>
    <s v="Friday"/>
    <x v="1"/>
    <x v="0"/>
  </r>
  <r>
    <n v="37"/>
    <s v="Male"/>
    <x v="5"/>
    <x v="0"/>
    <x v="0"/>
    <n v="974"/>
    <n v="9"/>
    <d v="2024-09-06T00:00:00"/>
    <x v="3"/>
    <n v="9"/>
    <x v="1"/>
    <x v="6"/>
    <s v="Friday"/>
    <x v="1"/>
    <x v="3"/>
  </r>
  <r>
    <n v="52"/>
    <s v="Female"/>
    <x v="2"/>
    <x v="4"/>
    <x v="1"/>
    <n v="615"/>
    <n v="6"/>
    <d v="2024-06-27T00:00:00"/>
    <x v="3"/>
    <n v="6"/>
    <x v="1"/>
    <x v="1"/>
    <s v="Thursday"/>
    <x v="0"/>
    <x v="1"/>
  </r>
  <r>
    <n v="63"/>
    <s v="Male"/>
    <x v="5"/>
    <x v="4"/>
    <x v="0"/>
    <n v="602"/>
    <n v="5"/>
    <d v="2023-12-18T00:00:00"/>
    <x v="0"/>
    <n v="12"/>
    <x v="0"/>
    <x v="7"/>
    <s v="Monday"/>
    <x v="0"/>
    <x v="0"/>
  </r>
  <r>
    <n v="26"/>
    <s v="Female"/>
    <x v="0"/>
    <x v="5"/>
    <x v="0"/>
    <n v="1091"/>
    <n v="10"/>
    <d v="2023-09-18T00:00:00"/>
    <x v="1"/>
    <n v="9"/>
    <x v="0"/>
    <x v="6"/>
    <s v="Monday"/>
    <x v="0"/>
    <x v="3"/>
  </r>
  <r>
    <n v="34"/>
    <s v="Female"/>
    <x v="5"/>
    <x v="3"/>
    <x v="1"/>
    <n v="1348"/>
    <n v="8"/>
    <d v="2024-08-04T00:00:00"/>
    <x v="1"/>
    <n v="8"/>
    <x v="1"/>
    <x v="9"/>
    <s v="Sunday"/>
    <x v="0"/>
    <x v="3"/>
  </r>
  <r>
    <n v="42"/>
    <s v="Male"/>
    <x v="5"/>
    <x v="1"/>
    <x v="0"/>
    <n v="1641"/>
    <n v="7"/>
    <d v="2023-08-17T00:00:00"/>
    <x v="3"/>
    <n v="8"/>
    <x v="0"/>
    <x v="9"/>
    <s v="Thursday"/>
    <x v="0"/>
    <x v="3"/>
  </r>
  <r>
    <n v="55"/>
    <s v="Male"/>
    <x v="2"/>
    <x v="4"/>
    <x v="0"/>
    <n v="578"/>
    <n v="7"/>
    <d v="2024-01-25T00:00:00"/>
    <x v="3"/>
    <n v="1"/>
    <x v="1"/>
    <x v="10"/>
    <s v="Thursday"/>
    <x v="0"/>
    <x v="2"/>
  </r>
  <r>
    <n v="58"/>
    <s v="Male"/>
    <x v="0"/>
    <x v="2"/>
    <x v="2"/>
    <n v="918"/>
    <n v="6"/>
    <d v="2023-09-14T00:00:00"/>
    <x v="0"/>
    <n v="9"/>
    <x v="0"/>
    <x v="6"/>
    <s v="Thursday"/>
    <x v="0"/>
    <x v="3"/>
  </r>
  <r>
    <n v="12"/>
    <s v="Male"/>
    <x v="4"/>
    <x v="5"/>
    <x v="0"/>
    <n v="981"/>
    <n v="20"/>
    <d v="2023-06-14T00:00:00"/>
    <x v="2"/>
    <n v="6"/>
    <x v="0"/>
    <x v="1"/>
    <s v="Wednesday"/>
    <x v="0"/>
    <x v="1"/>
  </r>
  <r>
    <n v="31"/>
    <s v="Male"/>
    <x v="2"/>
    <x v="1"/>
    <x v="1"/>
    <n v="1491"/>
    <n v="3"/>
    <d v="2024-09-13T00:00:00"/>
    <x v="1"/>
    <n v="9"/>
    <x v="1"/>
    <x v="6"/>
    <s v="Friday"/>
    <x v="1"/>
    <x v="3"/>
  </r>
  <r>
    <n v="31"/>
    <s v="Female"/>
    <x v="3"/>
    <x v="5"/>
    <x v="1"/>
    <n v="1074"/>
    <n v="19"/>
    <d v="2024-03-07T00:00:00"/>
    <x v="1"/>
    <n v="3"/>
    <x v="1"/>
    <x v="3"/>
    <s v="Thursday"/>
    <x v="0"/>
    <x v="2"/>
  </r>
  <r>
    <n v="25"/>
    <s v="Female"/>
    <x v="0"/>
    <x v="1"/>
    <x v="0"/>
    <n v="1638"/>
    <n v="15"/>
    <d v="2024-12-12T00:00:00"/>
    <x v="1"/>
    <n v="12"/>
    <x v="1"/>
    <x v="7"/>
    <s v="Thursday"/>
    <x v="0"/>
    <x v="0"/>
  </r>
  <r>
    <n v="34"/>
    <s v="Female"/>
    <x v="0"/>
    <x v="1"/>
    <x v="0"/>
    <n v="1659"/>
    <n v="4"/>
    <d v="2023-03-23T00:00:00"/>
    <x v="1"/>
    <n v="3"/>
    <x v="0"/>
    <x v="3"/>
    <s v="Thursday"/>
    <x v="0"/>
    <x v="2"/>
  </r>
  <r>
    <n v="32"/>
    <s v="Female"/>
    <x v="0"/>
    <x v="0"/>
    <x v="2"/>
    <n v="1062"/>
    <n v="12"/>
    <d v="2024-06-15T00:00:00"/>
    <x v="1"/>
    <n v="6"/>
    <x v="1"/>
    <x v="1"/>
    <s v="Saturday"/>
    <x v="1"/>
    <x v="1"/>
  </r>
  <r>
    <n v="68"/>
    <s v="Female"/>
    <x v="0"/>
    <x v="4"/>
    <x v="0"/>
    <n v="447"/>
    <n v="6"/>
    <d v="2023-09-19T00:00:00"/>
    <x v="0"/>
    <n v="9"/>
    <x v="0"/>
    <x v="6"/>
    <s v="Tuesday"/>
    <x v="0"/>
    <x v="3"/>
  </r>
  <r>
    <n v="73"/>
    <s v="Female"/>
    <x v="2"/>
    <x v="5"/>
    <x v="1"/>
    <n v="1015"/>
    <n v="19"/>
    <d v="2023-07-11T00:00:00"/>
    <x v="0"/>
    <n v="7"/>
    <x v="0"/>
    <x v="11"/>
    <s v="Tuesday"/>
    <x v="0"/>
    <x v="3"/>
  </r>
  <r>
    <n v="65"/>
    <s v="Male"/>
    <x v="5"/>
    <x v="5"/>
    <x v="0"/>
    <n v="1124"/>
    <n v="4"/>
    <d v="2023-03-15T00:00:00"/>
    <x v="0"/>
    <n v="3"/>
    <x v="0"/>
    <x v="3"/>
    <s v="Wednesday"/>
    <x v="0"/>
    <x v="2"/>
  </r>
  <r>
    <n v="52"/>
    <s v="Female"/>
    <x v="2"/>
    <x v="0"/>
    <x v="0"/>
    <n v="1046"/>
    <n v="15"/>
    <d v="2024-03-12T00:00:00"/>
    <x v="3"/>
    <n v="3"/>
    <x v="1"/>
    <x v="3"/>
    <s v="Tuesday"/>
    <x v="0"/>
    <x v="2"/>
  </r>
  <r>
    <n v="23"/>
    <s v="Male"/>
    <x v="2"/>
    <x v="2"/>
    <x v="0"/>
    <n v="762"/>
    <n v="9"/>
    <d v="2024-02-03T00:00:00"/>
    <x v="1"/>
    <n v="2"/>
    <x v="1"/>
    <x v="2"/>
    <s v="Saturday"/>
    <x v="1"/>
    <x v="2"/>
  </r>
  <r>
    <n v="8"/>
    <s v="Female"/>
    <x v="2"/>
    <x v="2"/>
    <x v="2"/>
    <n v="993"/>
    <n v="5"/>
    <d v="2024-09-17T00:00:00"/>
    <x v="2"/>
    <n v="9"/>
    <x v="1"/>
    <x v="6"/>
    <s v="Tuesday"/>
    <x v="0"/>
    <x v="3"/>
  </r>
  <r>
    <n v="39"/>
    <s v="Female"/>
    <x v="2"/>
    <x v="4"/>
    <x v="2"/>
    <n v="412"/>
    <n v="13"/>
    <d v="2023-03-03T00:00:00"/>
    <x v="3"/>
    <n v="3"/>
    <x v="0"/>
    <x v="3"/>
    <s v="Friday"/>
    <x v="1"/>
    <x v="2"/>
  </r>
  <r>
    <n v="68"/>
    <s v="Female"/>
    <x v="0"/>
    <x v="4"/>
    <x v="0"/>
    <n v="588"/>
    <n v="18"/>
    <d v="2023-11-19T00:00:00"/>
    <x v="0"/>
    <n v="11"/>
    <x v="0"/>
    <x v="0"/>
    <s v="Sunday"/>
    <x v="0"/>
    <x v="0"/>
  </r>
  <r>
    <n v="53"/>
    <s v="Male"/>
    <x v="3"/>
    <x v="3"/>
    <x v="0"/>
    <n v="1386"/>
    <n v="5"/>
    <d v="2024-05-20T00:00:00"/>
    <x v="3"/>
    <n v="5"/>
    <x v="1"/>
    <x v="5"/>
    <s v="Monday"/>
    <x v="0"/>
    <x v="1"/>
  </r>
  <r>
    <n v="21"/>
    <s v="Female"/>
    <x v="6"/>
    <x v="0"/>
    <x v="1"/>
    <n v="1107"/>
    <n v="16"/>
    <d v="2023-09-04T00:00:00"/>
    <x v="1"/>
    <n v="9"/>
    <x v="0"/>
    <x v="6"/>
    <s v="Monday"/>
    <x v="0"/>
    <x v="3"/>
  </r>
  <r>
    <n v="48"/>
    <s v="Female"/>
    <x v="2"/>
    <x v="2"/>
    <x v="0"/>
    <n v="813"/>
    <n v="19"/>
    <d v="2023-08-03T00:00:00"/>
    <x v="3"/>
    <n v="8"/>
    <x v="0"/>
    <x v="9"/>
    <s v="Thursday"/>
    <x v="0"/>
    <x v="3"/>
  </r>
  <r>
    <n v="34"/>
    <s v="Male"/>
    <x v="1"/>
    <x v="1"/>
    <x v="0"/>
    <n v="1421"/>
    <n v="14"/>
    <d v="2024-02-26T00:00:00"/>
    <x v="1"/>
    <n v="2"/>
    <x v="1"/>
    <x v="2"/>
    <s v="Monday"/>
    <x v="0"/>
    <x v="2"/>
  </r>
  <r>
    <n v="50"/>
    <s v="Male"/>
    <x v="5"/>
    <x v="5"/>
    <x v="0"/>
    <n v="1113"/>
    <n v="16"/>
    <d v="2024-03-16T00:00:00"/>
    <x v="3"/>
    <n v="3"/>
    <x v="1"/>
    <x v="3"/>
    <s v="Saturday"/>
    <x v="1"/>
    <x v="2"/>
  </r>
  <r>
    <n v="10"/>
    <s v="Female"/>
    <x v="0"/>
    <x v="4"/>
    <x v="0"/>
    <n v="570"/>
    <n v="15"/>
    <d v="2024-02-12T00:00:00"/>
    <x v="2"/>
    <n v="2"/>
    <x v="1"/>
    <x v="2"/>
    <s v="Monday"/>
    <x v="0"/>
    <x v="2"/>
  </r>
  <r>
    <n v="41"/>
    <s v="Male"/>
    <x v="4"/>
    <x v="5"/>
    <x v="2"/>
    <n v="953"/>
    <n v="4"/>
    <d v="2023-08-08T00:00:00"/>
    <x v="3"/>
    <n v="8"/>
    <x v="0"/>
    <x v="9"/>
    <s v="Tuesday"/>
    <x v="0"/>
    <x v="3"/>
  </r>
  <r>
    <n v="28"/>
    <s v="Female"/>
    <x v="7"/>
    <x v="5"/>
    <x v="0"/>
    <n v="1197"/>
    <n v="7"/>
    <d v="2023-06-24T00:00:00"/>
    <x v="1"/>
    <n v="6"/>
    <x v="0"/>
    <x v="1"/>
    <s v="Saturday"/>
    <x v="1"/>
    <x v="1"/>
  </r>
  <r>
    <n v="50"/>
    <s v="Male"/>
    <x v="2"/>
    <x v="3"/>
    <x v="0"/>
    <n v="1225"/>
    <n v="16"/>
    <d v="2023-06-17T00:00:00"/>
    <x v="3"/>
    <n v="6"/>
    <x v="0"/>
    <x v="1"/>
    <s v="Saturday"/>
    <x v="1"/>
    <x v="1"/>
  </r>
  <r>
    <n v="57"/>
    <s v="Male"/>
    <x v="0"/>
    <x v="2"/>
    <x v="0"/>
    <n v="976"/>
    <n v="8"/>
    <d v="2023-12-07T00:00:00"/>
    <x v="0"/>
    <n v="12"/>
    <x v="0"/>
    <x v="7"/>
    <s v="Thursday"/>
    <x v="0"/>
    <x v="0"/>
  </r>
  <r>
    <n v="64"/>
    <s v="Female"/>
    <x v="4"/>
    <x v="4"/>
    <x v="1"/>
    <n v="603"/>
    <n v="17"/>
    <d v="2023-09-11T00:00:00"/>
    <x v="0"/>
    <n v="9"/>
    <x v="0"/>
    <x v="6"/>
    <s v="Monday"/>
    <x v="0"/>
    <x v="3"/>
  </r>
  <r>
    <n v="67"/>
    <s v="Male"/>
    <x v="5"/>
    <x v="5"/>
    <x v="0"/>
    <n v="1093"/>
    <n v="16"/>
    <d v="2024-08-18T00:00:00"/>
    <x v="0"/>
    <n v="8"/>
    <x v="1"/>
    <x v="9"/>
    <s v="Sunday"/>
    <x v="0"/>
    <x v="3"/>
  </r>
  <r>
    <n v="36"/>
    <s v="Female"/>
    <x v="2"/>
    <x v="4"/>
    <x v="0"/>
    <n v="568"/>
    <n v="10"/>
    <d v="2023-04-01T00:00:00"/>
    <x v="3"/>
    <n v="4"/>
    <x v="0"/>
    <x v="4"/>
    <s v="Saturday"/>
    <x v="1"/>
    <x v="1"/>
  </r>
  <r>
    <n v="37"/>
    <s v="Male"/>
    <x v="6"/>
    <x v="1"/>
    <x v="0"/>
    <n v="1551"/>
    <n v="10"/>
    <d v="2023-12-03T00:00:00"/>
    <x v="3"/>
    <n v="12"/>
    <x v="0"/>
    <x v="7"/>
    <s v="Sunday"/>
    <x v="0"/>
    <x v="0"/>
  </r>
  <r>
    <n v="71"/>
    <s v="Male"/>
    <x v="6"/>
    <x v="3"/>
    <x v="1"/>
    <n v="1134"/>
    <n v="2"/>
    <d v="2023-04-04T00:00:00"/>
    <x v="0"/>
    <n v="4"/>
    <x v="0"/>
    <x v="4"/>
    <s v="Tuesday"/>
    <x v="0"/>
    <x v="1"/>
  </r>
  <r>
    <n v="22"/>
    <s v="Female"/>
    <x v="5"/>
    <x v="1"/>
    <x v="0"/>
    <n v="1583"/>
    <n v="9"/>
    <d v="2024-09-13T00:00:00"/>
    <x v="1"/>
    <n v="9"/>
    <x v="1"/>
    <x v="6"/>
    <s v="Friday"/>
    <x v="1"/>
    <x v="3"/>
  </r>
  <r>
    <n v="29"/>
    <s v="Male"/>
    <x v="6"/>
    <x v="4"/>
    <x v="0"/>
    <n v="685"/>
    <n v="17"/>
    <d v="2024-01-06T00:00:00"/>
    <x v="1"/>
    <n v="1"/>
    <x v="1"/>
    <x v="10"/>
    <s v="Saturday"/>
    <x v="1"/>
    <x v="2"/>
  </r>
  <r>
    <n v="58"/>
    <s v="Female"/>
    <x v="6"/>
    <x v="4"/>
    <x v="0"/>
    <n v="456"/>
    <n v="11"/>
    <d v="2024-02-26T00:00:00"/>
    <x v="0"/>
    <n v="2"/>
    <x v="1"/>
    <x v="2"/>
    <s v="Monday"/>
    <x v="0"/>
    <x v="2"/>
  </r>
  <r>
    <n v="62"/>
    <s v="Female"/>
    <x v="2"/>
    <x v="2"/>
    <x v="0"/>
    <n v="921"/>
    <n v="10"/>
    <d v="2023-02-14T00:00:00"/>
    <x v="0"/>
    <n v="2"/>
    <x v="0"/>
    <x v="2"/>
    <s v="Tuesday"/>
    <x v="0"/>
    <x v="2"/>
  </r>
  <r>
    <n v="71"/>
    <s v="Female"/>
    <x v="2"/>
    <x v="5"/>
    <x v="0"/>
    <n v="1062"/>
    <n v="17"/>
    <d v="2024-06-05T00:00:00"/>
    <x v="0"/>
    <n v="6"/>
    <x v="1"/>
    <x v="1"/>
    <s v="Wednesday"/>
    <x v="0"/>
    <x v="1"/>
  </r>
  <r>
    <n v="50"/>
    <s v="Male"/>
    <x v="3"/>
    <x v="5"/>
    <x v="1"/>
    <n v="918"/>
    <n v="4"/>
    <d v="2024-04-16T00:00:00"/>
    <x v="3"/>
    <n v="4"/>
    <x v="1"/>
    <x v="4"/>
    <s v="Tuesday"/>
    <x v="0"/>
    <x v="1"/>
  </r>
  <r>
    <n v="28"/>
    <s v="Male"/>
    <x v="4"/>
    <x v="1"/>
    <x v="0"/>
    <n v="1663"/>
    <n v="16"/>
    <d v="2024-11-15T00:00:00"/>
    <x v="1"/>
    <n v="11"/>
    <x v="1"/>
    <x v="0"/>
    <s v="Friday"/>
    <x v="1"/>
    <x v="0"/>
  </r>
  <r>
    <n v="36"/>
    <s v="Female"/>
    <x v="2"/>
    <x v="3"/>
    <x v="1"/>
    <n v="1381"/>
    <n v="20"/>
    <d v="2023-10-15T00:00:00"/>
    <x v="3"/>
    <n v="10"/>
    <x v="0"/>
    <x v="8"/>
    <s v="Sunday"/>
    <x v="0"/>
    <x v="0"/>
  </r>
  <r>
    <n v="51"/>
    <s v="Female"/>
    <x v="3"/>
    <x v="0"/>
    <x v="0"/>
    <n v="1012"/>
    <n v="15"/>
    <d v="2024-03-04T00:00:00"/>
    <x v="3"/>
    <n v="3"/>
    <x v="1"/>
    <x v="3"/>
    <s v="Monday"/>
    <x v="0"/>
    <x v="2"/>
  </r>
  <r>
    <n v="27"/>
    <s v="Female"/>
    <x v="5"/>
    <x v="5"/>
    <x v="1"/>
    <n v="929"/>
    <n v="5"/>
    <d v="2023-03-08T00:00:00"/>
    <x v="1"/>
    <n v="3"/>
    <x v="0"/>
    <x v="3"/>
    <s v="Wednesday"/>
    <x v="0"/>
    <x v="2"/>
  </r>
  <r>
    <n v="70"/>
    <s v="Male"/>
    <x v="0"/>
    <x v="2"/>
    <x v="0"/>
    <n v="834"/>
    <n v="6"/>
    <d v="2023-03-27T00:00:00"/>
    <x v="0"/>
    <n v="3"/>
    <x v="0"/>
    <x v="3"/>
    <s v="Monday"/>
    <x v="0"/>
    <x v="2"/>
  </r>
  <r>
    <n v="31"/>
    <s v="Male"/>
    <x v="5"/>
    <x v="1"/>
    <x v="0"/>
    <n v="1466"/>
    <n v="17"/>
    <d v="2024-06-16T00:00:00"/>
    <x v="1"/>
    <n v="6"/>
    <x v="1"/>
    <x v="1"/>
    <s v="Sunday"/>
    <x v="0"/>
    <x v="1"/>
  </r>
  <r>
    <n v="6"/>
    <s v="Female"/>
    <x v="1"/>
    <x v="1"/>
    <x v="2"/>
    <n v="1464"/>
    <n v="1"/>
    <d v="2023-08-16T00:00:00"/>
    <x v="2"/>
    <n v="8"/>
    <x v="0"/>
    <x v="9"/>
    <s v="Wednesday"/>
    <x v="0"/>
    <x v="3"/>
  </r>
  <r>
    <n v="21"/>
    <s v="Female"/>
    <x v="3"/>
    <x v="0"/>
    <x v="1"/>
    <n v="1191"/>
    <n v="19"/>
    <d v="2024-11-04T00:00:00"/>
    <x v="1"/>
    <n v="11"/>
    <x v="1"/>
    <x v="0"/>
    <s v="Monday"/>
    <x v="0"/>
    <x v="0"/>
  </r>
  <r>
    <n v="37"/>
    <s v="Female"/>
    <x v="0"/>
    <x v="2"/>
    <x v="0"/>
    <n v="724"/>
    <n v="4"/>
    <d v="2023-07-13T00:00:00"/>
    <x v="3"/>
    <n v="7"/>
    <x v="0"/>
    <x v="11"/>
    <s v="Thursday"/>
    <x v="0"/>
    <x v="3"/>
  </r>
  <r>
    <n v="13"/>
    <s v="Female"/>
    <x v="0"/>
    <x v="3"/>
    <x v="0"/>
    <n v="1136"/>
    <n v="17"/>
    <d v="2024-04-26T00:00:00"/>
    <x v="2"/>
    <n v="4"/>
    <x v="1"/>
    <x v="4"/>
    <s v="Friday"/>
    <x v="1"/>
    <x v="1"/>
  </r>
  <r>
    <n v="47"/>
    <s v="Female"/>
    <x v="3"/>
    <x v="2"/>
    <x v="1"/>
    <n v="700"/>
    <n v="9"/>
    <d v="2024-11-13T00:00:00"/>
    <x v="3"/>
    <n v="11"/>
    <x v="1"/>
    <x v="0"/>
    <s v="Wednesday"/>
    <x v="0"/>
    <x v="0"/>
  </r>
  <r>
    <n v="52"/>
    <s v="Male"/>
    <x v="0"/>
    <x v="3"/>
    <x v="0"/>
    <n v="1136"/>
    <n v="2"/>
    <d v="2024-12-02T00:00:00"/>
    <x v="3"/>
    <n v="12"/>
    <x v="1"/>
    <x v="7"/>
    <s v="Monday"/>
    <x v="0"/>
    <x v="0"/>
  </r>
  <r>
    <n v="43"/>
    <s v="Male"/>
    <x v="0"/>
    <x v="2"/>
    <x v="1"/>
    <n v="840"/>
    <n v="8"/>
    <d v="2023-04-03T00:00:00"/>
    <x v="3"/>
    <n v="4"/>
    <x v="0"/>
    <x v="4"/>
    <s v="Monday"/>
    <x v="0"/>
    <x v="1"/>
  </r>
  <r>
    <n v="46"/>
    <s v="Male"/>
    <x v="0"/>
    <x v="2"/>
    <x v="1"/>
    <n v="931"/>
    <n v="15"/>
    <d v="2024-11-22T00:00:00"/>
    <x v="3"/>
    <n v="11"/>
    <x v="1"/>
    <x v="0"/>
    <s v="Friday"/>
    <x v="1"/>
    <x v="0"/>
  </r>
  <r>
    <n v="30"/>
    <s v="Male"/>
    <x v="2"/>
    <x v="4"/>
    <x v="0"/>
    <n v="535"/>
    <n v="7"/>
    <d v="2023-10-08T00:00:00"/>
    <x v="1"/>
    <n v="10"/>
    <x v="0"/>
    <x v="8"/>
    <s v="Sunday"/>
    <x v="0"/>
    <x v="0"/>
  </r>
  <r>
    <n v="54"/>
    <s v="Female"/>
    <x v="2"/>
    <x v="1"/>
    <x v="0"/>
    <n v="1587"/>
    <n v="6"/>
    <d v="2024-11-24T00:00:00"/>
    <x v="3"/>
    <n v="11"/>
    <x v="1"/>
    <x v="0"/>
    <s v="Sunday"/>
    <x v="0"/>
    <x v="0"/>
  </r>
  <r>
    <n v="29"/>
    <s v="Male"/>
    <x v="0"/>
    <x v="2"/>
    <x v="0"/>
    <n v="827"/>
    <n v="1"/>
    <d v="2023-11-15T00:00:00"/>
    <x v="1"/>
    <n v="11"/>
    <x v="0"/>
    <x v="0"/>
    <s v="Wednesday"/>
    <x v="0"/>
    <x v="0"/>
  </r>
  <r>
    <n v="28"/>
    <s v="Female"/>
    <x v="0"/>
    <x v="0"/>
    <x v="0"/>
    <n v="1100"/>
    <n v="15"/>
    <d v="2023-11-11T00:00:00"/>
    <x v="1"/>
    <n v="11"/>
    <x v="0"/>
    <x v="0"/>
    <s v="Saturday"/>
    <x v="1"/>
    <x v="0"/>
  </r>
  <r>
    <n v="17"/>
    <s v="Male"/>
    <x v="2"/>
    <x v="2"/>
    <x v="0"/>
    <n v="826"/>
    <n v="7"/>
    <d v="2024-02-09T00:00:00"/>
    <x v="2"/>
    <n v="2"/>
    <x v="1"/>
    <x v="2"/>
    <s v="Friday"/>
    <x v="1"/>
    <x v="2"/>
  </r>
  <r>
    <n v="64"/>
    <s v="Male"/>
    <x v="5"/>
    <x v="5"/>
    <x v="2"/>
    <n v="1156"/>
    <n v="17"/>
    <d v="2024-01-07T00:00:00"/>
    <x v="0"/>
    <n v="1"/>
    <x v="1"/>
    <x v="10"/>
    <s v="Sunday"/>
    <x v="0"/>
    <x v="2"/>
  </r>
  <r>
    <n v="11"/>
    <s v="Male"/>
    <x v="5"/>
    <x v="1"/>
    <x v="0"/>
    <n v="1563"/>
    <n v="2"/>
    <d v="2024-09-13T00:00:00"/>
    <x v="2"/>
    <n v="9"/>
    <x v="1"/>
    <x v="6"/>
    <s v="Friday"/>
    <x v="1"/>
    <x v="3"/>
  </r>
  <r>
    <n v="61"/>
    <s v="Male"/>
    <x v="2"/>
    <x v="5"/>
    <x v="1"/>
    <n v="934"/>
    <n v="9"/>
    <d v="2024-12-02T00:00:00"/>
    <x v="0"/>
    <n v="12"/>
    <x v="1"/>
    <x v="7"/>
    <s v="Monday"/>
    <x v="0"/>
    <x v="0"/>
  </r>
  <r>
    <n v="40"/>
    <s v="Female"/>
    <x v="1"/>
    <x v="1"/>
    <x v="0"/>
    <n v="1593"/>
    <n v="9"/>
    <d v="2024-12-08T00:00:00"/>
    <x v="3"/>
    <n v="12"/>
    <x v="1"/>
    <x v="7"/>
    <s v="Sunday"/>
    <x v="0"/>
    <x v="0"/>
  </r>
  <r>
    <n v="49"/>
    <s v="Male"/>
    <x v="0"/>
    <x v="5"/>
    <x v="0"/>
    <n v="1090"/>
    <n v="13"/>
    <d v="2023-02-07T00:00:00"/>
    <x v="3"/>
    <n v="2"/>
    <x v="0"/>
    <x v="2"/>
    <s v="Tuesday"/>
    <x v="0"/>
    <x v="2"/>
  </r>
  <r>
    <n v="24"/>
    <s v="Female"/>
    <x v="5"/>
    <x v="2"/>
    <x v="0"/>
    <n v="803"/>
    <n v="6"/>
    <d v="2024-08-24T00:00:00"/>
    <x v="1"/>
    <n v="8"/>
    <x v="1"/>
    <x v="9"/>
    <s v="Saturday"/>
    <x v="1"/>
    <x v="3"/>
  </r>
  <r>
    <n v="69"/>
    <s v="Male"/>
    <x v="3"/>
    <x v="2"/>
    <x v="0"/>
    <n v="722"/>
    <n v="6"/>
    <d v="2024-09-12T00:00:00"/>
    <x v="0"/>
    <n v="9"/>
    <x v="1"/>
    <x v="6"/>
    <s v="Thursday"/>
    <x v="0"/>
    <x v="3"/>
  </r>
  <r>
    <n v="12"/>
    <s v="Male"/>
    <x v="7"/>
    <x v="4"/>
    <x v="0"/>
    <n v="664"/>
    <n v="20"/>
    <d v="2023-04-19T00:00:00"/>
    <x v="2"/>
    <n v="4"/>
    <x v="0"/>
    <x v="4"/>
    <s v="Wednesday"/>
    <x v="0"/>
    <x v="1"/>
  </r>
  <r>
    <n v="20"/>
    <s v="Male"/>
    <x v="5"/>
    <x v="0"/>
    <x v="0"/>
    <n v="1189"/>
    <n v="20"/>
    <d v="2024-08-07T00:00:00"/>
    <x v="1"/>
    <n v="8"/>
    <x v="1"/>
    <x v="9"/>
    <s v="Wednesday"/>
    <x v="0"/>
    <x v="3"/>
  </r>
  <r>
    <n v="18"/>
    <s v="Female"/>
    <x v="5"/>
    <x v="5"/>
    <x v="1"/>
    <n v="1159"/>
    <n v="3"/>
    <d v="2024-09-10T00:00:00"/>
    <x v="1"/>
    <n v="9"/>
    <x v="1"/>
    <x v="6"/>
    <s v="Tuesday"/>
    <x v="0"/>
    <x v="3"/>
  </r>
  <r>
    <n v="19"/>
    <s v="Female"/>
    <x v="6"/>
    <x v="3"/>
    <x v="0"/>
    <n v="1174"/>
    <n v="17"/>
    <d v="2023-10-25T00:00:00"/>
    <x v="1"/>
    <n v="10"/>
    <x v="0"/>
    <x v="8"/>
    <s v="Wednesday"/>
    <x v="0"/>
    <x v="0"/>
  </r>
  <r>
    <n v="70"/>
    <s v="Male"/>
    <x v="2"/>
    <x v="4"/>
    <x v="0"/>
    <n v="471"/>
    <n v="17"/>
    <d v="2024-10-16T00:00:00"/>
    <x v="0"/>
    <n v="10"/>
    <x v="1"/>
    <x v="8"/>
    <s v="Wednesday"/>
    <x v="0"/>
    <x v="0"/>
  </r>
  <r>
    <n v="36"/>
    <s v="Male"/>
    <x v="2"/>
    <x v="5"/>
    <x v="0"/>
    <n v="1158"/>
    <n v="12"/>
    <d v="2024-05-03T00:00:00"/>
    <x v="3"/>
    <n v="5"/>
    <x v="1"/>
    <x v="5"/>
    <s v="Friday"/>
    <x v="1"/>
    <x v="1"/>
  </r>
  <r>
    <n v="67"/>
    <s v="Female"/>
    <x v="5"/>
    <x v="5"/>
    <x v="0"/>
    <n v="1087"/>
    <n v="16"/>
    <d v="2024-07-10T00:00:00"/>
    <x v="0"/>
    <n v="7"/>
    <x v="1"/>
    <x v="11"/>
    <s v="Wednesday"/>
    <x v="0"/>
    <x v="3"/>
  </r>
  <r>
    <n v="55"/>
    <s v="Male"/>
    <x v="0"/>
    <x v="4"/>
    <x v="0"/>
    <n v="572"/>
    <n v="15"/>
    <d v="2023-10-06T00:00:00"/>
    <x v="3"/>
    <n v="10"/>
    <x v="0"/>
    <x v="8"/>
    <s v="Friday"/>
    <x v="1"/>
    <x v="0"/>
  </r>
  <r>
    <n v="29"/>
    <s v="Male"/>
    <x v="5"/>
    <x v="2"/>
    <x v="0"/>
    <n v="989"/>
    <n v="13"/>
    <d v="2024-04-18T00:00:00"/>
    <x v="1"/>
    <n v="4"/>
    <x v="1"/>
    <x v="4"/>
    <s v="Thursday"/>
    <x v="0"/>
    <x v="1"/>
  </r>
  <r>
    <n v="62"/>
    <s v="Female"/>
    <x v="2"/>
    <x v="5"/>
    <x v="0"/>
    <n v="944"/>
    <n v="1"/>
    <d v="2023-01-18T00:00:00"/>
    <x v="0"/>
    <n v="1"/>
    <x v="0"/>
    <x v="10"/>
    <s v="Wednesday"/>
    <x v="0"/>
    <x v="2"/>
  </r>
  <r>
    <n v="67"/>
    <s v="Female"/>
    <x v="0"/>
    <x v="2"/>
    <x v="0"/>
    <n v="760"/>
    <n v="17"/>
    <d v="2024-03-05T00:00:00"/>
    <x v="0"/>
    <n v="3"/>
    <x v="1"/>
    <x v="3"/>
    <s v="Tuesday"/>
    <x v="0"/>
    <x v="2"/>
  </r>
  <r>
    <n v="66"/>
    <s v="Male"/>
    <x v="0"/>
    <x v="4"/>
    <x v="0"/>
    <n v="482"/>
    <n v="3"/>
    <d v="2023-05-21T00:00:00"/>
    <x v="0"/>
    <n v="5"/>
    <x v="0"/>
    <x v="5"/>
    <s v="Sunday"/>
    <x v="0"/>
    <x v="1"/>
  </r>
  <r>
    <n v="26"/>
    <s v="Female"/>
    <x v="0"/>
    <x v="2"/>
    <x v="1"/>
    <n v="822"/>
    <n v="15"/>
    <d v="2024-03-07T00:00:00"/>
    <x v="1"/>
    <n v="3"/>
    <x v="1"/>
    <x v="3"/>
    <s v="Thursday"/>
    <x v="0"/>
    <x v="2"/>
  </r>
  <r>
    <n v="62"/>
    <s v="Female"/>
    <x v="3"/>
    <x v="1"/>
    <x v="0"/>
    <n v="1415"/>
    <n v="4"/>
    <d v="2023-12-02T00:00:00"/>
    <x v="0"/>
    <n v="12"/>
    <x v="0"/>
    <x v="7"/>
    <s v="Saturday"/>
    <x v="1"/>
    <x v="0"/>
  </r>
  <r>
    <n v="62"/>
    <s v="Male"/>
    <x v="0"/>
    <x v="3"/>
    <x v="0"/>
    <n v="1165"/>
    <n v="4"/>
    <d v="2023-11-11T00:00:00"/>
    <x v="0"/>
    <n v="11"/>
    <x v="0"/>
    <x v="0"/>
    <s v="Saturday"/>
    <x v="1"/>
    <x v="0"/>
  </r>
  <r>
    <n v="53"/>
    <s v="Female"/>
    <x v="0"/>
    <x v="5"/>
    <x v="0"/>
    <n v="1044"/>
    <n v="18"/>
    <d v="2023-07-13T00:00:00"/>
    <x v="3"/>
    <n v="7"/>
    <x v="0"/>
    <x v="11"/>
    <s v="Thursday"/>
    <x v="0"/>
    <x v="3"/>
  </r>
  <r>
    <n v="56"/>
    <s v="Female"/>
    <x v="0"/>
    <x v="0"/>
    <x v="0"/>
    <n v="1061"/>
    <n v="17"/>
    <d v="2023-12-23T00:00:00"/>
    <x v="0"/>
    <n v="12"/>
    <x v="0"/>
    <x v="7"/>
    <s v="Saturday"/>
    <x v="1"/>
    <x v="0"/>
  </r>
  <r>
    <n v="46"/>
    <s v="Male"/>
    <x v="0"/>
    <x v="3"/>
    <x v="2"/>
    <n v="1333"/>
    <n v="19"/>
    <d v="2023-09-05T00:00:00"/>
    <x v="3"/>
    <n v="9"/>
    <x v="0"/>
    <x v="6"/>
    <s v="Tuesday"/>
    <x v="0"/>
    <x v="3"/>
  </r>
  <r>
    <n v="74"/>
    <s v="Male"/>
    <x v="6"/>
    <x v="2"/>
    <x v="0"/>
    <n v="843"/>
    <n v="11"/>
    <d v="2023-12-06T00:00:00"/>
    <x v="0"/>
    <n v="12"/>
    <x v="0"/>
    <x v="7"/>
    <s v="Wednesday"/>
    <x v="0"/>
    <x v="0"/>
  </r>
  <r>
    <n v="19"/>
    <s v="Male"/>
    <x v="2"/>
    <x v="5"/>
    <x v="0"/>
    <n v="1087"/>
    <n v="20"/>
    <d v="2024-06-24T00:00:00"/>
    <x v="1"/>
    <n v="6"/>
    <x v="1"/>
    <x v="1"/>
    <s v="Monday"/>
    <x v="0"/>
    <x v="1"/>
  </r>
  <r>
    <n v="58"/>
    <s v="Female"/>
    <x v="3"/>
    <x v="2"/>
    <x v="0"/>
    <n v="712"/>
    <n v="3"/>
    <d v="2024-10-26T00:00:00"/>
    <x v="0"/>
    <n v="10"/>
    <x v="1"/>
    <x v="8"/>
    <s v="Saturday"/>
    <x v="1"/>
    <x v="0"/>
  </r>
  <r>
    <n v="64"/>
    <s v="Male"/>
    <x v="3"/>
    <x v="1"/>
    <x v="0"/>
    <n v="1583"/>
    <n v="8"/>
    <d v="2023-01-14T00:00:00"/>
    <x v="0"/>
    <n v="1"/>
    <x v="0"/>
    <x v="10"/>
    <s v="Saturday"/>
    <x v="1"/>
    <x v="2"/>
  </r>
  <r>
    <n v="12"/>
    <s v="Female"/>
    <x v="5"/>
    <x v="4"/>
    <x v="0"/>
    <n v="510"/>
    <n v="14"/>
    <d v="2023-07-12T00:00:00"/>
    <x v="2"/>
    <n v="7"/>
    <x v="0"/>
    <x v="11"/>
    <s v="Wednesday"/>
    <x v="0"/>
    <x v="3"/>
  </r>
  <r>
    <n v="57"/>
    <s v="Female"/>
    <x v="3"/>
    <x v="5"/>
    <x v="0"/>
    <n v="1189"/>
    <n v="1"/>
    <d v="2023-03-04T00:00:00"/>
    <x v="0"/>
    <n v="3"/>
    <x v="0"/>
    <x v="3"/>
    <s v="Saturday"/>
    <x v="1"/>
    <x v="2"/>
  </r>
  <r>
    <n v="64"/>
    <s v="Male"/>
    <x v="6"/>
    <x v="1"/>
    <x v="2"/>
    <n v="1694"/>
    <n v="14"/>
    <d v="2023-05-23T00:00:00"/>
    <x v="0"/>
    <n v="5"/>
    <x v="0"/>
    <x v="5"/>
    <s v="Tuesday"/>
    <x v="0"/>
    <x v="1"/>
  </r>
  <r>
    <n v="9"/>
    <s v="Female"/>
    <x v="7"/>
    <x v="1"/>
    <x v="0"/>
    <n v="1614"/>
    <n v="2"/>
    <d v="2024-10-06T00:00:00"/>
    <x v="2"/>
    <n v="10"/>
    <x v="1"/>
    <x v="8"/>
    <s v="Sunday"/>
    <x v="0"/>
    <x v="0"/>
  </r>
  <r>
    <n v="72"/>
    <s v="Male"/>
    <x v="2"/>
    <x v="5"/>
    <x v="0"/>
    <n v="1019"/>
    <n v="4"/>
    <d v="2023-04-10T00:00:00"/>
    <x v="0"/>
    <n v="4"/>
    <x v="0"/>
    <x v="4"/>
    <s v="Monday"/>
    <x v="0"/>
    <x v="1"/>
  </r>
  <r>
    <n v="10"/>
    <s v="Female"/>
    <x v="2"/>
    <x v="2"/>
    <x v="0"/>
    <n v="754"/>
    <n v="19"/>
    <d v="2024-10-18T00:00:00"/>
    <x v="2"/>
    <n v="10"/>
    <x v="1"/>
    <x v="8"/>
    <s v="Friday"/>
    <x v="1"/>
    <x v="0"/>
  </r>
  <r>
    <n v="51"/>
    <s v="Female"/>
    <x v="0"/>
    <x v="0"/>
    <x v="0"/>
    <n v="926"/>
    <n v="6"/>
    <d v="2024-05-15T00:00:00"/>
    <x v="3"/>
    <n v="5"/>
    <x v="1"/>
    <x v="5"/>
    <s v="Wednesday"/>
    <x v="0"/>
    <x v="1"/>
  </r>
  <r>
    <n v="59"/>
    <s v="Male"/>
    <x v="2"/>
    <x v="1"/>
    <x v="0"/>
    <n v="1517"/>
    <n v="1"/>
    <d v="2023-05-08T00:00:00"/>
    <x v="0"/>
    <n v="5"/>
    <x v="0"/>
    <x v="5"/>
    <s v="Monday"/>
    <x v="0"/>
    <x v="1"/>
  </r>
  <r>
    <n v="44"/>
    <s v="Male"/>
    <x v="3"/>
    <x v="3"/>
    <x v="1"/>
    <n v="1320"/>
    <n v="17"/>
    <d v="2023-06-26T00:00:00"/>
    <x v="3"/>
    <n v="6"/>
    <x v="0"/>
    <x v="1"/>
    <s v="Monday"/>
    <x v="0"/>
    <x v="1"/>
  </r>
  <r>
    <n v="56"/>
    <s v="Male"/>
    <x v="4"/>
    <x v="1"/>
    <x v="1"/>
    <n v="1630"/>
    <n v="8"/>
    <d v="2024-10-09T00:00:00"/>
    <x v="0"/>
    <n v="10"/>
    <x v="1"/>
    <x v="8"/>
    <s v="Wednesday"/>
    <x v="0"/>
    <x v="0"/>
  </r>
  <r>
    <n v="20"/>
    <s v="Male"/>
    <x v="2"/>
    <x v="0"/>
    <x v="0"/>
    <n v="952"/>
    <n v="19"/>
    <d v="2024-12-05T00:00:00"/>
    <x v="1"/>
    <n v="12"/>
    <x v="1"/>
    <x v="7"/>
    <s v="Thursday"/>
    <x v="0"/>
    <x v="0"/>
  </r>
  <r>
    <n v="17"/>
    <s v="Male"/>
    <x v="2"/>
    <x v="2"/>
    <x v="1"/>
    <n v="994"/>
    <n v="1"/>
    <d v="2023-10-10T00:00:00"/>
    <x v="2"/>
    <n v="10"/>
    <x v="0"/>
    <x v="8"/>
    <s v="Tuesday"/>
    <x v="0"/>
    <x v="0"/>
  </r>
  <r>
    <n v="34"/>
    <s v="Male"/>
    <x v="2"/>
    <x v="2"/>
    <x v="2"/>
    <n v="932"/>
    <n v="5"/>
    <d v="2023-11-20T00:00:00"/>
    <x v="1"/>
    <n v="11"/>
    <x v="0"/>
    <x v="0"/>
    <s v="Monday"/>
    <x v="0"/>
    <x v="0"/>
  </r>
  <r>
    <n v="23"/>
    <s v="Female"/>
    <x v="5"/>
    <x v="3"/>
    <x v="1"/>
    <n v="1257"/>
    <n v="16"/>
    <d v="2023-06-06T00:00:00"/>
    <x v="1"/>
    <n v="6"/>
    <x v="0"/>
    <x v="1"/>
    <s v="Tuesday"/>
    <x v="0"/>
    <x v="1"/>
  </r>
  <r>
    <n v="21"/>
    <s v="Male"/>
    <x v="3"/>
    <x v="1"/>
    <x v="0"/>
    <n v="1668"/>
    <n v="6"/>
    <d v="2024-08-16T00:00:00"/>
    <x v="1"/>
    <n v="8"/>
    <x v="1"/>
    <x v="9"/>
    <s v="Friday"/>
    <x v="1"/>
    <x v="3"/>
  </r>
  <r>
    <n v="67"/>
    <s v="Male"/>
    <x v="2"/>
    <x v="2"/>
    <x v="1"/>
    <n v="720"/>
    <n v="8"/>
    <d v="2024-08-24T00:00:00"/>
    <x v="0"/>
    <n v="8"/>
    <x v="1"/>
    <x v="9"/>
    <s v="Saturday"/>
    <x v="1"/>
    <x v="3"/>
  </r>
  <r>
    <n v="23"/>
    <s v="Female"/>
    <x v="4"/>
    <x v="0"/>
    <x v="0"/>
    <n v="952"/>
    <n v="13"/>
    <d v="2023-11-27T00:00:00"/>
    <x v="1"/>
    <n v="11"/>
    <x v="0"/>
    <x v="0"/>
    <s v="Monday"/>
    <x v="0"/>
    <x v="0"/>
  </r>
  <r>
    <n v="62"/>
    <s v="Male"/>
    <x v="6"/>
    <x v="5"/>
    <x v="2"/>
    <n v="1174"/>
    <n v="16"/>
    <d v="2024-09-03T00:00:00"/>
    <x v="0"/>
    <n v="9"/>
    <x v="1"/>
    <x v="6"/>
    <s v="Tuesday"/>
    <x v="0"/>
    <x v="3"/>
  </r>
  <r>
    <n v="59"/>
    <s v="Female"/>
    <x v="2"/>
    <x v="4"/>
    <x v="0"/>
    <n v="680"/>
    <n v="3"/>
    <d v="2024-08-10T00:00:00"/>
    <x v="0"/>
    <n v="8"/>
    <x v="1"/>
    <x v="9"/>
    <s v="Saturday"/>
    <x v="1"/>
    <x v="3"/>
  </r>
  <r>
    <n v="66"/>
    <s v="Female"/>
    <x v="3"/>
    <x v="4"/>
    <x v="0"/>
    <n v="613"/>
    <n v="19"/>
    <d v="2023-11-11T00:00:00"/>
    <x v="0"/>
    <n v="11"/>
    <x v="0"/>
    <x v="0"/>
    <s v="Saturday"/>
    <x v="1"/>
    <x v="0"/>
  </r>
  <r>
    <n v="27"/>
    <s v="Female"/>
    <x v="6"/>
    <x v="4"/>
    <x v="1"/>
    <n v="430"/>
    <n v="12"/>
    <d v="2023-02-11T00:00:00"/>
    <x v="1"/>
    <n v="2"/>
    <x v="0"/>
    <x v="2"/>
    <s v="Saturday"/>
    <x v="1"/>
    <x v="2"/>
  </r>
  <r>
    <n v="13"/>
    <s v="Male"/>
    <x v="0"/>
    <x v="1"/>
    <x v="0"/>
    <n v="1582"/>
    <n v="16"/>
    <d v="2024-12-17T00:00:00"/>
    <x v="2"/>
    <n v="12"/>
    <x v="1"/>
    <x v="7"/>
    <s v="Tuesday"/>
    <x v="0"/>
    <x v="0"/>
  </r>
  <r>
    <n v="16"/>
    <s v="Male"/>
    <x v="2"/>
    <x v="3"/>
    <x v="2"/>
    <n v="1122"/>
    <n v="11"/>
    <d v="2024-10-04T00:00:00"/>
    <x v="2"/>
    <n v="10"/>
    <x v="1"/>
    <x v="8"/>
    <s v="Friday"/>
    <x v="1"/>
    <x v="0"/>
  </r>
  <r>
    <n v="5"/>
    <s v="Male"/>
    <x v="2"/>
    <x v="2"/>
    <x v="2"/>
    <n v="731"/>
    <n v="10"/>
    <d v="2023-12-04T00:00:00"/>
    <x v="2"/>
    <n v="12"/>
    <x v="0"/>
    <x v="7"/>
    <s v="Monday"/>
    <x v="0"/>
    <x v="0"/>
  </r>
  <r>
    <n v="62"/>
    <s v="Female"/>
    <x v="2"/>
    <x v="5"/>
    <x v="0"/>
    <n v="973"/>
    <n v="20"/>
    <d v="2023-11-17T00:00:00"/>
    <x v="0"/>
    <n v="11"/>
    <x v="0"/>
    <x v="0"/>
    <s v="Friday"/>
    <x v="1"/>
    <x v="0"/>
  </r>
  <r>
    <n v="5"/>
    <s v="Male"/>
    <x v="6"/>
    <x v="0"/>
    <x v="0"/>
    <n v="909"/>
    <n v="4"/>
    <d v="2023-01-09T00:00:00"/>
    <x v="2"/>
    <n v="1"/>
    <x v="0"/>
    <x v="10"/>
    <s v="Monday"/>
    <x v="0"/>
    <x v="2"/>
  </r>
  <r>
    <n v="38"/>
    <s v="Male"/>
    <x v="4"/>
    <x v="5"/>
    <x v="0"/>
    <n v="953"/>
    <n v="12"/>
    <d v="2023-10-19T00:00:00"/>
    <x v="3"/>
    <n v="10"/>
    <x v="0"/>
    <x v="8"/>
    <s v="Thursday"/>
    <x v="0"/>
    <x v="0"/>
  </r>
  <r>
    <n v="52"/>
    <s v="Female"/>
    <x v="2"/>
    <x v="0"/>
    <x v="0"/>
    <n v="951"/>
    <n v="2"/>
    <d v="2023-02-05T00:00:00"/>
    <x v="3"/>
    <n v="2"/>
    <x v="0"/>
    <x v="2"/>
    <s v="Sunday"/>
    <x v="0"/>
    <x v="2"/>
  </r>
  <r>
    <n v="5"/>
    <s v="Male"/>
    <x v="2"/>
    <x v="1"/>
    <x v="0"/>
    <n v="1547"/>
    <n v="19"/>
    <d v="2024-02-22T00:00:00"/>
    <x v="2"/>
    <n v="2"/>
    <x v="1"/>
    <x v="2"/>
    <s v="Thursday"/>
    <x v="0"/>
    <x v="2"/>
  </r>
  <r>
    <n v="20"/>
    <s v="Male"/>
    <x v="2"/>
    <x v="4"/>
    <x v="1"/>
    <n v="559"/>
    <n v="5"/>
    <d v="2024-12-24T00:00:00"/>
    <x v="1"/>
    <n v="12"/>
    <x v="1"/>
    <x v="7"/>
    <s v="Tuesday"/>
    <x v="0"/>
    <x v="0"/>
  </r>
  <r>
    <n v="65"/>
    <s v="Male"/>
    <x v="2"/>
    <x v="1"/>
    <x v="0"/>
    <n v="1413"/>
    <n v="8"/>
    <d v="2024-03-06T00:00:00"/>
    <x v="0"/>
    <n v="3"/>
    <x v="1"/>
    <x v="3"/>
    <s v="Wednesday"/>
    <x v="0"/>
    <x v="2"/>
  </r>
  <r>
    <n v="68"/>
    <s v="Female"/>
    <x v="6"/>
    <x v="3"/>
    <x v="0"/>
    <n v="1277"/>
    <n v="7"/>
    <d v="2024-10-03T00:00:00"/>
    <x v="0"/>
    <n v="10"/>
    <x v="1"/>
    <x v="8"/>
    <s v="Thursday"/>
    <x v="0"/>
    <x v="0"/>
  </r>
  <r>
    <n v="67"/>
    <s v="Male"/>
    <x v="2"/>
    <x v="3"/>
    <x v="2"/>
    <n v="1152"/>
    <n v="14"/>
    <d v="2023-07-22T00:00:00"/>
    <x v="0"/>
    <n v="7"/>
    <x v="0"/>
    <x v="11"/>
    <s v="Saturday"/>
    <x v="1"/>
    <x v="3"/>
  </r>
  <r>
    <n v="73"/>
    <s v="Female"/>
    <x v="2"/>
    <x v="0"/>
    <x v="0"/>
    <n v="921"/>
    <n v="3"/>
    <d v="2023-02-01T00:00:00"/>
    <x v="0"/>
    <n v="2"/>
    <x v="0"/>
    <x v="2"/>
    <s v="Wednesday"/>
    <x v="0"/>
    <x v="2"/>
  </r>
  <r>
    <n v="26"/>
    <s v="Female"/>
    <x v="2"/>
    <x v="2"/>
    <x v="0"/>
    <n v="729"/>
    <n v="18"/>
    <d v="2023-01-20T00:00:00"/>
    <x v="1"/>
    <n v="1"/>
    <x v="0"/>
    <x v="10"/>
    <s v="Friday"/>
    <x v="1"/>
    <x v="2"/>
  </r>
  <r>
    <n v="71"/>
    <s v="Male"/>
    <x v="3"/>
    <x v="2"/>
    <x v="2"/>
    <n v="890"/>
    <n v="16"/>
    <d v="2024-06-22T00:00:00"/>
    <x v="0"/>
    <n v="6"/>
    <x v="1"/>
    <x v="1"/>
    <s v="Saturday"/>
    <x v="1"/>
    <x v="1"/>
  </r>
  <r>
    <n v="30"/>
    <s v="Female"/>
    <x v="0"/>
    <x v="0"/>
    <x v="0"/>
    <n v="1159"/>
    <n v="19"/>
    <d v="2024-09-16T00:00:00"/>
    <x v="1"/>
    <n v="9"/>
    <x v="1"/>
    <x v="6"/>
    <s v="Monday"/>
    <x v="0"/>
    <x v="3"/>
  </r>
  <r>
    <n v="20"/>
    <s v="Male"/>
    <x v="5"/>
    <x v="3"/>
    <x v="1"/>
    <n v="1304"/>
    <n v="19"/>
    <d v="2024-03-23T00:00:00"/>
    <x v="1"/>
    <n v="3"/>
    <x v="1"/>
    <x v="3"/>
    <s v="Saturday"/>
    <x v="1"/>
    <x v="2"/>
  </r>
  <r>
    <n v="55"/>
    <s v="Male"/>
    <x v="2"/>
    <x v="3"/>
    <x v="2"/>
    <n v="1158"/>
    <n v="18"/>
    <d v="2023-06-11T00:00:00"/>
    <x v="3"/>
    <n v="6"/>
    <x v="0"/>
    <x v="1"/>
    <s v="Sunday"/>
    <x v="0"/>
    <x v="1"/>
  </r>
  <r>
    <n v="61"/>
    <s v="Female"/>
    <x v="6"/>
    <x v="3"/>
    <x v="2"/>
    <n v="1363"/>
    <n v="20"/>
    <d v="2024-03-13T00:00:00"/>
    <x v="0"/>
    <n v="3"/>
    <x v="1"/>
    <x v="3"/>
    <s v="Wednesday"/>
    <x v="0"/>
    <x v="2"/>
  </r>
  <r>
    <n v="33"/>
    <s v="Female"/>
    <x v="3"/>
    <x v="1"/>
    <x v="0"/>
    <n v="1411"/>
    <n v="16"/>
    <d v="2023-01-27T00:00:00"/>
    <x v="1"/>
    <n v="1"/>
    <x v="0"/>
    <x v="10"/>
    <s v="Friday"/>
    <x v="1"/>
    <x v="2"/>
  </r>
  <r>
    <n v="73"/>
    <s v="Female"/>
    <x v="2"/>
    <x v="3"/>
    <x v="0"/>
    <n v="1218"/>
    <n v="8"/>
    <d v="2023-12-10T00:00:00"/>
    <x v="0"/>
    <n v="12"/>
    <x v="0"/>
    <x v="7"/>
    <s v="Sunday"/>
    <x v="0"/>
    <x v="0"/>
  </r>
  <r>
    <n v="51"/>
    <s v="Male"/>
    <x v="0"/>
    <x v="5"/>
    <x v="0"/>
    <n v="1189"/>
    <n v="1"/>
    <d v="2023-05-03T00:00:00"/>
    <x v="3"/>
    <n v="5"/>
    <x v="0"/>
    <x v="5"/>
    <s v="Wednesday"/>
    <x v="0"/>
    <x v="1"/>
  </r>
  <r>
    <n v="66"/>
    <s v="Male"/>
    <x v="1"/>
    <x v="4"/>
    <x v="1"/>
    <n v="647"/>
    <n v="17"/>
    <d v="2023-10-09T00:00:00"/>
    <x v="0"/>
    <n v="10"/>
    <x v="0"/>
    <x v="8"/>
    <s v="Monday"/>
    <x v="0"/>
    <x v="0"/>
  </r>
  <r>
    <n v="73"/>
    <s v="Male"/>
    <x v="4"/>
    <x v="3"/>
    <x v="1"/>
    <n v="1226"/>
    <n v="12"/>
    <d v="2023-11-12T00:00:00"/>
    <x v="0"/>
    <n v="11"/>
    <x v="0"/>
    <x v="0"/>
    <s v="Sunday"/>
    <x v="0"/>
    <x v="0"/>
  </r>
  <r>
    <n v="20"/>
    <s v="Male"/>
    <x v="0"/>
    <x v="0"/>
    <x v="0"/>
    <n v="974"/>
    <n v="11"/>
    <d v="2023-04-23T00:00:00"/>
    <x v="1"/>
    <n v="4"/>
    <x v="0"/>
    <x v="4"/>
    <s v="Sunday"/>
    <x v="0"/>
    <x v="1"/>
  </r>
  <r>
    <n v="52"/>
    <s v="Male"/>
    <x v="0"/>
    <x v="4"/>
    <x v="0"/>
    <n v="603"/>
    <n v="5"/>
    <d v="2024-07-14T00:00:00"/>
    <x v="3"/>
    <n v="7"/>
    <x v="1"/>
    <x v="11"/>
    <s v="Sunday"/>
    <x v="0"/>
    <x v="3"/>
  </r>
  <r>
    <n v="43"/>
    <s v="Male"/>
    <x v="4"/>
    <x v="1"/>
    <x v="0"/>
    <n v="1448"/>
    <n v="12"/>
    <d v="2023-06-01T00:00:00"/>
    <x v="3"/>
    <n v="6"/>
    <x v="0"/>
    <x v="1"/>
    <s v="Thursday"/>
    <x v="0"/>
    <x v="1"/>
  </r>
  <r>
    <n v="37"/>
    <s v="Male"/>
    <x v="3"/>
    <x v="0"/>
    <x v="0"/>
    <n v="978"/>
    <n v="17"/>
    <d v="2023-10-18T00:00:00"/>
    <x v="3"/>
    <n v="10"/>
    <x v="0"/>
    <x v="8"/>
    <s v="Wednesday"/>
    <x v="0"/>
    <x v="0"/>
  </r>
  <r>
    <n v="27"/>
    <s v="Male"/>
    <x v="2"/>
    <x v="4"/>
    <x v="1"/>
    <n v="640"/>
    <n v="6"/>
    <d v="2024-07-17T00:00:00"/>
    <x v="1"/>
    <n v="7"/>
    <x v="1"/>
    <x v="11"/>
    <s v="Wednesday"/>
    <x v="0"/>
    <x v="3"/>
  </r>
  <r>
    <n v="14"/>
    <s v="Male"/>
    <x v="4"/>
    <x v="0"/>
    <x v="0"/>
    <n v="1053"/>
    <n v="1"/>
    <d v="2023-05-27T00:00:00"/>
    <x v="2"/>
    <n v="5"/>
    <x v="0"/>
    <x v="5"/>
    <s v="Saturday"/>
    <x v="1"/>
    <x v="1"/>
  </r>
  <r>
    <n v="73"/>
    <s v="Male"/>
    <x v="2"/>
    <x v="1"/>
    <x v="2"/>
    <n v="1673"/>
    <n v="5"/>
    <d v="2024-04-09T00:00:00"/>
    <x v="0"/>
    <n v="4"/>
    <x v="1"/>
    <x v="4"/>
    <s v="Tuesday"/>
    <x v="0"/>
    <x v="1"/>
  </r>
  <r>
    <n v="38"/>
    <s v="Female"/>
    <x v="3"/>
    <x v="5"/>
    <x v="1"/>
    <n v="995"/>
    <n v="14"/>
    <d v="2024-07-09T00:00:00"/>
    <x v="3"/>
    <n v="7"/>
    <x v="1"/>
    <x v="11"/>
    <s v="Tuesday"/>
    <x v="0"/>
    <x v="3"/>
  </r>
  <r>
    <n v="56"/>
    <s v="Male"/>
    <x v="2"/>
    <x v="1"/>
    <x v="0"/>
    <n v="1613"/>
    <n v="5"/>
    <d v="2024-07-23T00:00:00"/>
    <x v="0"/>
    <n v="7"/>
    <x v="1"/>
    <x v="11"/>
    <s v="Tuesday"/>
    <x v="0"/>
    <x v="3"/>
  </r>
  <r>
    <n v="14"/>
    <s v="Female"/>
    <x v="2"/>
    <x v="1"/>
    <x v="0"/>
    <n v="1693"/>
    <n v="1"/>
    <d v="2023-06-10T00:00:00"/>
    <x v="2"/>
    <n v="6"/>
    <x v="0"/>
    <x v="1"/>
    <s v="Saturday"/>
    <x v="1"/>
    <x v="1"/>
  </r>
  <r>
    <n v="23"/>
    <s v="Female"/>
    <x v="2"/>
    <x v="0"/>
    <x v="0"/>
    <n v="1108"/>
    <n v="18"/>
    <d v="2023-08-19T00:00:00"/>
    <x v="1"/>
    <n v="8"/>
    <x v="0"/>
    <x v="9"/>
    <s v="Saturday"/>
    <x v="1"/>
    <x v="3"/>
  </r>
  <r>
    <n v="62"/>
    <s v="Male"/>
    <x v="6"/>
    <x v="2"/>
    <x v="0"/>
    <n v="787"/>
    <n v="16"/>
    <d v="2024-04-15T00:00:00"/>
    <x v="0"/>
    <n v="4"/>
    <x v="1"/>
    <x v="4"/>
    <s v="Monday"/>
    <x v="0"/>
    <x v="1"/>
  </r>
  <r>
    <n v="5"/>
    <s v="Female"/>
    <x v="2"/>
    <x v="3"/>
    <x v="1"/>
    <n v="1363"/>
    <n v="9"/>
    <d v="2023-10-05T00:00:00"/>
    <x v="2"/>
    <n v="10"/>
    <x v="0"/>
    <x v="8"/>
    <s v="Thursday"/>
    <x v="0"/>
    <x v="0"/>
  </r>
  <r>
    <n v="73"/>
    <s v="Female"/>
    <x v="2"/>
    <x v="3"/>
    <x v="1"/>
    <n v="1256"/>
    <n v="19"/>
    <d v="2023-05-15T00:00:00"/>
    <x v="0"/>
    <n v="5"/>
    <x v="0"/>
    <x v="5"/>
    <s v="Monday"/>
    <x v="0"/>
    <x v="1"/>
  </r>
  <r>
    <n v="8"/>
    <s v="Female"/>
    <x v="2"/>
    <x v="5"/>
    <x v="1"/>
    <n v="1055"/>
    <n v="5"/>
    <d v="2024-04-20T00:00:00"/>
    <x v="2"/>
    <n v="4"/>
    <x v="1"/>
    <x v="4"/>
    <s v="Saturday"/>
    <x v="1"/>
    <x v="1"/>
  </r>
  <r>
    <n v="20"/>
    <s v="Male"/>
    <x v="0"/>
    <x v="5"/>
    <x v="0"/>
    <n v="1038"/>
    <n v="2"/>
    <d v="2024-12-23T00:00:00"/>
    <x v="1"/>
    <n v="12"/>
    <x v="1"/>
    <x v="7"/>
    <s v="Monday"/>
    <x v="0"/>
    <x v="0"/>
  </r>
  <r>
    <n v="28"/>
    <s v="Male"/>
    <x v="7"/>
    <x v="3"/>
    <x v="0"/>
    <n v="1220"/>
    <n v="15"/>
    <d v="2023-01-25T00:00:00"/>
    <x v="1"/>
    <n v="1"/>
    <x v="0"/>
    <x v="10"/>
    <s v="Wednesday"/>
    <x v="0"/>
    <x v="2"/>
  </r>
  <r>
    <n v="6"/>
    <s v="Male"/>
    <x v="0"/>
    <x v="2"/>
    <x v="1"/>
    <n v="764"/>
    <n v="7"/>
    <d v="2024-12-02T00:00:00"/>
    <x v="2"/>
    <n v="12"/>
    <x v="1"/>
    <x v="7"/>
    <s v="Monday"/>
    <x v="0"/>
    <x v="0"/>
  </r>
  <r>
    <n v="36"/>
    <s v="Female"/>
    <x v="3"/>
    <x v="3"/>
    <x v="0"/>
    <n v="1206"/>
    <n v="4"/>
    <d v="2024-08-13T00:00:00"/>
    <x v="3"/>
    <n v="8"/>
    <x v="1"/>
    <x v="9"/>
    <s v="Tuesday"/>
    <x v="0"/>
    <x v="3"/>
  </r>
  <r>
    <n v="28"/>
    <s v="Female"/>
    <x v="1"/>
    <x v="2"/>
    <x v="0"/>
    <n v="846"/>
    <n v="1"/>
    <d v="2024-01-24T00:00:00"/>
    <x v="1"/>
    <n v="1"/>
    <x v="1"/>
    <x v="10"/>
    <s v="Wednesday"/>
    <x v="0"/>
    <x v="2"/>
  </r>
  <r>
    <n v="16"/>
    <s v="Female"/>
    <x v="0"/>
    <x v="5"/>
    <x v="0"/>
    <n v="1036"/>
    <n v="13"/>
    <d v="2023-05-16T00:00:00"/>
    <x v="2"/>
    <n v="5"/>
    <x v="0"/>
    <x v="5"/>
    <s v="Tuesday"/>
    <x v="0"/>
    <x v="1"/>
  </r>
  <r>
    <n v="54"/>
    <s v="Female"/>
    <x v="2"/>
    <x v="4"/>
    <x v="0"/>
    <n v="561"/>
    <n v="20"/>
    <d v="2023-06-15T00:00:00"/>
    <x v="3"/>
    <n v="6"/>
    <x v="0"/>
    <x v="1"/>
    <s v="Thursday"/>
    <x v="0"/>
    <x v="1"/>
  </r>
  <r>
    <n v="39"/>
    <s v="Female"/>
    <x v="2"/>
    <x v="0"/>
    <x v="0"/>
    <n v="999"/>
    <n v="7"/>
    <d v="2023-06-25T00:00:00"/>
    <x v="3"/>
    <n v="6"/>
    <x v="0"/>
    <x v="1"/>
    <s v="Sunday"/>
    <x v="0"/>
    <x v="1"/>
  </r>
  <r>
    <n v="37"/>
    <s v="Male"/>
    <x v="2"/>
    <x v="5"/>
    <x v="0"/>
    <n v="1040"/>
    <n v="15"/>
    <d v="2024-05-10T00:00:00"/>
    <x v="3"/>
    <n v="5"/>
    <x v="1"/>
    <x v="5"/>
    <s v="Friday"/>
    <x v="1"/>
    <x v="1"/>
  </r>
  <r>
    <n v="37"/>
    <s v="Male"/>
    <x v="0"/>
    <x v="5"/>
    <x v="2"/>
    <n v="982"/>
    <n v="14"/>
    <d v="2023-03-14T00:00:00"/>
    <x v="3"/>
    <n v="3"/>
    <x v="0"/>
    <x v="3"/>
    <s v="Tuesday"/>
    <x v="0"/>
    <x v="2"/>
  </r>
  <r>
    <n v="65"/>
    <s v="Female"/>
    <x v="0"/>
    <x v="1"/>
    <x v="0"/>
    <n v="1576"/>
    <n v="19"/>
    <d v="2024-05-10T00:00:00"/>
    <x v="0"/>
    <n v="5"/>
    <x v="1"/>
    <x v="5"/>
    <s v="Friday"/>
    <x v="1"/>
    <x v="1"/>
  </r>
  <r>
    <n v="55"/>
    <s v="Male"/>
    <x v="6"/>
    <x v="1"/>
    <x v="0"/>
    <n v="1597"/>
    <n v="20"/>
    <d v="2023-12-25T00:00:00"/>
    <x v="3"/>
    <n v="12"/>
    <x v="0"/>
    <x v="7"/>
    <s v="Monday"/>
    <x v="0"/>
    <x v="0"/>
  </r>
  <r>
    <n v="47"/>
    <s v="Male"/>
    <x v="2"/>
    <x v="1"/>
    <x v="0"/>
    <n v="1511"/>
    <n v="18"/>
    <d v="2023-08-14T00:00:00"/>
    <x v="3"/>
    <n v="8"/>
    <x v="0"/>
    <x v="9"/>
    <s v="Monday"/>
    <x v="0"/>
    <x v="3"/>
  </r>
  <r>
    <n v="16"/>
    <s v="Male"/>
    <x v="0"/>
    <x v="0"/>
    <x v="1"/>
    <n v="955"/>
    <n v="10"/>
    <d v="2024-02-26T00:00:00"/>
    <x v="2"/>
    <n v="2"/>
    <x v="1"/>
    <x v="2"/>
    <s v="Monday"/>
    <x v="0"/>
    <x v="2"/>
  </r>
  <r>
    <n v="71"/>
    <s v="Male"/>
    <x v="3"/>
    <x v="1"/>
    <x v="0"/>
    <n v="1578"/>
    <n v="9"/>
    <d v="2023-06-23T00:00:00"/>
    <x v="0"/>
    <n v="6"/>
    <x v="0"/>
    <x v="1"/>
    <s v="Friday"/>
    <x v="1"/>
    <x v="1"/>
  </r>
  <r>
    <n v="69"/>
    <s v="Female"/>
    <x v="0"/>
    <x v="2"/>
    <x v="0"/>
    <n v="885"/>
    <n v="8"/>
    <d v="2024-09-09T00:00:00"/>
    <x v="0"/>
    <n v="9"/>
    <x v="1"/>
    <x v="6"/>
    <s v="Monday"/>
    <x v="0"/>
    <x v="3"/>
  </r>
  <r>
    <n v="37"/>
    <s v="Female"/>
    <x v="6"/>
    <x v="3"/>
    <x v="0"/>
    <n v="1317"/>
    <n v="10"/>
    <d v="2023-08-25T00:00:00"/>
    <x v="3"/>
    <n v="8"/>
    <x v="0"/>
    <x v="9"/>
    <s v="Friday"/>
    <x v="1"/>
    <x v="3"/>
  </r>
  <r>
    <n v="44"/>
    <s v="Female"/>
    <x v="3"/>
    <x v="4"/>
    <x v="1"/>
    <n v="616"/>
    <n v="17"/>
    <d v="2023-11-14T00:00:00"/>
    <x v="3"/>
    <n v="11"/>
    <x v="0"/>
    <x v="0"/>
    <s v="Tuesday"/>
    <x v="0"/>
    <x v="0"/>
  </r>
  <r>
    <n v="78"/>
    <s v="Female"/>
    <x v="2"/>
    <x v="5"/>
    <x v="0"/>
    <n v="1019"/>
    <n v="2"/>
    <d v="2024-08-03T00:00:00"/>
    <x v="0"/>
    <n v="8"/>
    <x v="1"/>
    <x v="9"/>
    <s v="Saturday"/>
    <x v="1"/>
    <x v="3"/>
  </r>
  <r>
    <n v="47"/>
    <s v="Male"/>
    <x v="5"/>
    <x v="2"/>
    <x v="1"/>
    <n v="874"/>
    <n v="6"/>
    <d v="2024-08-20T00:00:00"/>
    <x v="3"/>
    <n v="8"/>
    <x v="1"/>
    <x v="9"/>
    <s v="Tuesday"/>
    <x v="0"/>
    <x v="3"/>
  </r>
  <r>
    <n v="48"/>
    <s v="Male"/>
    <x v="0"/>
    <x v="4"/>
    <x v="2"/>
    <n v="422"/>
    <n v="5"/>
    <d v="2024-07-16T00:00:00"/>
    <x v="3"/>
    <n v="7"/>
    <x v="1"/>
    <x v="11"/>
    <s v="Tuesday"/>
    <x v="0"/>
    <x v="3"/>
  </r>
  <r>
    <n v="33"/>
    <s v="Female"/>
    <x v="0"/>
    <x v="2"/>
    <x v="0"/>
    <n v="912"/>
    <n v="9"/>
    <d v="2023-08-02T00:00:00"/>
    <x v="1"/>
    <n v="8"/>
    <x v="0"/>
    <x v="9"/>
    <s v="Wednesday"/>
    <x v="0"/>
    <x v="3"/>
  </r>
  <r>
    <n v="17"/>
    <s v="Male"/>
    <x v="0"/>
    <x v="2"/>
    <x v="1"/>
    <n v="934"/>
    <n v="5"/>
    <d v="2023-06-10T00:00:00"/>
    <x v="2"/>
    <n v="6"/>
    <x v="0"/>
    <x v="1"/>
    <s v="Saturday"/>
    <x v="1"/>
    <x v="1"/>
  </r>
  <r>
    <n v="16"/>
    <s v="Female"/>
    <x v="0"/>
    <x v="5"/>
    <x v="0"/>
    <n v="912"/>
    <n v="18"/>
    <d v="2023-02-03T00:00:00"/>
    <x v="2"/>
    <n v="2"/>
    <x v="0"/>
    <x v="2"/>
    <s v="Friday"/>
    <x v="1"/>
    <x v="2"/>
  </r>
  <r>
    <n v="50"/>
    <s v="Female"/>
    <x v="5"/>
    <x v="3"/>
    <x v="2"/>
    <n v="1200"/>
    <n v="20"/>
    <d v="2024-02-11T00:00:00"/>
    <x v="3"/>
    <n v="2"/>
    <x v="1"/>
    <x v="2"/>
    <s v="Sunday"/>
    <x v="0"/>
    <x v="2"/>
  </r>
  <r>
    <n v="6"/>
    <s v="Male"/>
    <x v="2"/>
    <x v="1"/>
    <x v="0"/>
    <n v="1423"/>
    <n v="9"/>
    <d v="2024-08-11T00:00:00"/>
    <x v="2"/>
    <n v="8"/>
    <x v="1"/>
    <x v="9"/>
    <s v="Sunday"/>
    <x v="0"/>
    <x v="3"/>
  </r>
  <r>
    <n v="39"/>
    <s v="Female"/>
    <x v="2"/>
    <x v="0"/>
    <x v="1"/>
    <n v="910"/>
    <n v="17"/>
    <d v="2024-11-21T00:00:00"/>
    <x v="3"/>
    <n v="11"/>
    <x v="1"/>
    <x v="0"/>
    <s v="Thursday"/>
    <x v="0"/>
    <x v="0"/>
  </r>
  <r>
    <n v="12"/>
    <s v="Female"/>
    <x v="2"/>
    <x v="3"/>
    <x v="0"/>
    <n v="1372"/>
    <n v="17"/>
    <d v="2023-01-21T00:00:00"/>
    <x v="2"/>
    <n v="1"/>
    <x v="0"/>
    <x v="10"/>
    <s v="Saturday"/>
    <x v="1"/>
    <x v="2"/>
  </r>
  <r>
    <n v="30"/>
    <s v="Female"/>
    <x v="5"/>
    <x v="0"/>
    <x v="0"/>
    <n v="1180"/>
    <n v="12"/>
    <d v="2023-06-22T00:00:00"/>
    <x v="1"/>
    <n v="6"/>
    <x v="0"/>
    <x v="1"/>
    <s v="Thursday"/>
    <x v="0"/>
    <x v="1"/>
  </r>
  <r>
    <n v="78"/>
    <s v="Male"/>
    <x v="2"/>
    <x v="5"/>
    <x v="0"/>
    <n v="993"/>
    <n v="7"/>
    <d v="2024-06-13T00:00:00"/>
    <x v="0"/>
    <n v="6"/>
    <x v="1"/>
    <x v="1"/>
    <s v="Thursday"/>
    <x v="0"/>
    <x v="1"/>
  </r>
  <r>
    <n v="38"/>
    <s v="Male"/>
    <x v="1"/>
    <x v="5"/>
    <x v="0"/>
    <n v="1100"/>
    <n v="3"/>
    <d v="2023-11-07T00:00:00"/>
    <x v="3"/>
    <n v="11"/>
    <x v="0"/>
    <x v="0"/>
    <s v="Tuesday"/>
    <x v="0"/>
    <x v="0"/>
  </r>
  <r>
    <n v="11"/>
    <s v="Male"/>
    <x v="0"/>
    <x v="5"/>
    <x v="0"/>
    <n v="920"/>
    <n v="10"/>
    <d v="2024-04-23T00:00:00"/>
    <x v="2"/>
    <n v="4"/>
    <x v="1"/>
    <x v="4"/>
    <s v="Tuesday"/>
    <x v="0"/>
    <x v="1"/>
  </r>
  <r>
    <n v="72"/>
    <s v="Male"/>
    <x v="6"/>
    <x v="4"/>
    <x v="0"/>
    <n v="610"/>
    <n v="2"/>
    <d v="2023-12-17T00:00:00"/>
    <x v="0"/>
    <n v="12"/>
    <x v="0"/>
    <x v="7"/>
    <s v="Sunday"/>
    <x v="0"/>
    <x v="0"/>
  </r>
  <r>
    <n v="62"/>
    <s v="Male"/>
    <x v="7"/>
    <x v="0"/>
    <x v="0"/>
    <n v="1039"/>
    <n v="3"/>
    <d v="2023-11-02T00:00:00"/>
    <x v="0"/>
    <n v="11"/>
    <x v="0"/>
    <x v="0"/>
    <s v="Thursday"/>
    <x v="0"/>
    <x v="0"/>
  </r>
  <r>
    <n v="79"/>
    <s v="Female"/>
    <x v="6"/>
    <x v="3"/>
    <x v="0"/>
    <n v="1392"/>
    <n v="16"/>
    <d v="2024-11-12T00:00:00"/>
    <x v="0"/>
    <n v="11"/>
    <x v="1"/>
    <x v="0"/>
    <s v="Tuesday"/>
    <x v="0"/>
    <x v="0"/>
  </r>
  <r>
    <n v="33"/>
    <s v="Male"/>
    <x v="1"/>
    <x v="3"/>
    <x v="1"/>
    <n v="1397"/>
    <n v="2"/>
    <d v="2023-10-25T00:00:00"/>
    <x v="1"/>
    <n v="10"/>
    <x v="0"/>
    <x v="8"/>
    <s v="Wednesday"/>
    <x v="0"/>
    <x v="0"/>
  </r>
  <r>
    <n v="40"/>
    <s v="Female"/>
    <x v="0"/>
    <x v="2"/>
    <x v="0"/>
    <n v="800"/>
    <n v="10"/>
    <d v="2023-03-10T00:00:00"/>
    <x v="3"/>
    <n v="3"/>
    <x v="0"/>
    <x v="3"/>
    <s v="Friday"/>
    <x v="1"/>
    <x v="2"/>
  </r>
  <r>
    <n v="25"/>
    <s v="Female"/>
    <x v="3"/>
    <x v="2"/>
    <x v="0"/>
    <n v="727"/>
    <n v="6"/>
    <d v="2024-11-18T00:00:00"/>
    <x v="1"/>
    <n v="11"/>
    <x v="1"/>
    <x v="0"/>
    <s v="Monday"/>
    <x v="0"/>
    <x v="0"/>
  </r>
  <r>
    <n v="40"/>
    <s v="Female"/>
    <x v="2"/>
    <x v="2"/>
    <x v="0"/>
    <n v="740"/>
    <n v="11"/>
    <d v="2024-03-22T00:00:00"/>
    <x v="3"/>
    <n v="3"/>
    <x v="1"/>
    <x v="3"/>
    <s v="Friday"/>
    <x v="1"/>
    <x v="2"/>
  </r>
  <r>
    <n v="14"/>
    <s v="Male"/>
    <x v="2"/>
    <x v="5"/>
    <x v="0"/>
    <n v="1045"/>
    <n v="7"/>
    <d v="2023-01-27T00:00:00"/>
    <x v="2"/>
    <n v="1"/>
    <x v="0"/>
    <x v="10"/>
    <s v="Friday"/>
    <x v="1"/>
    <x v="2"/>
  </r>
  <r>
    <n v="77"/>
    <s v="Female"/>
    <x v="0"/>
    <x v="3"/>
    <x v="2"/>
    <n v="1355"/>
    <n v="15"/>
    <d v="2024-03-11T00:00:00"/>
    <x v="0"/>
    <n v="3"/>
    <x v="1"/>
    <x v="3"/>
    <s v="Monday"/>
    <x v="0"/>
    <x v="2"/>
  </r>
  <r>
    <n v="28"/>
    <s v="Male"/>
    <x v="3"/>
    <x v="0"/>
    <x v="0"/>
    <n v="1126"/>
    <n v="6"/>
    <d v="2023-04-16T00:00:00"/>
    <x v="1"/>
    <n v="4"/>
    <x v="0"/>
    <x v="4"/>
    <s v="Sunday"/>
    <x v="0"/>
    <x v="1"/>
  </r>
  <r>
    <n v="68"/>
    <s v="Male"/>
    <x v="2"/>
    <x v="5"/>
    <x v="1"/>
    <n v="1135"/>
    <n v="20"/>
    <d v="2024-11-17T00:00:00"/>
    <x v="0"/>
    <n v="11"/>
    <x v="1"/>
    <x v="0"/>
    <s v="Sunday"/>
    <x v="0"/>
    <x v="0"/>
  </r>
  <r>
    <n v="53"/>
    <s v="Female"/>
    <x v="3"/>
    <x v="4"/>
    <x v="2"/>
    <n v="412"/>
    <n v="9"/>
    <d v="2023-11-19T00:00:00"/>
    <x v="3"/>
    <n v="11"/>
    <x v="0"/>
    <x v="0"/>
    <s v="Sunday"/>
    <x v="0"/>
    <x v="0"/>
  </r>
  <r>
    <n v="40"/>
    <s v="Male"/>
    <x v="1"/>
    <x v="2"/>
    <x v="1"/>
    <n v="909"/>
    <n v="20"/>
    <d v="2023-05-18T00:00:00"/>
    <x v="3"/>
    <n v="5"/>
    <x v="0"/>
    <x v="5"/>
    <s v="Thursday"/>
    <x v="0"/>
    <x v="1"/>
  </r>
  <r>
    <n v="28"/>
    <s v="Male"/>
    <x v="3"/>
    <x v="5"/>
    <x v="0"/>
    <n v="1128"/>
    <n v="12"/>
    <d v="2024-03-03T00:00:00"/>
    <x v="1"/>
    <n v="3"/>
    <x v="1"/>
    <x v="3"/>
    <s v="Sunday"/>
    <x v="0"/>
    <x v="2"/>
  </r>
  <r>
    <n v="27"/>
    <s v="Female"/>
    <x v="5"/>
    <x v="5"/>
    <x v="1"/>
    <n v="999"/>
    <n v="19"/>
    <d v="2023-06-21T00:00:00"/>
    <x v="1"/>
    <n v="6"/>
    <x v="0"/>
    <x v="1"/>
    <s v="Wednesday"/>
    <x v="0"/>
    <x v="1"/>
  </r>
  <r>
    <n v="66"/>
    <s v="Male"/>
    <x v="6"/>
    <x v="4"/>
    <x v="2"/>
    <n v="430"/>
    <n v="20"/>
    <d v="2023-11-27T00:00:00"/>
    <x v="0"/>
    <n v="11"/>
    <x v="0"/>
    <x v="0"/>
    <s v="Monday"/>
    <x v="0"/>
    <x v="0"/>
  </r>
  <r>
    <n v="41"/>
    <s v="Male"/>
    <x v="7"/>
    <x v="1"/>
    <x v="0"/>
    <n v="1415"/>
    <n v="3"/>
    <d v="2024-12-26T00:00:00"/>
    <x v="3"/>
    <n v="12"/>
    <x v="1"/>
    <x v="7"/>
    <s v="Thursday"/>
    <x v="0"/>
    <x v="0"/>
  </r>
  <r>
    <n v="16"/>
    <s v="Male"/>
    <x v="3"/>
    <x v="3"/>
    <x v="0"/>
    <n v="1236"/>
    <n v="15"/>
    <d v="2024-05-16T00:00:00"/>
    <x v="2"/>
    <n v="5"/>
    <x v="1"/>
    <x v="5"/>
    <s v="Thursday"/>
    <x v="0"/>
    <x v="1"/>
  </r>
  <r>
    <n v="59"/>
    <s v="Female"/>
    <x v="6"/>
    <x v="0"/>
    <x v="0"/>
    <n v="1065"/>
    <n v="2"/>
    <d v="2023-03-06T00:00:00"/>
    <x v="0"/>
    <n v="3"/>
    <x v="0"/>
    <x v="3"/>
    <s v="Monday"/>
    <x v="0"/>
    <x v="2"/>
  </r>
  <r>
    <n v="17"/>
    <s v="Female"/>
    <x v="7"/>
    <x v="1"/>
    <x v="0"/>
    <n v="1499"/>
    <n v="2"/>
    <d v="2024-06-25T00:00:00"/>
    <x v="2"/>
    <n v="6"/>
    <x v="1"/>
    <x v="1"/>
    <s v="Tuesday"/>
    <x v="0"/>
    <x v="1"/>
  </r>
  <r>
    <n v="27"/>
    <s v="Male"/>
    <x v="4"/>
    <x v="2"/>
    <x v="0"/>
    <n v="808"/>
    <n v="3"/>
    <d v="2024-06-12T00:00:00"/>
    <x v="1"/>
    <n v="6"/>
    <x v="1"/>
    <x v="1"/>
    <s v="Wednesday"/>
    <x v="0"/>
    <x v="1"/>
  </r>
  <r>
    <n v="34"/>
    <s v="Male"/>
    <x v="2"/>
    <x v="5"/>
    <x v="0"/>
    <n v="1072"/>
    <n v="6"/>
    <d v="2023-08-11T00:00:00"/>
    <x v="1"/>
    <n v="8"/>
    <x v="0"/>
    <x v="9"/>
    <s v="Friday"/>
    <x v="1"/>
    <x v="3"/>
  </r>
  <r>
    <n v="21"/>
    <s v="Male"/>
    <x v="0"/>
    <x v="4"/>
    <x v="0"/>
    <n v="636"/>
    <n v="15"/>
    <d v="2023-02-15T00:00:00"/>
    <x v="1"/>
    <n v="2"/>
    <x v="0"/>
    <x v="2"/>
    <s v="Wednesday"/>
    <x v="0"/>
    <x v="2"/>
  </r>
  <r>
    <n v="66"/>
    <s v="Male"/>
    <x v="2"/>
    <x v="4"/>
    <x v="0"/>
    <n v="561"/>
    <n v="10"/>
    <d v="2024-01-15T00:00:00"/>
    <x v="0"/>
    <n v="1"/>
    <x v="1"/>
    <x v="10"/>
    <s v="Monday"/>
    <x v="0"/>
    <x v="2"/>
  </r>
  <r>
    <n v="17"/>
    <s v="Female"/>
    <x v="2"/>
    <x v="3"/>
    <x v="0"/>
    <n v="1315"/>
    <n v="9"/>
    <d v="2024-04-16T00:00:00"/>
    <x v="2"/>
    <n v="4"/>
    <x v="1"/>
    <x v="4"/>
    <s v="Tuesday"/>
    <x v="0"/>
    <x v="1"/>
  </r>
  <r>
    <n v="63"/>
    <s v="Male"/>
    <x v="3"/>
    <x v="1"/>
    <x v="0"/>
    <n v="1663"/>
    <n v="1"/>
    <d v="2024-07-10T00:00:00"/>
    <x v="0"/>
    <n v="7"/>
    <x v="1"/>
    <x v="11"/>
    <s v="Wednesday"/>
    <x v="0"/>
    <x v="3"/>
  </r>
  <r>
    <n v="23"/>
    <s v="Male"/>
    <x v="5"/>
    <x v="3"/>
    <x v="0"/>
    <n v="1362"/>
    <n v="16"/>
    <d v="2023-11-12T00:00:00"/>
    <x v="1"/>
    <n v="11"/>
    <x v="0"/>
    <x v="0"/>
    <s v="Sunday"/>
    <x v="0"/>
    <x v="0"/>
  </r>
  <r>
    <n v="53"/>
    <s v="Female"/>
    <x v="6"/>
    <x v="5"/>
    <x v="0"/>
    <n v="1191"/>
    <n v="6"/>
    <d v="2023-10-13T00:00:00"/>
    <x v="3"/>
    <n v="10"/>
    <x v="0"/>
    <x v="8"/>
    <s v="Friday"/>
    <x v="1"/>
    <x v="0"/>
  </r>
  <r>
    <n v="16"/>
    <s v="Female"/>
    <x v="2"/>
    <x v="3"/>
    <x v="0"/>
    <n v="1373"/>
    <n v="9"/>
    <d v="2023-03-04T00:00:00"/>
    <x v="2"/>
    <n v="3"/>
    <x v="0"/>
    <x v="3"/>
    <s v="Saturday"/>
    <x v="1"/>
    <x v="2"/>
  </r>
  <r>
    <n v="65"/>
    <s v="Female"/>
    <x v="1"/>
    <x v="0"/>
    <x v="1"/>
    <n v="902"/>
    <n v="4"/>
    <d v="2023-03-07T00:00:00"/>
    <x v="0"/>
    <n v="3"/>
    <x v="0"/>
    <x v="3"/>
    <s v="Tuesday"/>
    <x v="0"/>
    <x v="2"/>
  </r>
  <r>
    <n v="23"/>
    <s v="Male"/>
    <x v="3"/>
    <x v="4"/>
    <x v="0"/>
    <n v="427"/>
    <n v="2"/>
    <d v="2023-05-22T00:00:00"/>
    <x v="1"/>
    <n v="5"/>
    <x v="0"/>
    <x v="5"/>
    <s v="Monday"/>
    <x v="0"/>
    <x v="1"/>
  </r>
  <r>
    <n v="13"/>
    <s v="Male"/>
    <x v="5"/>
    <x v="4"/>
    <x v="0"/>
    <n v="548"/>
    <n v="4"/>
    <d v="2023-05-02T00:00:00"/>
    <x v="2"/>
    <n v="5"/>
    <x v="0"/>
    <x v="5"/>
    <s v="Tuesday"/>
    <x v="0"/>
    <x v="1"/>
  </r>
  <r>
    <n v="75"/>
    <s v="Male"/>
    <x v="4"/>
    <x v="2"/>
    <x v="1"/>
    <n v="727"/>
    <n v="1"/>
    <d v="2023-10-26T00:00:00"/>
    <x v="0"/>
    <n v="10"/>
    <x v="0"/>
    <x v="8"/>
    <s v="Thursday"/>
    <x v="0"/>
    <x v="0"/>
  </r>
  <r>
    <n v="32"/>
    <s v="Male"/>
    <x v="3"/>
    <x v="2"/>
    <x v="0"/>
    <n v="764"/>
    <n v="19"/>
    <d v="2024-03-27T00:00:00"/>
    <x v="1"/>
    <n v="3"/>
    <x v="1"/>
    <x v="3"/>
    <s v="Wednesday"/>
    <x v="0"/>
    <x v="2"/>
  </r>
  <r>
    <n v="56"/>
    <s v="Female"/>
    <x v="2"/>
    <x v="5"/>
    <x v="0"/>
    <n v="920"/>
    <n v="10"/>
    <d v="2024-09-27T00:00:00"/>
    <x v="0"/>
    <n v="9"/>
    <x v="1"/>
    <x v="6"/>
    <s v="Friday"/>
    <x v="1"/>
    <x v="3"/>
  </r>
  <r>
    <n v="20"/>
    <s v="Female"/>
    <x v="6"/>
    <x v="0"/>
    <x v="1"/>
    <n v="1151"/>
    <n v="15"/>
    <d v="2023-04-27T00:00:00"/>
    <x v="1"/>
    <n v="4"/>
    <x v="0"/>
    <x v="4"/>
    <s v="Thursday"/>
    <x v="0"/>
    <x v="1"/>
  </r>
  <r>
    <n v="73"/>
    <s v="Female"/>
    <x v="0"/>
    <x v="1"/>
    <x v="1"/>
    <n v="1634"/>
    <n v="19"/>
    <d v="2023-03-15T00:00:00"/>
    <x v="0"/>
    <n v="3"/>
    <x v="0"/>
    <x v="3"/>
    <s v="Wednesday"/>
    <x v="0"/>
    <x v="2"/>
  </r>
  <r>
    <n v="16"/>
    <s v="Female"/>
    <x v="2"/>
    <x v="3"/>
    <x v="0"/>
    <n v="1326"/>
    <n v="16"/>
    <d v="2023-11-08T00:00:00"/>
    <x v="2"/>
    <n v="11"/>
    <x v="0"/>
    <x v="0"/>
    <s v="Wednesday"/>
    <x v="0"/>
    <x v="0"/>
  </r>
  <r>
    <n v="29"/>
    <s v="Male"/>
    <x v="6"/>
    <x v="5"/>
    <x v="0"/>
    <n v="912"/>
    <n v="4"/>
    <d v="2024-02-07T00:00:00"/>
    <x v="1"/>
    <n v="2"/>
    <x v="1"/>
    <x v="2"/>
    <s v="Wednesday"/>
    <x v="0"/>
    <x v="2"/>
  </r>
  <r>
    <n v="56"/>
    <s v="Female"/>
    <x v="2"/>
    <x v="2"/>
    <x v="2"/>
    <n v="748"/>
    <n v="2"/>
    <d v="2023-10-15T00:00:00"/>
    <x v="0"/>
    <n v="10"/>
    <x v="0"/>
    <x v="8"/>
    <s v="Sunday"/>
    <x v="0"/>
    <x v="0"/>
  </r>
  <r>
    <n v="57"/>
    <s v="Male"/>
    <x v="6"/>
    <x v="3"/>
    <x v="0"/>
    <n v="1217"/>
    <n v="13"/>
    <d v="2024-11-23T00:00:00"/>
    <x v="0"/>
    <n v="11"/>
    <x v="1"/>
    <x v="0"/>
    <s v="Saturday"/>
    <x v="1"/>
    <x v="0"/>
  </r>
  <r>
    <n v="27"/>
    <s v="Female"/>
    <x v="0"/>
    <x v="2"/>
    <x v="0"/>
    <n v="753"/>
    <n v="1"/>
    <d v="2024-09-14T00:00:00"/>
    <x v="1"/>
    <n v="9"/>
    <x v="1"/>
    <x v="6"/>
    <s v="Saturday"/>
    <x v="1"/>
    <x v="3"/>
  </r>
  <r>
    <n v="20"/>
    <s v="Male"/>
    <x v="1"/>
    <x v="3"/>
    <x v="1"/>
    <n v="1237"/>
    <n v="17"/>
    <d v="2024-04-08T00:00:00"/>
    <x v="1"/>
    <n v="4"/>
    <x v="1"/>
    <x v="4"/>
    <s v="Monday"/>
    <x v="0"/>
    <x v="1"/>
  </r>
  <r>
    <n v="61"/>
    <s v="Male"/>
    <x v="2"/>
    <x v="1"/>
    <x v="0"/>
    <n v="1452"/>
    <n v="13"/>
    <d v="2024-03-12T00:00:00"/>
    <x v="0"/>
    <n v="3"/>
    <x v="1"/>
    <x v="3"/>
    <s v="Tuesday"/>
    <x v="0"/>
    <x v="2"/>
  </r>
  <r>
    <n v="43"/>
    <s v="Male"/>
    <x v="7"/>
    <x v="5"/>
    <x v="0"/>
    <n v="943"/>
    <n v="4"/>
    <d v="2024-07-13T00:00:00"/>
    <x v="3"/>
    <n v="7"/>
    <x v="1"/>
    <x v="11"/>
    <s v="Saturday"/>
    <x v="1"/>
    <x v="3"/>
  </r>
  <r>
    <n v="57"/>
    <s v="Female"/>
    <x v="6"/>
    <x v="3"/>
    <x v="0"/>
    <n v="1152"/>
    <n v="7"/>
    <d v="2023-08-11T00:00:00"/>
    <x v="0"/>
    <n v="8"/>
    <x v="0"/>
    <x v="9"/>
    <s v="Friday"/>
    <x v="1"/>
    <x v="3"/>
  </r>
  <r>
    <n v="46"/>
    <s v="Male"/>
    <x v="2"/>
    <x v="0"/>
    <x v="1"/>
    <n v="973"/>
    <n v="17"/>
    <d v="2023-11-17T00:00:00"/>
    <x v="3"/>
    <n v="11"/>
    <x v="0"/>
    <x v="0"/>
    <s v="Friday"/>
    <x v="1"/>
    <x v="0"/>
  </r>
  <r>
    <n v="62"/>
    <s v="Male"/>
    <x v="3"/>
    <x v="4"/>
    <x v="0"/>
    <n v="445"/>
    <n v="9"/>
    <d v="2024-02-17T00:00:00"/>
    <x v="0"/>
    <n v="2"/>
    <x v="1"/>
    <x v="2"/>
    <s v="Saturday"/>
    <x v="1"/>
    <x v="2"/>
  </r>
  <r>
    <n v="43"/>
    <s v="Male"/>
    <x v="7"/>
    <x v="0"/>
    <x v="0"/>
    <n v="912"/>
    <n v="4"/>
    <d v="2023-07-24T00:00:00"/>
    <x v="3"/>
    <n v="7"/>
    <x v="0"/>
    <x v="11"/>
    <s v="Monday"/>
    <x v="0"/>
    <x v="3"/>
  </r>
  <r>
    <n v="18"/>
    <s v="Female"/>
    <x v="0"/>
    <x v="0"/>
    <x v="0"/>
    <n v="1064"/>
    <n v="19"/>
    <d v="2024-12-04T00:00:00"/>
    <x v="1"/>
    <n v="12"/>
    <x v="1"/>
    <x v="7"/>
    <s v="Wednesday"/>
    <x v="0"/>
    <x v="0"/>
  </r>
  <r>
    <n v="9"/>
    <s v="Female"/>
    <x v="2"/>
    <x v="4"/>
    <x v="0"/>
    <n v="501"/>
    <n v="1"/>
    <d v="2024-05-21T00:00:00"/>
    <x v="2"/>
    <n v="5"/>
    <x v="1"/>
    <x v="5"/>
    <s v="Tuesday"/>
    <x v="0"/>
    <x v="1"/>
  </r>
  <r>
    <n v="39"/>
    <s v="Female"/>
    <x v="0"/>
    <x v="0"/>
    <x v="0"/>
    <n v="1179"/>
    <n v="10"/>
    <d v="2023-11-08T00:00:00"/>
    <x v="3"/>
    <n v="11"/>
    <x v="0"/>
    <x v="0"/>
    <s v="Wednesday"/>
    <x v="0"/>
    <x v="0"/>
  </r>
  <r>
    <n v="79"/>
    <s v="Male"/>
    <x v="0"/>
    <x v="3"/>
    <x v="1"/>
    <n v="1357"/>
    <n v="4"/>
    <d v="2023-05-05T00:00:00"/>
    <x v="0"/>
    <n v="5"/>
    <x v="0"/>
    <x v="5"/>
    <s v="Friday"/>
    <x v="1"/>
    <x v="1"/>
  </r>
  <r>
    <n v="22"/>
    <s v="Female"/>
    <x v="5"/>
    <x v="3"/>
    <x v="0"/>
    <n v="1237"/>
    <n v="9"/>
    <d v="2023-03-26T00:00:00"/>
    <x v="1"/>
    <n v="3"/>
    <x v="0"/>
    <x v="3"/>
    <s v="Sunday"/>
    <x v="0"/>
    <x v="2"/>
  </r>
  <r>
    <n v="13"/>
    <s v="Male"/>
    <x v="5"/>
    <x v="3"/>
    <x v="0"/>
    <n v="1262"/>
    <n v="13"/>
    <d v="2023-05-16T00:00:00"/>
    <x v="2"/>
    <n v="5"/>
    <x v="0"/>
    <x v="5"/>
    <s v="Tuesday"/>
    <x v="0"/>
    <x v="1"/>
  </r>
  <r>
    <n v="78"/>
    <s v="Female"/>
    <x v="0"/>
    <x v="4"/>
    <x v="1"/>
    <n v="510"/>
    <n v="14"/>
    <d v="2023-12-04T00:00:00"/>
    <x v="0"/>
    <n v="12"/>
    <x v="0"/>
    <x v="7"/>
    <s v="Monday"/>
    <x v="0"/>
    <x v="0"/>
  </r>
  <r>
    <n v="62"/>
    <s v="Female"/>
    <x v="2"/>
    <x v="0"/>
    <x v="0"/>
    <n v="1001"/>
    <n v="10"/>
    <d v="2024-02-22T00:00:00"/>
    <x v="0"/>
    <n v="2"/>
    <x v="1"/>
    <x v="2"/>
    <s v="Thursday"/>
    <x v="0"/>
    <x v="2"/>
  </r>
  <r>
    <n v="21"/>
    <s v="Male"/>
    <x v="3"/>
    <x v="4"/>
    <x v="2"/>
    <n v="416"/>
    <n v="6"/>
    <d v="2023-04-15T00:00:00"/>
    <x v="1"/>
    <n v="4"/>
    <x v="0"/>
    <x v="4"/>
    <s v="Saturday"/>
    <x v="1"/>
    <x v="1"/>
  </r>
  <r>
    <n v="11"/>
    <s v="Male"/>
    <x v="0"/>
    <x v="3"/>
    <x v="0"/>
    <n v="1367"/>
    <n v="16"/>
    <d v="2023-06-12T00:00:00"/>
    <x v="2"/>
    <n v="6"/>
    <x v="0"/>
    <x v="1"/>
    <s v="Monday"/>
    <x v="0"/>
    <x v="1"/>
  </r>
  <r>
    <n v="50"/>
    <s v="Male"/>
    <x v="2"/>
    <x v="0"/>
    <x v="0"/>
    <n v="1081"/>
    <n v="6"/>
    <d v="2023-01-05T00:00:00"/>
    <x v="3"/>
    <n v="1"/>
    <x v="0"/>
    <x v="10"/>
    <s v="Thursday"/>
    <x v="0"/>
    <x v="2"/>
  </r>
  <r>
    <n v="17"/>
    <s v="Male"/>
    <x v="4"/>
    <x v="0"/>
    <x v="0"/>
    <n v="923"/>
    <n v="17"/>
    <d v="2024-10-23T00:00:00"/>
    <x v="2"/>
    <n v="10"/>
    <x v="1"/>
    <x v="8"/>
    <s v="Wednesday"/>
    <x v="0"/>
    <x v="0"/>
  </r>
  <r>
    <n v="44"/>
    <s v="Male"/>
    <x v="5"/>
    <x v="2"/>
    <x v="2"/>
    <n v="728"/>
    <n v="10"/>
    <d v="2023-04-16T00:00:00"/>
    <x v="3"/>
    <n v="4"/>
    <x v="0"/>
    <x v="4"/>
    <s v="Sunday"/>
    <x v="0"/>
    <x v="1"/>
  </r>
  <r>
    <n v="46"/>
    <s v="Female"/>
    <x v="5"/>
    <x v="2"/>
    <x v="0"/>
    <n v="870"/>
    <n v="18"/>
    <d v="2024-06-14T00:00:00"/>
    <x v="3"/>
    <n v="6"/>
    <x v="1"/>
    <x v="1"/>
    <s v="Friday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147B64-CA82-4F16-B52F-9491149E42AA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J12" firstHeaderRow="0" firstDataRow="1" firstDataCol="6"/>
  <pivotFields count="15">
    <pivotField compact="0" outline="0" showAll="0"/>
    <pivotField compact="0" outline="0" showAll="0"/>
    <pivotField axis="axisRow" compact="0" outline="0" showAll="0" sortType="descending">
      <items count="9">
        <item sd="0" x="1"/>
        <item sd="0" x="0"/>
        <item sd="0" x="2"/>
        <item sd="0" x="5"/>
        <item sd="0" x="4"/>
        <item sd="0" x="3"/>
        <item sd="0" x="7"/>
        <item sd="0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4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13">
        <item sd="0" x="10"/>
        <item sd="0" x="2"/>
        <item x="3"/>
        <item x="4"/>
        <item x="5"/>
        <item x="1"/>
        <item x="11"/>
        <item x="9"/>
        <item x="6"/>
        <item x="8"/>
        <item x="0"/>
        <item x="7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5">
        <item sd="0" x="2"/>
        <item sd="0" x="1"/>
        <item sd="0" x="3"/>
        <item sd="0" x="0"/>
        <item t="default"/>
      </items>
    </pivotField>
  </pivotFields>
  <rowFields count="6">
    <field x="10"/>
    <field x="14"/>
    <field x="11"/>
    <field x="13"/>
    <field x="2"/>
    <field x="8"/>
  </rowFields>
  <rowItems count="11">
    <i>
      <x/>
      <x/>
    </i>
    <i r="1">
      <x v="1"/>
    </i>
    <i r="1">
      <x v="2"/>
    </i>
    <i r="1">
      <x v="3"/>
    </i>
    <i t="default">
      <x/>
    </i>
    <i>
      <x v="1"/>
      <x/>
    </i>
    <i r="1">
      <x v="1"/>
    </i>
    <i r="1">
      <x v="2"/>
    </i>
    <i r="1">
      <x v="3"/>
    </i>
    <i t="default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Wait Days" fld="6" baseField="0" baseItem="0"/>
    <dataField name="Average of Wait Days" fld="6" subtotal="average" baseField="0" baseItem="0" numFmtId="2"/>
    <dataField name="Max of Wait Days" fld="6" subtotal="max" baseField="0" baseItem="0"/>
    <dataField name="Min of Wait Days" fld="6" subtotal="min" baseField="0" baseItem="0"/>
  </dataFields>
  <formats count="1">
    <format dxfId="7">
      <pivotArea outline="0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3D0F2A-746B-4EA6-8F66-EE872FA7824A}" name="PivotTable2" cacheId="21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compact="0" compactData="0" multipleFieldFilters="0">
  <location ref="A1:J317" firstHeaderRow="1" firstDataRow="2" firstDataCol="6"/>
  <pivotFields count="15">
    <pivotField compact="0" outline="0" showAll="0"/>
    <pivotField compact="0" outline="0" showAll="0"/>
    <pivotField axis="axisRow" compact="0" outline="0" showAll="0" sortType="descending">
      <items count="9">
        <item sd="0" x="1"/>
        <item sd="0" x="0"/>
        <item sd="0" x="2"/>
        <item sd="0" x="5"/>
        <item sd="0" x="4"/>
        <item sd="0" x="3"/>
        <item sd="0" x="7"/>
        <item sd="0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Col" dataField="1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4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13">
        <item x="10"/>
        <item x="2"/>
        <item x="3"/>
        <item x="4"/>
        <item x="5"/>
        <item x="1"/>
        <item x="11"/>
        <item x="9"/>
        <item x="6"/>
        <item x="8"/>
        <item x="0"/>
        <item x="7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5">
        <item x="2"/>
        <item x="1"/>
        <item x="3"/>
        <item x="0"/>
        <item t="default"/>
      </items>
    </pivotField>
  </pivotFields>
  <rowFields count="6">
    <field x="10"/>
    <field x="14"/>
    <field x="11"/>
    <field x="13"/>
    <field x="2"/>
    <field x="8"/>
  </rowFields>
  <rowItems count="315">
    <i>
      <x/>
      <x/>
      <x/>
      <x/>
      <x v="2"/>
    </i>
    <i r="4">
      <x v="6"/>
    </i>
    <i r="4">
      <x v="5"/>
    </i>
    <i r="4">
      <x v="1"/>
    </i>
    <i r="4">
      <x v="3"/>
    </i>
    <i r="4">
      <x v="7"/>
    </i>
    <i t="default" r="3">
      <x/>
    </i>
    <i r="3">
      <x v="1"/>
      <x v="2"/>
    </i>
    <i r="4">
      <x v="5"/>
    </i>
    <i r="4">
      <x/>
    </i>
    <i t="default" r="3">
      <x v="1"/>
    </i>
    <i t="default" r="2">
      <x/>
    </i>
    <i r="2">
      <x v="1"/>
      <x/>
      <x v="2"/>
    </i>
    <i r="4">
      <x v="1"/>
    </i>
    <i r="4">
      <x v="3"/>
    </i>
    <i r="4">
      <x/>
    </i>
    <i r="4">
      <x v="4"/>
    </i>
    <i t="default" r="3">
      <x/>
    </i>
    <i r="3">
      <x v="1"/>
      <x v="1"/>
    </i>
    <i r="4">
      <x v="7"/>
    </i>
    <i r="4">
      <x v="5"/>
    </i>
    <i t="default" r="3">
      <x v="1"/>
    </i>
    <i t="default" r="2">
      <x v="1"/>
    </i>
    <i r="2">
      <x v="2"/>
      <x/>
      <x v="1"/>
    </i>
    <i r="4">
      <x v="3"/>
    </i>
    <i r="4">
      <x v="2"/>
    </i>
    <i r="4">
      <x/>
    </i>
    <i r="4">
      <x v="7"/>
    </i>
    <i r="4">
      <x v="6"/>
    </i>
    <i t="default" r="3">
      <x/>
    </i>
    <i r="3">
      <x v="1"/>
      <x v="5"/>
    </i>
    <i r="4">
      <x v="1"/>
    </i>
    <i r="4">
      <x v="2"/>
    </i>
    <i r="4">
      <x v="4"/>
    </i>
    <i r="4">
      <x v="3"/>
    </i>
    <i t="default" r="3">
      <x v="1"/>
    </i>
    <i t="default" r="2">
      <x v="2"/>
    </i>
    <i t="default" r="1">
      <x/>
    </i>
    <i r="1">
      <x v="1"/>
      <x v="3"/>
      <x/>
      <x v="1"/>
    </i>
    <i r="4">
      <x v="6"/>
    </i>
    <i r="4">
      <x v="5"/>
    </i>
    <i r="4">
      <x v="2"/>
    </i>
    <i r="4">
      <x v="7"/>
    </i>
    <i r="4">
      <x v="3"/>
    </i>
    <i t="default" r="3">
      <x/>
    </i>
    <i r="3">
      <x v="1"/>
      <x v="5"/>
    </i>
    <i r="4">
      <x v="2"/>
    </i>
    <i t="default" r="3">
      <x v="1"/>
    </i>
    <i t="default" r="2">
      <x v="3"/>
    </i>
    <i r="2">
      <x v="4"/>
      <x/>
      <x v="1"/>
    </i>
    <i r="4">
      <x v="2"/>
    </i>
    <i r="4">
      <x v="3"/>
    </i>
    <i r="4">
      <x v="5"/>
    </i>
    <i r="4">
      <x v="7"/>
    </i>
    <i r="4">
      <x v="6"/>
    </i>
    <i r="4">
      <x v="4"/>
    </i>
    <i r="4">
      <x/>
    </i>
    <i t="default" r="3">
      <x/>
    </i>
    <i r="3">
      <x v="1"/>
      <x v="1"/>
    </i>
    <i r="4">
      <x v="5"/>
    </i>
    <i r="4">
      <x v="4"/>
    </i>
    <i r="4">
      <x v="2"/>
    </i>
    <i r="4">
      <x v="7"/>
    </i>
    <i r="4">
      <x v="3"/>
    </i>
    <i t="default" r="3">
      <x v="1"/>
    </i>
    <i t="default" r="2">
      <x v="4"/>
    </i>
    <i r="2">
      <x v="5"/>
      <x/>
      <x v="2"/>
    </i>
    <i r="4">
      <x v="3"/>
    </i>
    <i r="4">
      <x v="1"/>
    </i>
    <i r="4">
      <x v="4"/>
    </i>
    <i r="4">
      <x v="7"/>
    </i>
    <i r="4">
      <x v="5"/>
    </i>
    <i t="default" r="3">
      <x/>
    </i>
    <i r="3">
      <x v="1"/>
      <x v="2"/>
    </i>
    <i r="4">
      <x v="1"/>
    </i>
    <i r="4">
      <x v="6"/>
    </i>
    <i r="4">
      <x v="5"/>
    </i>
    <i t="default" r="3">
      <x v="1"/>
    </i>
    <i t="default" r="2">
      <x v="5"/>
    </i>
    <i t="default" r="1">
      <x v="1"/>
    </i>
    <i r="1">
      <x v="2"/>
      <x v="6"/>
      <x/>
      <x v="2"/>
    </i>
    <i r="4">
      <x v="1"/>
    </i>
    <i r="4">
      <x v="3"/>
    </i>
    <i r="4">
      <x v="6"/>
    </i>
    <i r="4">
      <x v="5"/>
    </i>
    <i t="default" r="3">
      <x/>
    </i>
    <i r="3">
      <x v="1"/>
      <x v="2"/>
    </i>
    <i r="4">
      <x v="1"/>
    </i>
    <i t="default" r="3">
      <x v="1"/>
    </i>
    <i t="default" r="2">
      <x v="6"/>
    </i>
    <i r="2">
      <x v="7"/>
      <x/>
      <x v="1"/>
    </i>
    <i r="4">
      <x v="2"/>
    </i>
    <i r="4">
      <x v="4"/>
    </i>
    <i r="4">
      <x v="7"/>
    </i>
    <i r="4">
      <x/>
    </i>
    <i r="4">
      <x v="3"/>
    </i>
    <i t="default" r="3">
      <x/>
    </i>
    <i r="3">
      <x v="1"/>
      <x v="7"/>
    </i>
    <i r="4">
      <x v="2"/>
    </i>
    <i t="default" r="3">
      <x v="1"/>
    </i>
    <i t="default" r="2">
      <x v="7"/>
    </i>
    <i r="2">
      <x v="8"/>
      <x/>
      <x v="1"/>
    </i>
    <i r="4">
      <x v="5"/>
    </i>
    <i r="4">
      <x v="4"/>
    </i>
    <i r="4">
      <x v="7"/>
    </i>
    <i r="4">
      <x/>
    </i>
    <i r="4">
      <x v="2"/>
    </i>
    <i t="default" r="3">
      <x/>
    </i>
    <i r="3">
      <x v="1"/>
      <x v="1"/>
    </i>
    <i r="4">
      <x v="7"/>
    </i>
    <i r="4">
      <x v="5"/>
    </i>
    <i t="default" r="3">
      <x v="1"/>
    </i>
    <i t="default" r="2">
      <x v="8"/>
    </i>
    <i t="default" r="1">
      <x v="2"/>
    </i>
    <i r="1">
      <x v="3"/>
      <x v="9"/>
      <x/>
      <x v="4"/>
    </i>
    <i r="4">
      <x v="2"/>
    </i>
    <i r="4">
      <x/>
    </i>
    <i r="4">
      <x v="7"/>
    </i>
    <i r="4">
      <x v="5"/>
    </i>
    <i r="4">
      <x v="1"/>
    </i>
    <i r="4">
      <x v="3"/>
    </i>
    <i t="default" r="3">
      <x/>
    </i>
    <i r="3">
      <x v="1"/>
      <x v="1"/>
    </i>
    <i r="4">
      <x v="7"/>
    </i>
    <i r="4">
      <x v="5"/>
    </i>
    <i r="4">
      <x v="2"/>
    </i>
    <i t="default" r="3">
      <x v="1"/>
    </i>
    <i t="default" r="2">
      <x v="9"/>
    </i>
    <i r="2">
      <x v="10"/>
      <x/>
      <x v="1"/>
    </i>
    <i r="4">
      <x v="2"/>
    </i>
    <i r="4">
      <x v="3"/>
    </i>
    <i r="4">
      <x v="5"/>
    </i>
    <i r="4">
      <x v="4"/>
    </i>
    <i r="4">
      <x v="6"/>
    </i>
    <i r="4">
      <x v="7"/>
    </i>
    <i r="4">
      <x/>
    </i>
    <i t="default" r="3">
      <x/>
    </i>
    <i r="3">
      <x v="1"/>
      <x v="1"/>
    </i>
    <i r="4">
      <x v="2"/>
    </i>
    <i r="4">
      <x v="5"/>
    </i>
    <i r="4">
      <x v="3"/>
    </i>
    <i t="default" r="3">
      <x v="1"/>
    </i>
    <i t="default" r="2">
      <x v="10"/>
    </i>
    <i r="2">
      <x v="11"/>
      <x/>
      <x v="2"/>
    </i>
    <i r="4">
      <x v="7"/>
    </i>
    <i r="4">
      <x v="1"/>
    </i>
    <i r="4">
      <x v="6"/>
    </i>
    <i r="4">
      <x v="5"/>
    </i>
    <i r="4">
      <x v="3"/>
    </i>
    <i t="default" r="3">
      <x/>
    </i>
    <i r="3">
      <x v="1"/>
      <x v="1"/>
    </i>
    <i r="4">
      <x v="5"/>
    </i>
    <i r="4">
      <x v="2"/>
    </i>
    <i t="default" r="3">
      <x v="1"/>
    </i>
    <i t="default" r="2">
      <x v="11"/>
    </i>
    <i t="default" r="1">
      <x v="3"/>
    </i>
    <i t="default">
      <x/>
    </i>
    <i>
      <x v="1"/>
      <x/>
      <x/>
      <x/>
      <x v="2"/>
    </i>
    <i r="4">
      <x v="1"/>
    </i>
    <i r="4">
      <x v="5"/>
    </i>
    <i r="4">
      <x v="3"/>
    </i>
    <i r="4">
      <x/>
    </i>
    <i t="default" r="3">
      <x/>
    </i>
    <i r="3">
      <x v="1"/>
      <x v="2"/>
    </i>
    <i r="4">
      <x v="7"/>
    </i>
    <i r="4">
      <x v="5"/>
    </i>
    <i r="4">
      <x v="1"/>
    </i>
    <i r="4">
      <x/>
    </i>
    <i t="default" r="3">
      <x v="1"/>
    </i>
    <i t="default" r="2">
      <x/>
    </i>
    <i r="2">
      <x v="1"/>
      <x/>
      <x v="2"/>
    </i>
    <i r="4">
      <x v="1"/>
    </i>
    <i r="4">
      <x v="7"/>
    </i>
    <i r="4">
      <x/>
    </i>
    <i r="4">
      <x v="5"/>
    </i>
    <i r="4">
      <x v="3"/>
    </i>
    <i t="default" r="3">
      <x/>
    </i>
    <i r="3">
      <x v="1"/>
      <x v="2"/>
    </i>
    <i r="4">
      <x v="5"/>
    </i>
    <i r="4">
      <x v="6"/>
    </i>
    <i r="4">
      <x v="4"/>
    </i>
    <i t="default" r="3">
      <x v="1"/>
    </i>
    <i t="default" r="2">
      <x v="1"/>
    </i>
    <i r="2">
      <x v="2"/>
      <x/>
      <x v="5"/>
    </i>
    <i r="4">
      <x v="2"/>
    </i>
    <i r="4">
      <x v="1"/>
    </i>
    <i r="4">
      <x v="7"/>
    </i>
    <i r="4">
      <x v="4"/>
    </i>
    <i r="4">
      <x v="3"/>
    </i>
    <i t="default" r="3">
      <x/>
    </i>
    <i r="3">
      <x v="1"/>
      <x v="3"/>
    </i>
    <i r="4">
      <x v="2"/>
    </i>
    <i r="4">
      <x/>
    </i>
    <i r="4">
      <x v="1"/>
    </i>
    <i t="default" r="3">
      <x v="1"/>
    </i>
    <i t="default" r="2">
      <x v="2"/>
    </i>
    <i t="default" r="1">
      <x/>
    </i>
    <i r="1">
      <x v="1"/>
      <x v="3"/>
      <x/>
      <x v="2"/>
    </i>
    <i r="4">
      <x v="1"/>
    </i>
    <i r="4">
      <x v="7"/>
    </i>
    <i r="4">
      <x v="5"/>
    </i>
    <i r="4">
      <x/>
    </i>
    <i r="4">
      <x v="3"/>
    </i>
    <i t="default" r="3">
      <x/>
    </i>
    <i r="3">
      <x v="1"/>
      <x v="2"/>
    </i>
    <i r="4">
      <x v="7"/>
    </i>
    <i r="4">
      <x v="4"/>
    </i>
    <i r="4">
      <x v="1"/>
    </i>
    <i r="4">
      <x v="3"/>
    </i>
    <i t="default" r="3">
      <x v="1"/>
    </i>
    <i t="default" r="2">
      <x v="3"/>
    </i>
    <i r="2">
      <x v="4"/>
      <x/>
      <x v="2"/>
    </i>
    <i r="4">
      <x v="1"/>
    </i>
    <i r="4">
      <x v="5"/>
    </i>
    <i r="4">
      <x v="7"/>
    </i>
    <i t="default" r="3">
      <x/>
    </i>
    <i r="3">
      <x v="1"/>
      <x v="2"/>
    </i>
    <i r="4">
      <x/>
    </i>
    <i r="4">
      <x v="1"/>
    </i>
    <i t="default" r="3">
      <x v="1"/>
    </i>
    <i t="default" r="2">
      <x v="4"/>
    </i>
    <i r="2">
      <x v="5"/>
      <x/>
      <x v="2"/>
    </i>
    <i r="4">
      <x v="6"/>
    </i>
    <i r="4">
      <x v="4"/>
    </i>
    <i r="4">
      <x v="1"/>
    </i>
    <i r="4">
      <x v="3"/>
    </i>
    <i t="default" r="3">
      <x/>
    </i>
    <i r="3">
      <x v="1"/>
      <x v="5"/>
    </i>
    <i r="4">
      <x v="7"/>
    </i>
    <i r="4">
      <x v="3"/>
    </i>
    <i r="4">
      <x v="1"/>
    </i>
    <i r="4">
      <x/>
    </i>
    <i r="4">
      <x v="2"/>
    </i>
    <i t="default" r="3">
      <x v="1"/>
    </i>
    <i t="default" r="2">
      <x v="5"/>
    </i>
    <i t="default" r="1">
      <x v="1"/>
    </i>
    <i r="1">
      <x v="2"/>
      <x v="6"/>
      <x/>
      <x v="1"/>
    </i>
    <i r="4">
      <x v="2"/>
    </i>
    <i r="4">
      <x v="5"/>
    </i>
    <i r="4">
      <x v="7"/>
    </i>
    <i r="4">
      <x v="3"/>
    </i>
    <i t="default" r="3">
      <x/>
    </i>
    <i r="3">
      <x v="1"/>
      <x v="2"/>
    </i>
    <i r="4">
      <x v="6"/>
    </i>
    <i t="default" r="3">
      <x v="1"/>
    </i>
    <i t="default" r="2">
      <x v="6"/>
    </i>
    <i r="2">
      <x v="7"/>
      <x/>
      <x v="3"/>
    </i>
    <i r="4">
      <x v="5"/>
    </i>
    <i r="4">
      <x v="1"/>
    </i>
    <i r="4">
      <x v="2"/>
    </i>
    <i t="default" r="3">
      <x/>
    </i>
    <i r="3">
      <x v="1"/>
      <x v="2"/>
    </i>
    <i r="4">
      <x v="7"/>
    </i>
    <i r="4">
      <x v="5"/>
    </i>
    <i r="4">
      <x v="1"/>
    </i>
    <i r="4">
      <x v="3"/>
    </i>
    <i t="default" r="3">
      <x v="1"/>
    </i>
    <i t="default" r="2">
      <x v="7"/>
    </i>
    <i r="2">
      <x v="8"/>
      <x/>
      <x v="2"/>
    </i>
    <i r="4">
      <x v="1"/>
    </i>
    <i r="4">
      <x v="5"/>
    </i>
    <i r="4">
      <x v="3"/>
    </i>
    <i r="4">
      <x v="7"/>
    </i>
    <i r="4">
      <x/>
    </i>
    <i t="default" r="3">
      <x/>
    </i>
    <i r="3">
      <x v="1"/>
      <x v="3"/>
    </i>
    <i r="4">
      <x v="1"/>
    </i>
    <i r="4">
      <x v="2"/>
    </i>
    <i r="4">
      <x v="5"/>
    </i>
    <i t="default" r="3">
      <x v="1"/>
    </i>
    <i t="default" r="2">
      <x v="8"/>
    </i>
    <i t="default" r="1">
      <x v="2"/>
    </i>
    <i r="1">
      <x v="3"/>
      <x v="9"/>
      <x/>
      <x v="2"/>
    </i>
    <i r="4">
      <x v="4"/>
    </i>
    <i r="4">
      <x v="1"/>
    </i>
    <i r="4">
      <x v="6"/>
    </i>
    <i r="4">
      <x v="7"/>
    </i>
    <i r="4">
      <x v="5"/>
    </i>
    <i r="4">
      <x/>
    </i>
    <i r="4">
      <x v="3"/>
    </i>
    <i t="default" r="3">
      <x/>
    </i>
    <i r="3">
      <x v="1"/>
      <x v="2"/>
    </i>
    <i r="4">
      <x v="7"/>
    </i>
    <i r="4">
      <x v="5"/>
    </i>
    <i t="default" r="3">
      <x v="1"/>
    </i>
    <i t="default" r="2">
      <x v="9"/>
    </i>
    <i r="2">
      <x v="10"/>
      <x/>
      <x v="7"/>
    </i>
    <i r="4">
      <x v="5"/>
    </i>
    <i r="4">
      <x v="3"/>
    </i>
    <i r="4">
      <x v="2"/>
    </i>
    <i r="4">
      <x v="1"/>
    </i>
    <i r="4">
      <x/>
    </i>
    <i t="default" r="3">
      <x/>
    </i>
    <i r="3">
      <x v="1"/>
      <x v="7"/>
    </i>
    <i r="4">
      <x v="5"/>
    </i>
    <i r="4">
      <x v="4"/>
    </i>
    <i r="4">
      <x v="2"/>
    </i>
    <i r="4">
      <x v="1"/>
    </i>
    <i r="4">
      <x v="3"/>
    </i>
    <i t="default" r="3">
      <x v="1"/>
    </i>
    <i t="default" r="2">
      <x v="10"/>
    </i>
    <i r="2">
      <x v="11"/>
      <x/>
      <x v="2"/>
    </i>
    <i r="4">
      <x v="1"/>
    </i>
    <i r="4">
      <x v="6"/>
    </i>
    <i r="4">
      <x v="7"/>
    </i>
    <i r="4">
      <x/>
    </i>
    <i r="4">
      <x v="3"/>
    </i>
    <i t="default" r="3">
      <x/>
    </i>
    <i r="3">
      <x v="1"/>
      <x v="6"/>
    </i>
    <i r="4">
      <x v="2"/>
    </i>
    <i t="default" r="3">
      <x v="1"/>
    </i>
    <i t="default" r="2">
      <x v="11"/>
    </i>
    <i t="default" r="1">
      <x v="3"/>
    </i>
    <i t="default">
      <x v="1"/>
    </i>
    <i t="grand">
      <x/>
    </i>
  </rowItems>
  <colFields count="1">
    <field x="4"/>
  </colFields>
  <colItems count="4">
    <i>
      <x v="1"/>
    </i>
    <i>
      <x/>
    </i>
    <i>
      <x v="2"/>
    </i>
    <i t="grand">
      <x/>
    </i>
  </colItems>
  <dataFields count="1">
    <dataField name="Count of Appointment Status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F61635-3D8F-4174-8EF1-CB0828726C28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52:D100" firstHeaderRow="1" firstDataRow="1" firstDataCol="3" rowPageCount="1" colPageCount="1"/>
  <pivotFields count="15">
    <pivotField compact="0" outline="0" showAll="0"/>
    <pivotField compact="0" outline="0" showAll="0"/>
    <pivotField axis="axisRow" compact="0" outline="0" showAll="0" sortType="descending">
      <items count="9">
        <item x="1"/>
        <item x="0"/>
        <item x="2"/>
        <item x="5"/>
        <item x="4"/>
        <item x="3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7">
        <item x="1"/>
        <item x="5"/>
        <item x="4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dataField="1" compact="0" outline="0" showAll="0">
      <items count="4">
        <item h="1" x="1"/>
        <item h="1" x="0"/>
        <item x="2"/>
        <item t="default"/>
      </items>
    </pivotField>
    <pivotField compact="0" outline="0" showAll="0"/>
    <pivotField compact="0" outline="0" showAll="0"/>
    <pivotField compact="0" numFmtId="14" outline="0" showAll="0"/>
    <pivotField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3">
    <field x="10"/>
    <field x="2"/>
    <field x="3"/>
  </rowFields>
  <rowItems count="48">
    <i>
      <x/>
      <x v="2"/>
      <x v="5"/>
    </i>
    <i r="2">
      <x v="1"/>
    </i>
    <i r="2">
      <x v="4"/>
    </i>
    <i r="2">
      <x v="2"/>
    </i>
    <i r="2">
      <x/>
    </i>
    <i t="default" r="1">
      <x v="2"/>
    </i>
    <i r="1">
      <x v="1"/>
      <x v="5"/>
    </i>
    <i r="2">
      <x v="1"/>
    </i>
    <i r="2">
      <x v="2"/>
    </i>
    <i r="2">
      <x v="4"/>
    </i>
    <i t="default" r="1">
      <x v="1"/>
    </i>
    <i r="1">
      <x v="5"/>
      <x v="5"/>
    </i>
    <i r="2">
      <x v="2"/>
    </i>
    <i r="2">
      <x v="1"/>
    </i>
    <i t="default" r="1">
      <x v="5"/>
    </i>
    <i r="1">
      <x v="4"/>
      <x v="3"/>
    </i>
    <i r="2">
      <x v="1"/>
    </i>
    <i t="default" r="1">
      <x v="4"/>
    </i>
    <i r="1">
      <x v="7"/>
      <x v="2"/>
    </i>
    <i r="2">
      <x/>
    </i>
    <i t="default" r="1">
      <x v="7"/>
    </i>
    <i r="1">
      <x/>
      <x/>
    </i>
    <i t="default" r="1">
      <x/>
    </i>
    <i r="1">
      <x v="3"/>
      <x v="5"/>
    </i>
    <i t="default" r="1">
      <x v="3"/>
    </i>
    <i t="default">
      <x/>
    </i>
    <i>
      <x v="1"/>
      <x v="2"/>
      <x/>
    </i>
    <i r="2">
      <x v="1"/>
    </i>
    <i r="2">
      <x v="5"/>
    </i>
    <i r="2">
      <x v="4"/>
    </i>
    <i t="default" r="1">
      <x v="2"/>
    </i>
    <i r="1">
      <x v="1"/>
      <x v="3"/>
    </i>
    <i r="2">
      <x v="2"/>
    </i>
    <i r="2">
      <x v="4"/>
    </i>
    <i r="2">
      <x/>
    </i>
    <i t="default" r="1">
      <x v="1"/>
    </i>
    <i r="1">
      <x v="3"/>
      <x/>
    </i>
    <i r="2">
      <x v="4"/>
    </i>
    <i r="2">
      <x v="1"/>
    </i>
    <i t="default" r="1">
      <x v="3"/>
    </i>
    <i r="1">
      <x v="7"/>
      <x v="4"/>
    </i>
    <i r="2">
      <x v="1"/>
    </i>
    <i t="default" r="1">
      <x v="7"/>
    </i>
    <i r="1">
      <x v="5"/>
      <x v="5"/>
    </i>
    <i r="2">
      <x/>
    </i>
    <i t="default" r="1">
      <x v="5"/>
    </i>
    <i t="default">
      <x v="1"/>
    </i>
    <i t="grand">
      <x/>
    </i>
  </rowItems>
  <colItems count="1">
    <i/>
  </colItems>
  <pageFields count="1">
    <pageField fld="4" item="2" hier="-1"/>
  </pageFields>
  <dataFields count="1">
    <dataField name="Total No Show Count" fld="4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934C03-C331-4DEB-A044-973FD6659D8C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D47" firstHeaderRow="1" firstDataRow="1" firstDataCol="3" rowPageCount="1" colPageCount="1"/>
  <pivotFields count="15">
    <pivotField compact="0" outline="0" showAll="0"/>
    <pivotField compact="0" outline="0" showAll="0"/>
    <pivotField axis="axisRow" compact="0" outline="0" showAll="0" sortType="descending">
      <items count="9">
        <item x="1"/>
        <item x="0"/>
        <item x="2"/>
        <item x="5"/>
        <item x="4"/>
        <item x="3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dataField="1" compact="0" outline="0" showAll="0">
      <items count="4">
        <item h="1" x="1"/>
        <item h="1" x="0"/>
        <item x="2"/>
        <item t="default"/>
      </items>
    </pivotField>
    <pivotField compact="0" outline="0" showAll="0"/>
    <pivotField compact="0" outline="0" showAll="0"/>
    <pivotField compact="0" numFmtId="14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3">
    <field x="10"/>
    <field x="2"/>
    <field x="8"/>
  </rowFields>
  <rowItems count="44">
    <i>
      <x/>
      <x v="2"/>
      <x v="2"/>
    </i>
    <i r="2">
      <x v="1"/>
    </i>
    <i r="2">
      <x v="3"/>
    </i>
    <i r="2">
      <x/>
    </i>
    <i t="default" r="1">
      <x v="2"/>
    </i>
    <i r="1">
      <x v="1"/>
      <x v="2"/>
    </i>
    <i r="2">
      <x v="1"/>
    </i>
    <i r="2">
      <x v="3"/>
    </i>
    <i r="2">
      <x/>
    </i>
    <i t="default" r="1">
      <x v="1"/>
    </i>
    <i r="1">
      <x v="5"/>
      <x v="1"/>
    </i>
    <i r="2">
      <x/>
    </i>
    <i r="2">
      <x v="3"/>
    </i>
    <i r="2">
      <x v="2"/>
    </i>
    <i t="default" r="1">
      <x v="5"/>
    </i>
    <i r="1">
      <x v="4"/>
      <x v="1"/>
    </i>
    <i r="2">
      <x/>
    </i>
    <i t="default" r="1">
      <x v="4"/>
    </i>
    <i r="1">
      <x v="7"/>
      <x v="2"/>
    </i>
    <i t="default" r="1">
      <x v="7"/>
    </i>
    <i r="1">
      <x/>
      <x/>
    </i>
    <i t="default" r="1">
      <x/>
    </i>
    <i r="1">
      <x v="3"/>
      <x v="1"/>
    </i>
    <i t="default" r="1">
      <x v="3"/>
    </i>
    <i t="default">
      <x/>
    </i>
    <i>
      <x v="1"/>
      <x v="2"/>
      <x/>
    </i>
    <i r="2">
      <x v="2"/>
    </i>
    <i r="2">
      <x v="1"/>
    </i>
    <i t="default" r="1">
      <x v="2"/>
    </i>
    <i r="1">
      <x v="1"/>
      <x/>
    </i>
    <i r="2">
      <x v="2"/>
    </i>
    <i r="2">
      <x v="3"/>
    </i>
    <i r="2">
      <x v="1"/>
    </i>
    <i t="default" r="1">
      <x v="1"/>
    </i>
    <i r="1">
      <x v="3"/>
      <x v="2"/>
    </i>
    <i r="2">
      <x v="1"/>
    </i>
    <i t="default" r="1">
      <x v="3"/>
    </i>
    <i r="1">
      <x v="7"/>
      <x v="2"/>
    </i>
    <i t="default" r="1">
      <x v="7"/>
    </i>
    <i r="1">
      <x v="5"/>
      <x v="2"/>
    </i>
    <i r="2">
      <x v="1"/>
    </i>
    <i t="default" r="1">
      <x v="5"/>
    </i>
    <i t="default">
      <x v="1"/>
    </i>
    <i t="grand">
      <x/>
    </i>
  </rowItems>
  <colItems count="1">
    <i/>
  </colItems>
  <pageFields count="1">
    <pageField fld="4" item="2" hier="-1"/>
  </pageFields>
  <dataFields count="1">
    <dataField name="Total No Show Count" fld="4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D609A5-7072-4C78-96EB-4DAF47FC371C}" name="PivotTable3" cacheId="2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8">
  <location ref="A3:D85" firstHeaderRow="1" firstDataRow="1" firstDataCol="3"/>
  <pivotFields count="15">
    <pivotField compact="0" outline="0" showAll="0"/>
    <pivotField compact="0" outline="0" showAll="0"/>
    <pivotField axis="axisRow" compact="0" outline="0" showAll="0" sortType="descending">
      <items count="9">
        <item x="1"/>
        <item x="0"/>
        <item x="2"/>
        <item x="5"/>
        <item x="4"/>
        <item x="3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>
      <items count="4">
        <item h="1" x="1"/>
        <item h="1" x="0"/>
        <item x="2"/>
        <item t="default"/>
      </items>
    </pivotField>
    <pivotField compact="0" outline="0" showAll="0"/>
    <pivotField dataField="1" compact="0" outline="0" showAll="0"/>
    <pivotField compact="0" numFmtId="14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3">
    <field x="10"/>
    <field x="2"/>
    <field x="8"/>
  </rowFields>
  <rowItems count="82">
    <i>
      <x/>
      <x v="2"/>
      <x v="1"/>
    </i>
    <i r="2">
      <x v="2"/>
    </i>
    <i r="2">
      <x/>
    </i>
    <i r="2">
      <x v="3"/>
    </i>
    <i t="default" r="1">
      <x v="2"/>
    </i>
    <i r="1">
      <x v="1"/>
      <x v="2"/>
    </i>
    <i r="2">
      <x v="1"/>
    </i>
    <i r="2">
      <x v="3"/>
    </i>
    <i r="2">
      <x/>
    </i>
    <i t="default" r="1">
      <x v="1"/>
    </i>
    <i r="1">
      <x v="3"/>
      <x v="3"/>
    </i>
    <i r="2">
      <x v="1"/>
    </i>
    <i r="2">
      <x/>
    </i>
    <i r="2">
      <x v="2"/>
    </i>
    <i t="default" r="1">
      <x v="3"/>
    </i>
    <i r="1">
      <x v="5"/>
      <x v="1"/>
    </i>
    <i r="2">
      <x v="2"/>
    </i>
    <i r="2">
      <x v="3"/>
    </i>
    <i r="2">
      <x/>
    </i>
    <i t="default" r="1">
      <x v="5"/>
    </i>
    <i r="1">
      <x v="7"/>
      <x v="1"/>
    </i>
    <i r="2">
      <x v="3"/>
    </i>
    <i r="2">
      <x v="2"/>
    </i>
    <i r="2">
      <x/>
    </i>
    <i t="default" r="1">
      <x v="7"/>
    </i>
    <i r="1">
      <x v="4"/>
      <x v="1"/>
    </i>
    <i r="2">
      <x v="2"/>
    </i>
    <i r="2">
      <x/>
    </i>
    <i r="2">
      <x v="3"/>
    </i>
    <i t="default" r="1">
      <x v="4"/>
    </i>
    <i r="1">
      <x v="6"/>
      <x v="1"/>
    </i>
    <i r="2">
      <x v="3"/>
    </i>
    <i r="2">
      <x/>
    </i>
    <i r="2">
      <x v="2"/>
    </i>
    <i t="default" r="1">
      <x v="6"/>
    </i>
    <i r="1">
      <x/>
      <x v="2"/>
    </i>
    <i r="2">
      <x v="1"/>
    </i>
    <i r="2">
      <x v="3"/>
    </i>
    <i r="2">
      <x/>
    </i>
    <i t="default" r="1">
      <x/>
    </i>
    <i t="default">
      <x/>
    </i>
    <i>
      <x v="1"/>
      <x v="2"/>
      <x v="2"/>
    </i>
    <i r="2">
      <x/>
    </i>
    <i r="2">
      <x v="1"/>
    </i>
    <i r="2">
      <x v="3"/>
    </i>
    <i t="default" r="1">
      <x v="2"/>
    </i>
    <i r="1">
      <x v="1"/>
      <x v="3"/>
    </i>
    <i r="2">
      <x v="2"/>
    </i>
    <i r="2">
      <x/>
    </i>
    <i r="2">
      <x v="1"/>
    </i>
    <i t="default" r="1">
      <x v="1"/>
    </i>
    <i r="1">
      <x v="5"/>
      <x v="3"/>
    </i>
    <i r="2">
      <x v="1"/>
    </i>
    <i r="2">
      <x v="2"/>
    </i>
    <i r="2">
      <x/>
    </i>
    <i t="default" r="1">
      <x v="5"/>
    </i>
    <i r="1">
      <x v="3"/>
      <x v="2"/>
    </i>
    <i r="2">
      <x v="3"/>
    </i>
    <i r="2">
      <x v="1"/>
    </i>
    <i r="2">
      <x/>
    </i>
    <i t="default" r="1">
      <x v="3"/>
    </i>
    <i r="1">
      <x v="7"/>
      <x v="2"/>
    </i>
    <i r="2">
      <x v="1"/>
    </i>
    <i r="2">
      <x/>
    </i>
    <i r="2">
      <x v="3"/>
    </i>
    <i t="default" r="1">
      <x v="7"/>
    </i>
    <i r="1">
      <x v="4"/>
      <x v="3"/>
    </i>
    <i r="2">
      <x/>
    </i>
    <i r="2">
      <x v="2"/>
    </i>
    <i r="2">
      <x v="1"/>
    </i>
    <i t="default" r="1">
      <x v="4"/>
    </i>
    <i r="1">
      <x/>
      <x v="3"/>
    </i>
    <i r="2">
      <x v="2"/>
    </i>
    <i r="2">
      <x v="1"/>
    </i>
    <i t="default" r="1">
      <x/>
    </i>
    <i r="1">
      <x v="6"/>
      <x v="2"/>
    </i>
    <i r="2">
      <x v="1"/>
    </i>
    <i r="2">
      <x/>
    </i>
    <i r="2">
      <x v="3"/>
    </i>
    <i t="default" r="1">
      <x v="6"/>
    </i>
    <i t="default">
      <x v="1"/>
    </i>
    <i t="grand">
      <x/>
    </i>
  </rowItems>
  <colItems count="1">
    <i/>
  </colItems>
  <dataFields count="1">
    <dataField name="Sum of Wait Days" fld="6" baseField="0" baseItem="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060267-AF2C-484E-8F7B-17C1BEED63B9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88:D198" firstHeaderRow="1" firstDataRow="1" firstDataCol="3"/>
  <pivotFields count="15">
    <pivotField compact="0" outline="0" showAll="0"/>
    <pivotField compact="0" outline="0" showAll="0"/>
    <pivotField axis="axisRow" compact="0" outline="0" showAll="0" sortType="descending">
      <items count="9">
        <item x="1"/>
        <item x="0"/>
        <item x="2"/>
        <item x="5"/>
        <item x="4"/>
        <item x="3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7">
        <item x="1"/>
        <item x="5"/>
        <item x="4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4">
        <item h="1" x="1"/>
        <item h="1" x="0"/>
        <item x="2"/>
        <item t="default"/>
      </items>
    </pivotField>
    <pivotField compact="0" outline="0" showAll="0"/>
    <pivotField dataField="1" compact="0" outline="0" showAll="0"/>
    <pivotField compact="0" numFmtId="14" outline="0" showAll="0"/>
    <pivotField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3">
    <field x="10"/>
    <field x="2"/>
    <field x="3"/>
  </rowFields>
  <rowItems count="110">
    <i>
      <x/>
      <x v="2"/>
      <x v="4"/>
    </i>
    <i r="2">
      <x v="5"/>
    </i>
    <i r="2">
      <x v="1"/>
    </i>
    <i r="2">
      <x v="3"/>
    </i>
    <i r="2">
      <x v="2"/>
    </i>
    <i r="2">
      <x/>
    </i>
    <i t="default" r="1">
      <x v="2"/>
    </i>
    <i r="1">
      <x v="1"/>
      <x v="1"/>
    </i>
    <i r="2">
      <x v="2"/>
    </i>
    <i r="2">
      <x v="5"/>
    </i>
    <i r="2">
      <x v="3"/>
    </i>
    <i r="2">
      <x v="4"/>
    </i>
    <i r="2">
      <x/>
    </i>
    <i t="default" r="1">
      <x v="1"/>
    </i>
    <i r="1">
      <x v="3"/>
      <x v="4"/>
    </i>
    <i r="2">
      <x v="2"/>
    </i>
    <i r="2">
      <x v="5"/>
    </i>
    <i r="2">
      <x v="1"/>
    </i>
    <i r="2">
      <x/>
    </i>
    <i r="2">
      <x v="3"/>
    </i>
    <i t="default" r="1">
      <x v="3"/>
    </i>
    <i r="1">
      <x v="5"/>
      <x v="2"/>
    </i>
    <i r="2">
      <x/>
    </i>
    <i r="2">
      <x v="1"/>
    </i>
    <i r="2">
      <x v="4"/>
    </i>
    <i r="2">
      <x v="3"/>
    </i>
    <i r="2">
      <x v="5"/>
    </i>
    <i t="default" r="1">
      <x v="5"/>
    </i>
    <i r="1">
      <x v="7"/>
      <x v="3"/>
    </i>
    <i r="2">
      <x v="4"/>
    </i>
    <i r="2">
      <x/>
    </i>
    <i r="2">
      <x v="2"/>
    </i>
    <i r="2">
      <x v="5"/>
    </i>
    <i r="2">
      <x v="1"/>
    </i>
    <i t="default" r="1">
      <x v="7"/>
    </i>
    <i r="1">
      <x v="4"/>
      <x v="3"/>
    </i>
    <i r="2">
      <x v="1"/>
    </i>
    <i r="2">
      <x v="4"/>
    </i>
    <i r="2">
      <x/>
    </i>
    <i r="2">
      <x v="2"/>
    </i>
    <i r="2">
      <x v="5"/>
    </i>
    <i t="default" r="1">
      <x v="4"/>
    </i>
    <i r="1">
      <x v="6"/>
      <x v="2"/>
    </i>
    <i r="2">
      <x v="4"/>
    </i>
    <i r="2">
      <x/>
    </i>
    <i r="2">
      <x v="1"/>
    </i>
    <i r="2">
      <x v="3"/>
    </i>
    <i t="default" r="1">
      <x v="6"/>
    </i>
    <i r="1">
      <x/>
      <x v="2"/>
    </i>
    <i r="2">
      <x v="5"/>
    </i>
    <i r="2">
      <x v="4"/>
    </i>
    <i r="2">
      <x/>
    </i>
    <i r="2">
      <x v="3"/>
    </i>
    <i r="2">
      <x v="1"/>
    </i>
    <i t="default" r="1">
      <x/>
    </i>
    <i t="default">
      <x/>
    </i>
    <i>
      <x v="1"/>
      <x v="2"/>
      <x v="1"/>
    </i>
    <i r="2">
      <x/>
    </i>
    <i r="2">
      <x v="3"/>
    </i>
    <i r="2">
      <x v="2"/>
    </i>
    <i r="2">
      <x v="5"/>
    </i>
    <i r="2">
      <x v="4"/>
    </i>
    <i t="default" r="1">
      <x v="2"/>
    </i>
    <i r="1">
      <x v="1"/>
      <x v="5"/>
    </i>
    <i r="2">
      <x/>
    </i>
    <i r="2">
      <x v="3"/>
    </i>
    <i r="2">
      <x v="2"/>
    </i>
    <i r="2">
      <x v="1"/>
    </i>
    <i r="2">
      <x v="4"/>
    </i>
    <i t="default" r="1">
      <x v="1"/>
    </i>
    <i r="1">
      <x v="5"/>
      <x v="3"/>
    </i>
    <i r="2">
      <x v="5"/>
    </i>
    <i r="2">
      <x v="1"/>
    </i>
    <i r="2">
      <x v="4"/>
    </i>
    <i r="2">
      <x v="2"/>
    </i>
    <i r="2">
      <x/>
    </i>
    <i t="default" r="1">
      <x v="5"/>
    </i>
    <i r="1">
      <x v="3"/>
      <x v="1"/>
    </i>
    <i r="2">
      <x/>
    </i>
    <i r="2">
      <x v="4"/>
    </i>
    <i r="2">
      <x v="5"/>
    </i>
    <i r="2">
      <x v="3"/>
    </i>
    <i r="2">
      <x v="2"/>
    </i>
    <i t="default" r="1">
      <x v="3"/>
    </i>
    <i r="1">
      <x v="7"/>
      <x v="4"/>
    </i>
    <i r="2">
      <x v="2"/>
    </i>
    <i r="2">
      <x v="3"/>
    </i>
    <i r="2">
      <x v="5"/>
    </i>
    <i r="2">
      <x v="1"/>
    </i>
    <i r="2">
      <x/>
    </i>
    <i t="default" r="1">
      <x v="7"/>
    </i>
    <i r="1">
      <x v="4"/>
      <x/>
    </i>
    <i r="2">
      <x v="3"/>
    </i>
    <i r="2">
      <x v="1"/>
    </i>
    <i r="2">
      <x v="5"/>
    </i>
    <i t="default" r="1">
      <x v="4"/>
    </i>
    <i r="1">
      <x/>
      <x/>
    </i>
    <i r="2">
      <x v="3"/>
    </i>
    <i r="2">
      <x v="4"/>
    </i>
    <i r="2">
      <x v="5"/>
    </i>
    <i r="2">
      <x v="2"/>
    </i>
    <i r="2">
      <x v="1"/>
    </i>
    <i t="default" r="1">
      <x/>
    </i>
    <i r="1">
      <x v="6"/>
      <x v="5"/>
    </i>
    <i r="2">
      <x/>
    </i>
    <i r="2">
      <x v="1"/>
    </i>
    <i r="2">
      <x v="3"/>
    </i>
    <i t="default" r="1">
      <x v="6"/>
    </i>
    <i t="default">
      <x v="1"/>
    </i>
    <i t="grand">
      <x/>
    </i>
  </rowItems>
  <colItems count="1">
    <i/>
  </colItems>
  <dataFields count="1">
    <dataField name="Sum of Wait Days" fld="6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F03D7D-02C0-4D42-99AE-645D69A22E56}" name="Table1" displayName="Table1" ref="A1:O501" totalsRowShown="0" headerRowDxfId="6" headerRowBorderDxfId="4" tableBorderDxfId="5">
  <autoFilter ref="A1:O501" xr:uid="{38F03D7D-02C0-4D42-99AE-645D69A22E56}"/>
  <tableColumns count="15">
    <tableColumn id="1" xr3:uid="{CCFC8FA1-CFD0-4FE7-8136-B21D5FC0AECC}" name="Age"/>
    <tableColumn id="2" xr3:uid="{BCF09C6C-4036-499F-9D45-8F5F1B12E714}" name="Gender"/>
    <tableColumn id="3" xr3:uid="{A2655BC8-B83D-4CD4-B8AD-05AC35EFF8F9}" name="Division"/>
    <tableColumn id="4" xr3:uid="{B904E74A-516C-4BF1-B06C-74DA0A3C1BC2}" name="Doctor Specialty"/>
    <tableColumn id="5" xr3:uid="{22CCBC37-AE6B-4E66-B591-4E37EE42920B}" name="Appointment Status"/>
    <tableColumn id="6" xr3:uid="{5AE11F70-F6F6-4154-AC12-6A9E8C61D300}" name="Consultation Fee"/>
    <tableColumn id="7" xr3:uid="{B0A9B937-A8C7-4586-8A68-F863E459A39F}" name="Wait Days"/>
    <tableColumn id="8" xr3:uid="{77C6BDDE-7D1A-4120-91E3-DFD366A69F8C}" name="Appointment Date" dataDxfId="3"/>
    <tableColumn id="9" xr3:uid="{51CD8388-E175-4F42-B96E-F5820AD156F1}" name="Age Group"/>
    <tableColumn id="10" xr3:uid="{29FBF231-CF5A-437A-9AD6-6FFECA55BB42}" name="Month"/>
    <tableColumn id="11" xr3:uid="{DF4D5784-4509-458A-897C-D8DC0ADCED99}" name="Year"/>
    <tableColumn id="12" xr3:uid="{EE56A874-85AD-4E60-9E96-20639A9C7CF1}" name="Month Name"/>
    <tableColumn id="13" xr3:uid="{51659621-5806-4C73-BBA5-E025032CF107}" name="Day of Week" dataDxfId="2">
      <calculatedColumnFormula>TEXT(H2,"dddd")</calculatedColumnFormula>
    </tableColumn>
    <tableColumn id="14" xr3:uid="{76E216BC-D8FB-4B08-8B53-700351672BE2}" name="Day Type" dataDxfId="1">
      <calculatedColumnFormula>IF(WEEKDAY(H2,1)&gt;5,"Weekend","Weekday")</calculatedColumnFormula>
    </tableColumn>
    <tableColumn id="15" xr3:uid="{9691782B-E32A-4E4C-8095-0BCD1DD391C6}" name="Quarter" dataDxfId="0">
      <calculatedColumnFormula>"Q"&amp;CEILING(MONTH(H2)/3,1)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56</v>
      </c>
      <c r="B2" t="s">
        <v>8</v>
      </c>
      <c r="C2" t="s">
        <v>9</v>
      </c>
      <c r="D2" t="s">
        <v>10</v>
      </c>
      <c r="E2" t="s">
        <v>11</v>
      </c>
      <c r="F2">
        <v>914</v>
      </c>
      <c r="G2">
        <v>4</v>
      </c>
      <c r="H2" s="2">
        <v>45249</v>
      </c>
    </row>
    <row r="3" spans="1:8">
      <c r="A3">
        <v>19</v>
      </c>
      <c r="B3" t="s">
        <v>12</v>
      </c>
      <c r="C3" t="s">
        <v>13</v>
      </c>
      <c r="D3" t="s">
        <v>14</v>
      </c>
      <c r="E3" t="s">
        <v>11</v>
      </c>
      <c r="F3">
        <v>1546</v>
      </c>
      <c r="G3">
        <v>6</v>
      </c>
      <c r="H3" s="2">
        <v>45450</v>
      </c>
    </row>
    <row r="4" spans="1:8">
      <c r="A4">
        <v>76</v>
      </c>
      <c r="B4" t="s">
        <v>8</v>
      </c>
      <c r="C4" t="s">
        <v>15</v>
      </c>
      <c r="D4" t="s">
        <v>16</v>
      </c>
      <c r="E4" t="s">
        <v>11</v>
      </c>
      <c r="F4">
        <v>725</v>
      </c>
      <c r="G4">
        <v>1</v>
      </c>
      <c r="H4" s="2">
        <v>44984</v>
      </c>
    </row>
    <row r="5" spans="1:8">
      <c r="A5">
        <v>65</v>
      </c>
      <c r="B5" t="s">
        <v>12</v>
      </c>
      <c r="C5" t="s">
        <v>9</v>
      </c>
      <c r="D5" t="s">
        <v>14</v>
      </c>
      <c r="E5" t="s">
        <v>11</v>
      </c>
      <c r="F5">
        <v>1492</v>
      </c>
      <c r="G5">
        <v>20</v>
      </c>
      <c r="H5" s="2">
        <v>45368</v>
      </c>
    </row>
    <row r="6" spans="1:8">
      <c r="A6">
        <v>25</v>
      </c>
      <c r="B6" t="s">
        <v>12</v>
      </c>
      <c r="C6" t="s">
        <v>15</v>
      </c>
      <c r="D6" t="s">
        <v>17</v>
      </c>
      <c r="E6" t="s">
        <v>18</v>
      </c>
      <c r="F6">
        <v>1331</v>
      </c>
      <c r="G6">
        <v>16</v>
      </c>
      <c r="H6" s="2">
        <v>45022</v>
      </c>
    </row>
    <row r="7" spans="1:8">
      <c r="A7">
        <v>79</v>
      </c>
      <c r="B7" t="s">
        <v>8</v>
      </c>
      <c r="C7" t="s">
        <v>19</v>
      </c>
      <c r="D7" t="s">
        <v>20</v>
      </c>
      <c r="E7" t="s">
        <v>11</v>
      </c>
      <c r="F7">
        <v>420</v>
      </c>
      <c r="G7">
        <v>15</v>
      </c>
      <c r="H7" s="2">
        <v>45249</v>
      </c>
    </row>
    <row r="8" spans="1:8">
      <c r="A8">
        <v>79</v>
      </c>
      <c r="B8" t="s">
        <v>12</v>
      </c>
      <c r="C8" t="s">
        <v>13</v>
      </c>
      <c r="D8" t="s">
        <v>10</v>
      </c>
      <c r="E8" t="s">
        <v>11</v>
      </c>
      <c r="F8">
        <v>937</v>
      </c>
      <c r="G8">
        <v>17</v>
      </c>
      <c r="H8" s="2">
        <v>45436</v>
      </c>
    </row>
    <row r="9" spans="1:8">
      <c r="A9">
        <v>28</v>
      </c>
      <c r="B9" t="s">
        <v>8</v>
      </c>
      <c r="C9" t="s">
        <v>13</v>
      </c>
      <c r="D9" t="s">
        <v>14</v>
      </c>
      <c r="E9" t="s">
        <v>18</v>
      </c>
      <c r="F9">
        <v>1675</v>
      </c>
      <c r="G9">
        <v>8</v>
      </c>
      <c r="H9" s="2">
        <v>45175</v>
      </c>
    </row>
    <row r="10" spans="1:8">
      <c r="A10">
        <v>7</v>
      </c>
      <c r="B10" t="s">
        <v>8</v>
      </c>
      <c r="C10" t="s">
        <v>15</v>
      </c>
      <c r="D10" t="s">
        <v>20</v>
      </c>
      <c r="E10" t="s">
        <v>11</v>
      </c>
      <c r="F10">
        <v>556</v>
      </c>
      <c r="G10">
        <v>12</v>
      </c>
      <c r="H10" s="2">
        <v>45262</v>
      </c>
    </row>
    <row r="11" spans="1:8">
      <c r="A11">
        <v>26</v>
      </c>
      <c r="B11" t="s">
        <v>8</v>
      </c>
      <c r="C11" t="s">
        <v>21</v>
      </c>
      <c r="D11" t="s">
        <v>16</v>
      </c>
      <c r="E11" t="s">
        <v>18</v>
      </c>
      <c r="F11">
        <v>878</v>
      </c>
      <c r="G11">
        <v>10</v>
      </c>
      <c r="H11" s="2">
        <v>45388</v>
      </c>
    </row>
    <row r="12" spans="1:8">
      <c r="A12">
        <v>57</v>
      </c>
      <c r="B12" t="s">
        <v>8</v>
      </c>
      <c r="C12" t="s">
        <v>19</v>
      </c>
      <c r="D12" t="s">
        <v>20</v>
      </c>
      <c r="E12" t="s">
        <v>11</v>
      </c>
      <c r="F12">
        <v>531</v>
      </c>
      <c r="G12">
        <v>15</v>
      </c>
      <c r="H12" s="2">
        <v>45619</v>
      </c>
    </row>
    <row r="13" spans="1:8">
      <c r="A13">
        <v>6</v>
      </c>
      <c r="B13" t="s">
        <v>8</v>
      </c>
      <c r="C13" t="s">
        <v>9</v>
      </c>
      <c r="D13" t="s">
        <v>10</v>
      </c>
      <c r="E13" t="s">
        <v>22</v>
      </c>
      <c r="F13">
        <v>927</v>
      </c>
      <c r="G13">
        <v>9</v>
      </c>
      <c r="H13" s="2">
        <v>45540</v>
      </c>
    </row>
    <row r="14" spans="1:8">
      <c r="A14">
        <v>34</v>
      </c>
      <c r="B14" t="s">
        <v>8</v>
      </c>
      <c r="C14" t="s">
        <v>23</v>
      </c>
      <c r="D14" t="s">
        <v>14</v>
      </c>
      <c r="E14" t="s">
        <v>11</v>
      </c>
      <c r="F14">
        <v>1659</v>
      </c>
      <c r="G14">
        <v>2</v>
      </c>
      <c r="H14" s="2">
        <v>45249</v>
      </c>
    </row>
    <row r="15" spans="1:8">
      <c r="A15">
        <v>42</v>
      </c>
      <c r="B15" t="s">
        <v>8</v>
      </c>
      <c r="C15" t="s">
        <v>9</v>
      </c>
      <c r="D15" t="s">
        <v>17</v>
      </c>
      <c r="E15" t="s">
        <v>11</v>
      </c>
      <c r="F15">
        <v>1175</v>
      </c>
      <c r="G15">
        <v>5</v>
      </c>
      <c r="H15" s="2">
        <v>45219</v>
      </c>
    </row>
    <row r="16" spans="1:8">
      <c r="A16">
        <v>6</v>
      </c>
      <c r="B16" t="s">
        <v>8</v>
      </c>
      <c r="C16" t="s">
        <v>9</v>
      </c>
      <c r="D16" t="s">
        <v>16</v>
      </c>
      <c r="E16" t="s">
        <v>11</v>
      </c>
      <c r="F16">
        <v>766</v>
      </c>
      <c r="G16">
        <v>6</v>
      </c>
      <c r="H16" s="2">
        <v>44989</v>
      </c>
    </row>
    <row r="17" spans="1:8">
      <c r="A17">
        <v>68</v>
      </c>
      <c r="B17" t="s">
        <v>12</v>
      </c>
      <c r="C17" t="s">
        <v>23</v>
      </c>
      <c r="D17" t="s">
        <v>14</v>
      </c>
      <c r="E17" t="s">
        <v>22</v>
      </c>
      <c r="F17">
        <v>1593</v>
      </c>
      <c r="G17">
        <v>7</v>
      </c>
      <c r="H17" s="2">
        <v>45526</v>
      </c>
    </row>
    <row r="18" spans="1:8">
      <c r="A18">
        <v>64</v>
      </c>
      <c r="B18" t="s">
        <v>12</v>
      </c>
      <c r="C18" t="s">
        <v>15</v>
      </c>
      <c r="D18" t="s">
        <v>10</v>
      </c>
      <c r="E18" t="s">
        <v>18</v>
      </c>
      <c r="F18">
        <v>1061</v>
      </c>
      <c r="G18">
        <v>1</v>
      </c>
      <c r="H18" s="2">
        <v>45286</v>
      </c>
    </row>
    <row r="19" spans="1:8">
      <c r="A19">
        <v>25</v>
      </c>
      <c r="B19" t="s">
        <v>8</v>
      </c>
      <c r="C19" t="s">
        <v>15</v>
      </c>
      <c r="D19" t="s">
        <v>16</v>
      </c>
      <c r="E19" t="s">
        <v>11</v>
      </c>
      <c r="F19">
        <v>956</v>
      </c>
      <c r="G19">
        <v>7</v>
      </c>
      <c r="H19" s="2">
        <v>44943</v>
      </c>
    </row>
    <row r="20" spans="1:8">
      <c r="A20">
        <v>37</v>
      </c>
      <c r="B20" t="s">
        <v>12</v>
      </c>
      <c r="C20" t="s">
        <v>9</v>
      </c>
      <c r="D20" t="s">
        <v>24</v>
      </c>
      <c r="E20" t="s">
        <v>11</v>
      </c>
      <c r="F20">
        <v>971</v>
      </c>
      <c r="G20">
        <v>20</v>
      </c>
      <c r="H20" s="2">
        <v>45241</v>
      </c>
    </row>
    <row r="21" spans="1:8">
      <c r="A21">
        <v>62</v>
      </c>
      <c r="B21" t="s">
        <v>12</v>
      </c>
      <c r="C21" t="s">
        <v>15</v>
      </c>
      <c r="D21" t="s">
        <v>20</v>
      </c>
      <c r="E21" t="s">
        <v>22</v>
      </c>
      <c r="F21">
        <v>486</v>
      </c>
      <c r="G21">
        <v>12</v>
      </c>
      <c r="H21" s="2">
        <v>45173</v>
      </c>
    </row>
    <row r="22" spans="1:8">
      <c r="A22">
        <v>26</v>
      </c>
      <c r="B22" t="s">
        <v>12</v>
      </c>
      <c r="C22" t="s">
        <v>9</v>
      </c>
      <c r="D22" t="s">
        <v>10</v>
      </c>
      <c r="E22" t="s">
        <v>11</v>
      </c>
      <c r="F22">
        <v>1161</v>
      </c>
      <c r="G22">
        <v>16</v>
      </c>
      <c r="H22" s="2">
        <v>45195</v>
      </c>
    </row>
    <row r="23" spans="1:8">
      <c r="A23">
        <v>53</v>
      </c>
      <c r="B23" t="s">
        <v>12</v>
      </c>
      <c r="C23" t="s">
        <v>19</v>
      </c>
      <c r="D23" t="s">
        <v>24</v>
      </c>
      <c r="E23" t="s">
        <v>18</v>
      </c>
      <c r="F23">
        <v>1113</v>
      </c>
      <c r="G23">
        <v>16</v>
      </c>
      <c r="H23" s="2">
        <v>45212</v>
      </c>
    </row>
    <row r="24" spans="1:8">
      <c r="A24">
        <v>63</v>
      </c>
      <c r="B24" t="s">
        <v>8</v>
      </c>
      <c r="C24" t="s">
        <v>23</v>
      </c>
      <c r="D24" t="s">
        <v>14</v>
      </c>
      <c r="E24" t="s">
        <v>18</v>
      </c>
      <c r="F24">
        <v>1552</v>
      </c>
      <c r="G24">
        <v>11</v>
      </c>
      <c r="H24" s="2">
        <v>44977</v>
      </c>
    </row>
    <row r="25" spans="1:8">
      <c r="A25">
        <v>46</v>
      </c>
      <c r="B25" t="s">
        <v>8</v>
      </c>
      <c r="C25" t="s">
        <v>23</v>
      </c>
      <c r="D25" t="s">
        <v>17</v>
      </c>
      <c r="E25" t="s">
        <v>11</v>
      </c>
      <c r="F25">
        <v>1309</v>
      </c>
      <c r="G25">
        <v>4</v>
      </c>
      <c r="H25" s="2">
        <v>45408</v>
      </c>
    </row>
    <row r="26" spans="1:8">
      <c r="A26">
        <v>64</v>
      </c>
      <c r="B26" t="s">
        <v>12</v>
      </c>
      <c r="C26" t="s">
        <v>25</v>
      </c>
      <c r="D26" t="s">
        <v>16</v>
      </c>
      <c r="E26" t="s">
        <v>11</v>
      </c>
      <c r="F26">
        <v>760</v>
      </c>
      <c r="G26">
        <v>13</v>
      </c>
      <c r="H26" s="2">
        <v>45521</v>
      </c>
    </row>
    <row r="27" spans="1:8">
      <c r="A27">
        <v>19</v>
      </c>
      <c r="B27" t="s">
        <v>8</v>
      </c>
      <c r="C27" t="s">
        <v>23</v>
      </c>
      <c r="D27" t="s">
        <v>20</v>
      </c>
      <c r="E27" t="s">
        <v>11</v>
      </c>
      <c r="F27">
        <v>667</v>
      </c>
      <c r="G27">
        <v>7</v>
      </c>
      <c r="H27" s="2">
        <v>45482</v>
      </c>
    </row>
    <row r="28" spans="1:8">
      <c r="A28">
        <v>66</v>
      </c>
      <c r="B28" t="s">
        <v>8</v>
      </c>
      <c r="C28" t="s">
        <v>23</v>
      </c>
      <c r="D28" t="s">
        <v>16</v>
      </c>
      <c r="E28" t="s">
        <v>11</v>
      </c>
      <c r="F28">
        <v>961</v>
      </c>
      <c r="G28">
        <v>4</v>
      </c>
      <c r="H28" s="2">
        <v>44930</v>
      </c>
    </row>
    <row r="29" spans="1:8">
      <c r="A29">
        <v>66</v>
      </c>
      <c r="B29" t="s">
        <v>12</v>
      </c>
      <c r="C29" t="s">
        <v>15</v>
      </c>
      <c r="D29" t="s">
        <v>14</v>
      </c>
      <c r="E29" t="s">
        <v>22</v>
      </c>
      <c r="F29">
        <v>1617</v>
      </c>
      <c r="G29">
        <v>15</v>
      </c>
      <c r="H29" s="2">
        <v>45069</v>
      </c>
    </row>
    <row r="30" spans="1:8">
      <c r="A30">
        <v>51</v>
      </c>
      <c r="B30" t="s">
        <v>8</v>
      </c>
      <c r="C30" t="s">
        <v>9</v>
      </c>
      <c r="D30" t="s">
        <v>16</v>
      </c>
      <c r="E30" t="s">
        <v>11</v>
      </c>
      <c r="F30">
        <v>982</v>
      </c>
      <c r="G30">
        <v>19</v>
      </c>
      <c r="H30" s="2">
        <v>45487</v>
      </c>
    </row>
    <row r="31" spans="1:8">
      <c r="A31">
        <v>66</v>
      </c>
      <c r="B31" t="s">
        <v>12</v>
      </c>
      <c r="C31" t="s">
        <v>9</v>
      </c>
      <c r="D31" t="s">
        <v>20</v>
      </c>
      <c r="E31" t="s">
        <v>22</v>
      </c>
      <c r="F31">
        <v>535</v>
      </c>
      <c r="G31">
        <v>9</v>
      </c>
      <c r="H31" s="2">
        <v>45035</v>
      </c>
    </row>
    <row r="32" spans="1:8">
      <c r="A32">
        <v>55</v>
      </c>
      <c r="B32" t="s">
        <v>12</v>
      </c>
      <c r="C32" t="s">
        <v>15</v>
      </c>
      <c r="D32" t="s">
        <v>14</v>
      </c>
      <c r="E32" t="s">
        <v>11</v>
      </c>
      <c r="F32">
        <v>1492</v>
      </c>
      <c r="G32">
        <v>11</v>
      </c>
      <c r="H32" s="2">
        <v>45317</v>
      </c>
    </row>
    <row r="33" spans="1:8">
      <c r="A33">
        <v>59</v>
      </c>
      <c r="B33" t="s">
        <v>8</v>
      </c>
      <c r="C33" t="s">
        <v>9</v>
      </c>
      <c r="D33" t="s">
        <v>16</v>
      </c>
      <c r="E33" t="s">
        <v>22</v>
      </c>
      <c r="F33">
        <v>808</v>
      </c>
      <c r="G33">
        <v>8</v>
      </c>
      <c r="H33" s="2">
        <v>45172</v>
      </c>
    </row>
    <row r="34" spans="1:8">
      <c r="A34">
        <v>68</v>
      </c>
      <c r="B34" t="s">
        <v>12</v>
      </c>
      <c r="C34" t="s">
        <v>9</v>
      </c>
      <c r="D34" t="s">
        <v>17</v>
      </c>
      <c r="E34" t="s">
        <v>11</v>
      </c>
      <c r="F34">
        <v>1340</v>
      </c>
      <c r="G34">
        <v>1</v>
      </c>
      <c r="H34" s="2">
        <v>45060</v>
      </c>
    </row>
    <row r="35" spans="1:8">
      <c r="A35">
        <v>7</v>
      </c>
      <c r="B35" t="s">
        <v>8</v>
      </c>
      <c r="C35" t="s">
        <v>25</v>
      </c>
      <c r="D35" t="s">
        <v>10</v>
      </c>
      <c r="E35" t="s">
        <v>11</v>
      </c>
      <c r="F35">
        <v>1041</v>
      </c>
      <c r="G35">
        <v>8</v>
      </c>
      <c r="H35" s="2">
        <v>45604</v>
      </c>
    </row>
    <row r="36" spans="1:8">
      <c r="A36">
        <v>55</v>
      </c>
      <c r="B36" t="s">
        <v>8</v>
      </c>
      <c r="C36" t="s">
        <v>26</v>
      </c>
      <c r="D36" t="s">
        <v>14</v>
      </c>
      <c r="E36" t="s">
        <v>11</v>
      </c>
      <c r="F36">
        <v>1690</v>
      </c>
      <c r="G36">
        <v>13</v>
      </c>
      <c r="H36" s="2">
        <v>45346</v>
      </c>
    </row>
    <row r="37" spans="1:8">
      <c r="A37">
        <v>11</v>
      </c>
      <c r="B37" t="s">
        <v>12</v>
      </c>
      <c r="C37" t="s">
        <v>19</v>
      </c>
      <c r="D37" t="s">
        <v>10</v>
      </c>
      <c r="E37" t="s">
        <v>18</v>
      </c>
      <c r="F37">
        <v>1136</v>
      </c>
      <c r="G37">
        <v>4</v>
      </c>
      <c r="H37" s="2">
        <v>45531</v>
      </c>
    </row>
    <row r="38" spans="1:8">
      <c r="A38">
        <v>25</v>
      </c>
      <c r="B38" t="s">
        <v>8</v>
      </c>
      <c r="C38" t="s">
        <v>15</v>
      </c>
      <c r="D38" t="s">
        <v>14</v>
      </c>
      <c r="E38" t="s">
        <v>11</v>
      </c>
      <c r="F38">
        <v>1576</v>
      </c>
      <c r="G38">
        <v>8</v>
      </c>
      <c r="H38" s="2">
        <v>45597</v>
      </c>
    </row>
    <row r="39" spans="1:8">
      <c r="A39">
        <v>77</v>
      </c>
      <c r="B39" t="s">
        <v>8</v>
      </c>
      <c r="C39" t="s">
        <v>15</v>
      </c>
      <c r="D39" t="s">
        <v>17</v>
      </c>
      <c r="E39" t="s">
        <v>18</v>
      </c>
      <c r="F39">
        <v>1240</v>
      </c>
      <c r="G39">
        <v>3</v>
      </c>
      <c r="H39" s="2">
        <v>45332</v>
      </c>
    </row>
    <row r="40" spans="1:8">
      <c r="A40">
        <v>43</v>
      </c>
      <c r="B40" t="s">
        <v>12</v>
      </c>
      <c r="C40" t="s">
        <v>21</v>
      </c>
      <c r="D40" t="s">
        <v>10</v>
      </c>
      <c r="E40" t="s">
        <v>11</v>
      </c>
      <c r="F40">
        <v>1088</v>
      </c>
      <c r="G40">
        <v>9</v>
      </c>
      <c r="H40" s="2">
        <v>45003</v>
      </c>
    </row>
    <row r="41" spans="1:8">
      <c r="A41">
        <v>22</v>
      </c>
      <c r="B41" t="s">
        <v>8</v>
      </c>
      <c r="C41" t="s">
        <v>21</v>
      </c>
      <c r="D41" t="s">
        <v>24</v>
      </c>
      <c r="E41" t="s">
        <v>11</v>
      </c>
      <c r="F41">
        <v>948</v>
      </c>
      <c r="G41">
        <v>2</v>
      </c>
      <c r="H41" s="2">
        <v>45215</v>
      </c>
    </row>
    <row r="42" spans="1:8">
      <c r="A42">
        <v>8</v>
      </c>
      <c r="B42" t="s">
        <v>8</v>
      </c>
      <c r="C42" t="s">
        <v>15</v>
      </c>
      <c r="D42" t="s">
        <v>20</v>
      </c>
      <c r="E42" t="s">
        <v>11</v>
      </c>
      <c r="F42">
        <v>589</v>
      </c>
      <c r="G42">
        <v>2</v>
      </c>
      <c r="H42" s="2">
        <v>44934</v>
      </c>
    </row>
    <row r="43" spans="1:8">
      <c r="A43">
        <v>64</v>
      </c>
      <c r="B43" t="s">
        <v>8</v>
      </c>
      <c r="C43" t="s">
        <v>23</v>
      </c>
      <c r="D43" t="s">
        <v>24</v>
      </c>
      <c r="E43" t="s">
        <v>11</v>
      </c>
      <c r="F43">
        <v>1035</v>
      </c>
      <c r="G43">
        <v>13</v>
      </c>
      <c r="H43" s="2">
        <v>45597</v>
      </c>
    </row>
    <row r="44" spans="1:8">
      <c r="A44">
        <v>18</v>
      </c>
      <c r="B44" t="s">
        <v>8</v>
      </c>
      <c r="C44" t="s">
        <v>15</v>
      </c>
      <c r="D44" t="s">
        <v>16</v>
      </c>
      <c r="E44" t="s">
        <v>11</v>
      </c>
      <c r="F44">
        <v>742</v>
      </c>
      <c r="G44">
        <v>15</v>
      </c>
      <c r="H44" s="2">
        <v>45334</v>
      </c>
    </row>
    <row r="45" spans="1:8">
      <c r="A45">
        <v>13</v>
      </c>
      <c r="B45" t="s">
        <v>12</v>
      </c>
      <c r="C45" t="s">
        <v>15</v>
      </c>
      <c r="D45" t="s">
        <v>17</v>
      </c>
      <c r="E45" t="s">
        <v>22</v>
      </c>
      <c r="F45">
        <v>1189</v>
      </c>
      <c r="G45">
        <v>12</v>
      </c>
      <c r="H45" s="2">
        <v>45481</v>
      </c>
    </row>
    <row r="46" spans="1:8">
      <c r="A46">
        <v>57</v>
      </c>
      <c r="B46" t="s">
        <v>8</v>
      </c>
      <c r="C46" t="s">
        <v>15</v>
      </c>
      <c r="D46" t="s">
        <v>24</v>
      </c>
      <c r="E46" t="s">
        <v>22</v>
      </c>
      <c r="F46">
        <v>1194</v>
      </c>
      <c r="G46">
        <v>4</v>
      </c>
      <c r="H46" s="2">
        <v>45589</v>
      </c>
    </row>
    <row r="47" spans="1:8">
      <c r="A47">
        <v>6</v>
      </c>
      <c r="B47" t="s">
        <v>8</v>
      </c>
      <c r="C47" t="s">
        <v>15</v>
      </c>
      <c r="D47" t="s">
        <v>14</v>
      </c>
      <c r="E47" t="s">
        <v>22</v>
      </c>
      <c r="F47">
        <v>1644</v>
      </c>
      <c r="G47">
        <v>8</v>
      </c>
      <c r="H47" s="2">
        <v>45338</v>
      </c>
    </row>
    <row r="48" spans="1:8">
      <c r="A48">
        <v>64</v>
      </c>
      <c r="B48" t="s">
        <v>8</v>
      </c>
      <c r="C48" t="s">
        <v>26</v>
      </c>
      <c r="D48" t="s">
        <v>16</v>
      </c>
      <c r="E48" t="s">
        <v>18</v>
      </c>
      <c r="F48">
        <v>891</v>
      </c>
      <c r="G48">
        <v>9</v>
      </c>
      <c r="H48" s="2">
        <v>45461</v>
      </c>
    </row>
    <row r="49" spans="1:8">
      <c r="A49">
        <v>75</v>
      </c>
      <c r="B49" t="s">
        <v>8</v>
      </c>
      <c r="C49" t="s">
        <v>23</v>
      </c>
      <c r="D49" t="s">
        <v>16</v>
      </c>
      <c r="E49" t="s">
        <v>11</v>
      </c>
      <c r="F49">
        <v>805</v>
      </c>
      <c r="G49">
        <v>5</v>
      </c>
      <c r="H49" s="2">
        <v>44989</v>
      </c>
    </row>
    <row r="50" spans="1:8">
      <c r="A50">
        <v>48</v>
      </c>
      <c r="B50" t="s">
        <v>8</v>
      </c>
      <c r="C50" t="s">
        <v>9</v>
      </c>
      <c r="D50" t="s">
        <v>24</v>
      </c>
      <c r="E50" t="s">
        <v>11</v>
      </c>
      <c r="F50">
        <v>1132</v>
      </c>
      <c r="G50">
        <v>20</v>
      </c>
      <c r="H50" s="2">
        <v>45022</v>
      </c>
    </row>
    <row r="51" spans="1:8">
      <c r="A51">
        <v>12</v>
      </c>
      <c r="B51" t="s">
        <v>12</v>
      </c>
      <c r="C51" t="s">
        <v>23</v>
      </c>
      <c r="D51" t="s">
        <v>24</v>
      </c>
      <c r="E51" t="s">
        <v>11</v>
      </c>
      <c r="F51">
        <v>1164</v>
      </c>
      <c r="G51">
        <v>18</v>
      </c>
      <c r="H51" s="2">
        <v>45242</v>
      </c>
    </row>
    <row r="52" spans="1:8">
      <c r="A52">
        <v>51</v>
      </c>
      <c r="B52" t="s">
        <v>8</v>
      </c>
      <c r="C52" t="s">
        <v>21</v>
      </c>
      <c r="D52" t="s">
        <v>17</v>
      </c>
      <c r="E52" t="s">
        <v>18</v>
      </c>
      <c r="F52">
        <v>1136</v>
      </c>
      <c r="G52">
        <v>11</v>
      </c>
      <c r="H52" s="2">
        <v>45165</v>
      </c>
    </row>
    <row r="53" spans="1:8">
      <c r="A53">
        <v>39</v>
      </c>
      <c r="B53" t="s">
        <v>8</v>
      </c>
      <c r="C53" t="s">
        <v>26</v>
      </c>
      <c r="D53" t="s">
        <v>20</v>
      </c>
      <c r="E53" t="s">
        <v>11</v>
      </c>
      <c r="F53">
        <v>440</v>
      </c>
      <c r="G53">
        <v>15</v>
      </c>
      <c r="H53" s="2">
        <v>44994</v>
      </c>
    </row>
    <row r="54" spans="1:8">
      <c r="A54">
        <v>40</v>
      </c>
      <c r="B54" t="s">
        <v>8</v>
      </c>
      <c r="C54" t="s">
        <v>15</v>
      </c>
      <c r="D54" t="s">
        <v>24</v>
      </c>
      <c r="E54" t="s">
        <v>11</v>
      </c>
      <c r="F54">
        <v>916</v>
      </c>
      <c r="G54">
        <v>9</v>
      </c>
      <c r="H54" s="2">
        <v>45580</v>
      </c>
    </row>
    <row r="55" spans="1:8">
      <c r="A55">
        <v>54</v>
      </c>
      <c r="B55" t="s">
        <v>8</v>
      </c>
      <c r="C55" t="s">
        <v>9</v>
      </c>
      <c r="D55" t="s">
        <v>24</v>
      </c>
      <c r="E55" t="s">
        <v>11</v>
      </c>
      <c r="F55">
        <v>1176</v>
      </c>
      <c r="G55">
        <v>17</v>
      </c>
      <c r="H55" s="2">
        <v>45459</v>
      </c>
    </row>
    <row r="56" spans="1:8">
      <c r="A56">
        <v>8</v>
      </c>
      <c r="B56" t="s">
        <v>12</v>
      </c>
      <c r="C56" t="s">
        <v>15</v>
      </c>
      <c r="D56" t="s">
        <v>10</v>
      </c>
      <c r="E56" t="s">
        <v>11</v>
      </c>
      <c r="F56">
        <v>958</v>
      </c>
      <c r="G56">
        <v>12</v>
      </c>
      <c r="H56" s="2">
        <v>45315</v>
      </c>
    </row>
    <row r="57" spans="1:8">
      <c r="A57">
        <v>6</v>
      </c>
      <c r="B57" t="s">
        <v>12</v>
      </c>
      <c r="C57" t="s">
        <v>15</v>
      </c>
      <c r="D57" t="s">
        <v>14</v>
      </c>
      <c r="E57" t="s">
        <v>22</v>
      </c>
      <c r="F57">
        <v>1582</v>
      </c>
      <c r="G57">
        <v>7</v>
      </c>
      <c r="H57" s="2">
        <v>45485</v>
      </c>
    </row>
    <row r="58" spans="1:8">
      <c r="A58">
        <v>10</v>
      </c>
      <c r="B58" t="s">
        <v>12</v>
      </c>
      <c r="C58" t="s">
        <v>15</v>
      </c>
      <c r="D58" t="s">
        <v>10</v>
      </c>
      <c r="E58" t="s">
        <v>18</v>
      </c>
      <c r="F58">
        <v>940</v>
      </c>
      <c r="G58">
        <v>10</v>
      </c>
      <c r="H58" s="2">
        <v>45528</v>
      </c>
    </row>
    <row r="59" spans="1:8">
      <c r="A59">
        <v>58</v>
      </c>
      <c r="B59" t="s">
        <v>12</v>
      </c>
      <c r="C59" t="s">
        <v>19</v>
      </c>
      <c r="D59" t="s">
        <v>10</v>
      </c>
      <c r="E59" t="s">
        <v>11</v>
      </c>
      <c r="F59">
        <v>938</v>
      </c>
      <c r="G59">
        <v>10</v>
      </c>
      <c r="H59" s="2">
        <v>45619</v>
      </c>
    </row>
    <row r="60" spans="1:8">
      <c r="A60">
        <v>8</v>
      </c>
      <c r="B60" t="s">
        <v>8</v>
      </c>
      <c r="C60" t="s">
        <v>9</v>
      </c>
      <c r="D60" t="s">
        <v>16</v>
      </c>
      <c r="E60" t="s">
        <v>22</v>
      </c>
      <c r="F60">
        <v>891</v>
      </c>
      <c r="G60">
        <v>13</v>
      </c>
      <c r="H60" s="2">
        <v>45152</v>
      </c>
    </row>
    <row r="61" spans="1:8">
      <c r="A61">
        <v>58</v>
      </c>
      <c r="B61" t="s">
        <v>8</v>
      </c>
      <c r="C61" t="s">
        <v>15</v>
      </c>
      <c r="D61" t="s">
        <v>20</v>
      </c>
      <c r="E61" t="s">
        <v>11</v>
      </c>
      <c r="F61">
        <v>666</v>
      </c>
      <c r="G61">
        <v>19</v>
      </c>
      <c r="H61" s="2">
        <v>45364</v>
      </c>
    </row>
    <row r="62" spans="1:8">
      <c r="A62">
        <v>67</v>
      </c>
      <c r="B62" t="s">
        <v>8</v>
      </c>
      <c r="C62" t="s">
        <v>15</v>
      </c>
      <c r="D62" t="s">
        <v>14</v>
      </c>
      <c r="E62" t="s">
        <v>11</v>
      </c>
      <c r="F62">
        <v>1546</v>
      </c>
      <c r="G62">
        <v>11</v>
      </c>
      <c r="H62" s="2">
        <v>45590</v>
      </c>
    </row>
    <row r="63" spans="1:8">
      <c r="A63">
        <v>22</v>
      </c>
      <c r="B63" t="s">
        <v>12</v>
      </c>
      <c r="C63" t="s">
        <v>9</v>
      </c>
      <c r="D63" t="s">
        <v>17</v>
      </c>
      <c r="E63" t="s">
        <v>11</v>
      </c>
      <c r="F63">
        <v>1226</v>
      </c>
      <c r="G63">
        <v>13</v>
      </c>
      <c r="H63" s="2">
        <v>45293</v>
      </c>
    </row>
    <row r="64" spans="1:8">
      <c r="A64">
        <v>48</v>
      </c>
      <c r="B64" t="s">
        <v>8</v>
      </c>
      <c r="C64" t="s">
        <v>15</v>
      </c>
      <c r="D64" t="s">
        <v>17</v>
      </c>
      <c r="E64" t="s">
        <v>11</v>
      </c>
      <c r="F64">
        <v>1145</v>
      </c>
      <c r="G64">
        <v>8</v>
      </c>
      <c r="H64" s="2">
        <v>45538</v>
      </c>
    </row>
    <row r="65" spans="1:8">
      <c r="A65">
        <v>38</v>
      </c>
      <c r="B65" t="s">
        <v>12</v>
      </c>
      <c r="C65" t="s">
        <v>9</v>
      </c>
      <c r="D65" t="s">
        <v>24</v>
      </c>
      <c r="E65" t="s">
        <v>11</v>
      </c>
      <c r="F65">
        <v>944</v>
      </c>
      <c r="G65">
        <v>8</v>
      </c>
      <c r="H65" s="2">
        <v>45103</v>
      </c>
    </row>
    <row r="66" spans="1:8">
      <c r="A66">
        <v>78</v>
      </c>
      <c r="B66" t="s">
        <v>12</v>
      </c>
      <c r="C66" t="s">
        <v>15</v>
      </c>
      <c r="D66" t="s">
        <v>24</v>
      </c>
      <c r="E66" t="s">
        <v>22</v>
      </c>
      <c r="F66">
        <v>900</v>
      </c>
      <c r="G66">
        <v>4</v>
      </c>
      <c r="H66" s="2">
        <v>45254</v>
      </c>
    </row>
    <row r="67" spans="1:8">
      <c r="A67">
        <v>66</v>
      </c>
      <c r="B67" t="s">
        <v>8</v>
      </c>
      <c r="C67" t="s">
        <v>15</v>
      </c>
      <c r="D67" t="s">
        <v>17</v>
      </c>
      <c r="E67" t="s">
        <v>11</v>
      </c>
      <c r="F67">
        <v>1267</v>
      </c>
      <c r="G67">
        <v>15</v>
      </c>
      <c r="H67" s="2">
        <v>45557</v>
      </c>
    </row>
    <row r="68" spans="1:8">
      <c r="A68">
        <v>18</v>
      </c>
      <c r="B68" t="s">
        <v>8</v>
      </c>
      <c r="C68" t="s">
        <v>9</v>
      </c>
      <c r="D68" t="s">
        <v>24</v>
      </c>
      <c r="E68" t="s">
        <v>22</v>
      </c>
      <c r="F68">
        <v>1007</v>
      </c>
      <c r="G68">
        <v>11</v>
      </c>
      <c r="H68" s="2">
        <v>45117</v>
      </c>
    </row>
    <row r="69" spans="1:8">
      <c r="A69">
        <v>52</v>
      </c>
      <c r="B69" t="s">
        <v>12</v>
      </c>
      <c r="C69" t="s">
        <v>19</v>
      </c>
      <c r="D69" t="s">
        <v>20</v>
      </c>
      <c r="E69" t="s">
        <v>11</v>
      </c>
      <c r="F69">
        <v>418</v>
      </c>
      <c r="G69">
        <v>11</v>
      </c>
      <c r="H69" s="2">
        <v>44935</v>
      </c>
    </row>
    <row r="70" spans="1:8">
      <c r="A70">
        <v>19</v>
      </c>
      <c r="B70" t="s">
        <v>12</v>
      </c>
      <c r="C70" t="s">
        <v>15</v>
      </c>
      <c r="D70" t="s">
        <v>10</v>
      </c>
      <c r="E70" t="s">
        <v>11</v>
      </c>
      <c r="F70">
        <v>971</v>
      </c>
      <c r="G70">
        <v>1</v>
      </c>
      <c r="H70" s="2">
        <v>45652</v>
      </c>
    </row>
    <row r="71" spans="1:8">
      <c r="A71">
        <v>76</v>
      </c>
      <c r="B71" t="s">
        <v>12</v>
      </c>
      <c r="C71" t="s">
        <v>15</v>
      </c>
      <c r="D71" t="s">
        <v>24</v>
      </c>
      <c r="E71" t="s">
        <v>11</v>
      </c>
      <c r="F71">
        <v>1008</v>
      </c>
      <c r="G71">
        <v>17</v>
      </c>
      <c r="H71" s="2">
        <v>45646</v>
      </c>
    </row>
    <row r="72" spans="1:8">
      <c r="A72">
        <v>66</v>
      </c>
      <c r="B72" t="s">
        <v>12</v>
      </c>
      <c r="C72" t="s">
        <v>15</v>
      </c>
      <c r="D72" t="s">
        <v>16</v>
      </c>
      <c r="E72" t="s">
        <v>11</v>
      </c>
      <c r="F72">
        <v>967</v>
      </c>
      <c r="G72">
        <v>15</v>
      </c>
      <c r="H72" s="2">
        <v>45299</v>
      </c>
    </row>
    <row r="73" spans="1:8">
      <c r="A73">
        <v>44</v>
      </c>
      <c r="B73" t="s">
        <v>8</v>
      </c>
      <c r="C73" t="s">
        <v>21</v>
      </c>
      <c r="D73" t="s">
        <v>24</v>
      </c>
      <c r="E73" t="s">
        <v>11</v>
      </c>
      <c r="F73">
        <v>1139</v>
      </c>
      <c r="G73">
        <v>20</v>
      </c>
      <c r="H73" s="2">
        <v>45453</v>
      </c>
    </row>
    <row r="74" spans="1:8">
      <c r="A74">
        <v>57</v>
      </c>
      <c r="B74" t="s">
        <v>12</v>
      </c>
      <c r="C74" t="s">
        <v>9</v>
      </c>
      <c r="D74" t="s">
        <v>14</v>
      </c>
      <c r="E74" t="s">
        <v>22</v>
      </c>
      <c r="F74">
        <v>1489</v>
      </c>
      <c r="G74">
        <v>6</v>
      </c>
      <c r="H74" s="2">
        <v>45431</v>
      </c>
    </row>
    <row r="75" spans="1:8">
      <c r="A75">
        <v>28</v>
      </c>
      <c r="B75" t="s">
        <v>8</v>
      </c>
      <c r="C75" t="s">
        <v>19</v>
      </c>
      <c r="D75" t="s">
        <v>20</v>
      </c>
      <c r="E75" t="s">
        <v>11</v>
      </c>
      <c r="F75">
        <v>502</v>
      </c>
      <c r="G75">
        <v>15</v>
      </c>
      <c r="H75" s="2">
        <v>45172</v>
      </c>
    </row>
    <row r="76" spans="1:8">
      <c r="A76">
        <v>30</v>
      </c>
      <c r="B76" t="s">
        <v>12</v>
      </c>
      <c r="C76" t="s">
        <v>21</v>
      </c>
      <c r="D76" t="s">
        <v>14</v>
      </c>
      <c r="E76" t="s">
        <v>11</v>
      </c>
      <c r="F76">
        <v>1649</v>
      </c>
      <c r="G76">
        <v>9</v>
      </c>
      <c r="H76" s="2">
        <v>45346</v>
      </c>
    </row>
    <row r="77" spans="1:8">
      <c r="A77">
        <v>64</v>
      </c>
      <c r="B77" t="s">
        <v>12</v>
      </c>
      <c r="C77" t="s">
        <v>15</v>
      </c>
      <c r="D77" t="s">
        <v>14</v>
      </c>
      <c r="E77" t="s">
        <v>11</v>
      </c>
      <c r="F77">
        <v>1407</v>
      </c>
      <c r="G77">
        <v>14</v>
      </c>
      <c r="H77" s="2">
        <v>45509</v>
      </c>
    </row>
    <row r="78" spans="1:8">
      <c r="A78">
        <v>45</v>
      </c>
      <c r="B78" t="s">
        <v>12</v>
      </c>
      <c r="C78" t="s">
        <v>13</v>
      </c>
      <c r="D78" t="s">
        <v>16</v>
      </c>
      <c r="E78" t="s">
        <v>11</v>
      </c>
      <c r="F78">
        <v>852</v>
      </c>
      <c r="G78">
        <v>18</v>
      </c>
      <c r="H78" s="2">
        <v>45599</v>
      </c>
    </row>
    <row r="79" spans="1:8">
      <c r="A79">
        <v>33</v>
      </c>
      <c r="B79" t="s">
        <v>12</v>
      </c>
      <c r="C79" t="s">
        <v>19</v>
      </c>
      <c r="D79" t="s">
        <v>20</v>
      </c>
      <c r="E79" t="s">
        <v>11</v>
      </c>
      <c r="F79">
        <v>573</v>
      </c>
      <c r="G79">
        <v>17</v>
      </c>
      <c r="H79" s="2">
        <v>45072</v>
      </c>
    </row>
    <row r="80" spans="1:8">
      <c r="A80">
        <v>19</v>
      </c>
      <c r="B80" t="s">
        <v>12</v>
      </c>
      <c r="C80" t="s">
        <v>15</v>
      </c>
      <c r="D80" t="s">
        <v>20</v>
      </c>
      <c r="E80" t="s">
        <v>11</v>
      </c>
      <c r="F80">
        <v>557</v>
      </c>
      <c r="G80">
        <v>18</v>
      </c>
      <c r="H80" s="2">
        <v>45349</v>
      </c>
    </row>
    <row r="81" spans="1:8">
      <c r="A81">
        <v>49</v>
      </c>
      <c r="B81" t="s">
        <v>12</v>
      </c>
      <c r="C81" t="s">
        <v>9</v>
      </c>
      <c r="D81" t="s">
        <v>20</v>
      </c>
      <c r="E81" t="s">
        <v>11</v>
      </c>
      <c r="F81">
        <v>614</v>
      </c>
      <c r="G81">
        <v>5</v>
      </c>
      <c r="H81" s="2">
        <v>45581</v>
      </c>
    </row>
    <row r="82" spans="1:8">
      <c r="A82">
        <v>69</v>
      </c>
      <c r="B82" t="s">
        <v>8</v>
      </c>
      <c r="C82" t="s">
        <v>25</v>
      </c>
      <c r="D82" t="s">
        <v>20</v>
      </c>
      <c r="E82" t="s">
        <v>11</v>
      </c>
      <c r="F82">
        <v>576</v>
      </c>
      <c r="G82">
        <v>20</v>
      </c>
      <c r="H82" s="2">
        <v>45613</v>
      </c>
    </row>
    <row r="83" spans="1:8">
      <c r="A83">
        <v>75</v>
      </c>
      <c r="B83" t="s">
        <v>12</v>
      </c>
      <c r="C83" t="s">
        <v>9</v>
      </c>
      <c r="D83" t="s">
        <v>20</v>
      </c>
      <c r="E83" t="s">
        <v>11</v>
      </c>
      <c r="F83">
        <v>574</v>
      </c>
      <c r="G83">
        <v>20</v>
      </c>
      <c r="H83" s="2">
        <v>45245</v>
      </c>
    </row>
    <row r="84" spans="1:8">
      <c r="A84">
        <v>13</v>
      </c>
      <c r="B84" t="s">
        <v>8</v>
      </c>
      <c r="C84" t="s">
        <v>26</v>
      </c>
      <c r="D84" t="s">
        <v>16</v>
      </c>
      <c r="E84" t="s">
        <v>11</v>
      </c>
      <c r="F84">
        <v>845</v>
      </c>
      <c r="G84">
        <v>9</v>
      </c>
      <c r="H84" s="2">
        <v>45629</v>
      </c>
    </row>
    <row r="85" spans="1:8">
      <c r="A85">
        <v>5</v>
      </c>
      <c r="B85" t="s">
        <v>12</v>
      </c>
      <c r="C85" t="s">
        <v>9</v>
      </c>
      <c r="D85" t="s">
        <v>24</v>
      </c>
      <c r="E85" t="s">
        <v>11</v>
      </c>
      <c r="F85">
        <v>1060</v>
      </c>
      <c r="G85">
        <v>11</v>
      </c>
      <c r="H85" s="2">
        <v>45455</v>
      </c>
    </row>
    <row r="86" spans="1:8">
      <c r="A86">
        <v>12</v>
      </c>
      <c r="B86" t="s">
        <v>8</v>
      </c>
      <c r="C86" t="s">
        <v>23</v>
      </c>
      <c r="D86" t="s">
        <v>14</v>
      </c>
      <c r="E86" t="s">
        <v>11</v>
      </c>
      <c r="F86">
        <v>1526</v>
      </c>
      <c r="G86">
        <v>1</v>
      </c>
      <c r="H86" s="2">
        <v>45574</v>
      </c>
    </row>
    <row r="87" spans="1:8">
      <c r="A87">
        <v>67</v>
      </c>
      <c r="B87" t="s">
        <v>8</v>
      </c>
      <c r="C87" t="s">
        <v>9</v>
      </c>
      <c r="D87" t="s">
        <v>20</v>
      </c>
      <c r="E87" t="s">
        <v>22</v>
      </c>
      <c r="F87">
        <v>481</v>
      </c>
      <c r="G87">
        <v>18</v>
      </c>
      <c r="H87" s="2">
        <v>45159</v>
      </c>
    </row>
    <row r="88" spans="1:8">
      <c r="A88">
        <v>15</v>
      </c>
      <c r="B88" t="s">
        <v>8</v>
      </c>
      <c r="C88" t="s">
        <v>25</v>
      </c>
      <c r="D88" t="s">
        <v>24</v>
      </c>
      <c r="E88" t="s">
        <v>11</v>
      </c>
      <c r="F88">
        <v>1046</v>
      </c>
      <c r="G88">
        <v>6</v>
      </c>
      <c r="H88" s="2">
        <v>45394</v>
      </c>
    </row>
    <row r="89" spans="1:8">
      <c r="A89">
        <v>12</v>
      </c>
      <c r="B89" t="s">
        <v>8</v>
      </c>
      <c r="C89" t="s">
        <v>19</v>
      </c>
      <c r="D89" t="s">
        <v>24</v>
      </c>
      <c r="E89" t="s">
        <v>11</v>
      </c>
      <c r="F89">
        <v>1138</v>
      </c>
      <c r="G89">
        <v>2</v>
      </c>
      <c r="H89" s="2">
        <v>45348</v>
      </c>
    </row>
    <row r="90" spans="1:8">
      <c r="A90">
        <v>39</v>
      </c>
      <c r="B90" t="s">
        <v>12</v>
      </c>
      <c r="C90" t="s">
        <v>15</v>
      </c>
      <c r="D90" t="s">
        <v>14</v>
      </c>
      <c r="E90" t="s">
        <v>11</v>
      </c>
      <c r="F90">
        <v>1483</v>
      </c>
      <c r="G90">
        <v>15</v>
      </c>
      <c r="H90" s="2">
        <v>45641</v>
      </c>
    </row>
    <row r="91" spans="1:8">
      <c r="A91">
        <v>39</v>
      </c>
      <c r="B91" t="s">
        <v>8</v>
      </c>
      <c r="C91" t="s">
        <v>15</v>
      </c>
      <c r="D91" t="s">
        <v>16</v>
      </c>
      <c r="E91" t="s">
        <v>22</v>
      </c>
      <c r="F91">
        <v>812</v>
      </c>
      <c r="G91">
        <v>14</v>
      </c>
      <c r="H91" s="2">
        <v>45232</v>
      </c>
    </row>
    <row r="92" spans="1:8">
      <c r="A92">
        <v>37</v>
      </c>
      <c r="B92" t="s">
        <v>12</v>
      </c>
      <c r="C92" t="s">
        <v>15</v>
      </c>
      <c r="D92" t="s">
        <v>17</v>
      </c>
      <c r="E92" t="s">
        <v>11</v>
      </c>
      <c r="F92">
        <v>1324</v>
      </c>
      <c r="G92">
        <v>5</v>
      </c>
      <c r="H92" s="2">
        <v>45435</v>
      </c>
    </row>
    <row r="93" spans="1:8">
      <c r="A93">
        <v>9</v>
      </c>
      <c r="B93" t="s">
        <v>8</v>
      </c>
      <c r="C93" t="s">
        <v>15</v>
      </c>
      <c r="D93" t="s">
        <v>17</v>
      </c>
      <c r="E93" t="s">
        <v>11</v>
      </c>
      <c r="F93">
        <v>1342</v>
      </c>
      <c r="G93">
        <v>6</v>
      </c>
      <c r="H93" s="2">
        <v>45644</v>
      </c>
    </row>
    <row r="94" spans="1:8">
      <c r="A94">
        <v>45</v>
      </c>
      <c r="B94" t="s">
        <v>12</v>
      </c>
      <c r="C94" t="s">
        <v>15</v>
      </c>
      <c r="D94" t="s">
        <v>24</v>
      </c>
      <c r="E94" t="s">
        <v>18</v>
      </c>
      <c r="F94">
        <v>1042</v>
      </c>
      <c r="G94">
        <v>6</v>
      </c>
      <c r="H94" s="2">
        <v>45342</v>
      </c>
    </row>
    <row r="95" spans="1:8">
      <c r="A95">
        <v>32</v>
      </c>
      <c r="B95" t="s">
        <v>12</v>
      </c>
      <c r="C95" t="s">
        <v>23</v>
      </c>
      <c r="D95" t="s">
        <v>10</v>
      </c>
      <c r="E95" t="s">
        <v>11</v>
      </c>
      <c r="F95">
        <v>940</v>
      </c>
      <c r="G95">
        <v>18</v>
      </c>
      <c r="H95" s="2">
        <v>44969</v>
      </c>
    </row>
    <row r="96" spans="1:8">
      <c r="A96">
        <v>11</v>
      </c>
      <c r="B96" t="s">
        <v>8</v>
      </c>
      <c r="C96" t="s">
        <v>9</v>
      </c>
      <c r="D96" t="s">
        <v>10</v>
      </c>
      <c r="E96" t="s">
        <v>11</v>
      </c>
      <c r="F96">
        <v>1157</v>
      </c>
      <c r="G96">
        <v>14</v>
      </c>
      <c r="H96" s="2">
        <v>45100</v>
      </c>
    </row>
    <row r="97" spans="1:8">
      <c r="A97">
        <v>77</v>
      </c>
      <c r="B97" t="s">
        <v>8</v>
      </c>
      <c r="C97" t="s">
        <v>23</v>
      </c>
      <c r="D97" t="s">
        <v>14</v>
      </c>
      <c r="E97" t="s">
        <v>11</v>
      </c>
      <c r="F97">
        <v>1684</v>
      </c>
      <c r="G97">
        <v>10</v>
      </c>
      <c r="H97" s="2">
        <v>45600</v>
      </c>
    </row>
    <row r="98" spans="1:8">
      <c r="A98">
        <v>76</v>
      </c>
      <c r="B98" t="s">
        <v>8</v>
      </c>
      <c r="C98" t="s">
        <v>21</v>
      </c>
      <c r="D98" t="s">
        <v>17</v>
      </c>
      <c r="E98" t="s">
        <v>11</v>
      </c>
      <c r="F98">
        <v>1204</v>
      </c>
      <c r="G98">
        <v>14</v>
      </c>
      <c r="H98" s="2">
        <v>45222</v>
      </c>
    </row>
    <row r="99" spans="1:8">
      <c r="A99">
        <v>16</v>
      </c>
      <c r="B99" t="s">
        <v>8</v>
      </c>
      <c r="C99" t="s">
        <v>19</v>
      </c>
      <c r="D99" t="s">
        <v>24</v>
      </c>
      <c r="E99" t="s">
        <v>22</v>
      </c>
      <c r="F99">
        <v>1101</v>
      </c>
      <c r="G99">
        <v>13</v>
      </c>
      <c r="H99" s="2">
        <v>45185</v>
      </c>
    </row>
    <row r="100" spans="1:8">
      <c r="A100">
        <v>38</v>
      </c>
      <c r="B100" t="s">
        <v>8</v>
      </c>
      <c r="C100" t="s">
        <v>23</v>
      </c>
      <c r="D100" t="s">
        <v>16</v>
      </c>
      <c r="E100" t="s">
        <v>18</v>
      </c>
      <c r="F100">
        <v>965</v>
      </c>
      <c r="G100">
        <v>3</v>
      </c>
      <c r="H100" s="2">
        <v>45039</v>
      </c>
    </row>
    <row r="101" spans="1:8">
      <c r="A101">
        <v>37</v>
      </c>
      <c r="B101" t="s">
        <v>12</v>
      </c>
      <c r="C101" t="s">
        <v>23</v>
      </c>
      <c r="D101" t="s">
        <v>17</v>
      </c>
      <c r="E101" t="s">
        <v>11</v>
      </c>
      <c r="F101">
        <v>1309</v>
      </c>
      <c r="G101">
        <v>6</v>
      </c>
      <c r="H101" s="2">
        <v>45459</v>
      </c>
    </row>
    <row r="102" spans="1:8">
      <c r="A102">
        <v>52</v>
      </c>
      <c r="B102" t="s">
        <v>12</v>
      </c>
      <c r="C102" t="s">
        <v>9</v>
      </c>
      <c r="D102" t="s">
        <v>24</v>
      </c>
      <c r="E102" t="s">
        <v>11</v>
      </c>
      <c r="F102">
        <v>950</v>
      </c>
      <c r="G102">
        <v>8</v>
      </c>
      <c r="H102" s="2">
        <v>45474</v>
      </c>
    </row>
    <row r="103" spans="1:8">
      <c r="A103">
        <v>27</v>
      </c>
      <c r="B103" t="s">
        <v>12</v>
      </c>
      <c r="C103" t="s">
        <v>15</v>
      </c>
      <c r="D103" t="s">
        <v>24</v>
      </c>
      <c r="E103" t="s">
        <v>11</v>
      </c>
      <c r="F103">
        <v>1017</v>
      </c>
      <c r="G103">
        <v>12</v>
      </c>
      <c r="H103" s="2">
        <v>45252</v>
      </c>
    </row>
    <row r="104" spans="1:8">
      <c r="A104">
        <v>66</v>
      </c>
      <c r="B104" t="s">
        <v>12</v>
      </c>
      <c r="C104" t="s">
        <v>15</v>
      </c>
      <c r="D104" t="s">
        <v>20</v>
      </c>
      <c r="E104" t="s">
        <v>11</v>
      </c>
      <c r="F104">
        <v>600</v>
      </c>
      <c r="G104">
        <v>13</v>
      </c>
      <c r="H104" s="2">
        <v>45102</v>
      </c>
    </row>
    <row r="105" spans="1:8">
      <c r="A105">
        <v>41</v>
      </c>
      <c r="B105" t="s">
        <v>8</v>
      </c>
      <c r="C105" t="s">
        <v>15</v>
      </c>
      <c r="D105" t="s">
        <v>16</v>
      </c>
      <c r="E105" t="s">
        <v>18</v>
      </c>
      <c r="F105">
        <v>738</v>
      </c>
      <c r="G105">
        <v>11</v>
      </c>
      <c r="H105" s="2">
        <v>45140</v>
      </c>
    </row>
    <row r="106" spans="1:8">
      <c r="A106">
        <v>48</v>
      </c>
      <c r="B106" t="s">
        <v>12</v>
      </c>
      <c r="C106" t="s">
        <v>15</v>
      </c>
      <c r="D106" t="s">
        <v>20</v>
      </c>
      <c r="E106" t="s">
        <v>11</v>
      </c>
      <c r="F106">
        <v>427</v>
      </c>
      <c r="G106">
        <v>12</v>
      </c>
      <c r="H106" s="2">
        <v>45385</v>
      </c>
    </row>
    <row r="107" spans="1:8">
      <c r="A107">
        <v>39</v>
      </c>
      <c r="B107" t="s">
        <v>8</v>
      </c>
      <c r="C107" t="s">
        <v>15</v>
      </c>
      <c r="D107" t="s">
        <v>14</v>
      </c>
      <c r="E107" t="s">
        <v>11</v>
      </c>
      <c r="F107">
        <v>1658</v>
      </c>
      <c r="G107">
        <v>1</v>
      </c>
      <c r="H107" s="2">
        <v>45652</v>
      </c>
    </row>
    <row r="108" spans="1:8">
      <c r="A108">
        <v>69</v>
      </c>
      <c r="B108" t="s">
        <v>12</v>
      </c>
      <c r="C108" t="s">
        <v>13</v>
      </c>
      <c r="D108" t="s">
        <v>20</v>
      </c>
      <c r="E108" t="s">
        <v>18</v>
      </c>
      <c r="F108">
        <v>483</v>
      </c>
      <c r="G108">
        <v>17</v>
      </c>
      <c r="H108" s="2">
        <v>44947</v>
      </c>
    </row>
    <row r="109" spans="1:8">
      <c r="A109">
        <v>51</v>
      </c>
      <c r="B109" t="s">
        <v>8</v>
      </c>
      <c r="C109" t="s">
        <v>23</v>
      </c>
      <c r="D109" t="s">
        <v>20</v>
      </c>
      <c r="E109" t="s">
        <v>11</v>
      </c>
      <c r="F109">
        <v>554</v>
      </c>
      <c r="G109">
        <v>16</v>
      </c>
      <c r="H109" s="2">
        <v>45132</v>
      </c>
    </row>
    <row r="110" spans="1:8">
      <c r="A110">
        <v>7</v>
      </c>
      <c r="B110" t="s">
        <v>8</v>
      </c>
      <c r="C110" t="s">
        <v>15</v>
      </c>
      <c r="D110" t="s">
        <v>17</v>
      </c>
      <c r="E110" t="s">
        <v>11</v>
      </c>
      <c r="F110">
        <v>1216</v>
      </c>
      <c r="G110">
        <v>11</v>
      </c>
      <c r="H110" s="2">
        <v>45005</v>
      </c>
    </row>
    <row r="111" spans="1:8">
      <c r="A111">
        <v>5</v>
      </c>
      <c r="B111" t="s">
        <v>12</v>
      </c>
      <c r="C111" t="s">
        <v>15</v>
      </c>
      <c r="D111" t="s">
        <v>10</v>
      </c>
      <c r="E111" t="s">
        <v>11</v>
      </c>
      <c r="F111">
        <v>901</v>
      </c>
      <c r="G111">
        <v>13</v>
      </c>
      <c r="H111" s="2">
        <v>45094</v>
      </c>
    </row>
    <row r="112" spans="1:8">
      <c r="A112">
        <v>9</v>
      </c>
      <c r="B112" t="s">
        <v>12</v>
      </c>
      <c r="C112" t="s">
        <v>15</v>
      </c>
      <c r="D112" t="s">
        <v>24</v>
      </c>
      <c r="E112" t="s">
        <v>22</v>
      </c>
      <c r="F112">
        <v>992</v>
      </c>
      <c r="G112">
        <v>18</v>
      </c>
      <c r="H112" s="2">
        <v>45342</v>
      </c>
    </row>
    <row r="113" spans="1:8">
      <c r="A113">
        <v>18</v>
      </c>
      <c r="B113" t="s">
        <v>12</v>
      </c>
      <c r="C113" t="s">
        <v>9</v>
      </c>
      <c r="D113" t="s">
        <v>16</v>
      </c>
      <c r="E113" t="s">
        <v>11</v>
      </c>
      <c r="F113">
        <v>865</v>
      </c>
      <c r="G113">
        <v>11</v>
      </c>
      <c r="H113" s="2">
        <v>45191</v>
      </c>
    </row>
    <row r="114" spans="1:8">
      <c r="A114">
        <v>31</v>
      </c>
      <c r="B114" t="s">
        <v>12</v>
      </c>
      <c r="C114" t="s">
        <v>9</v>
      </c>
      <c r="D114" t="s">
        <v>20</v>
      </c>
      <c r="E114" t="s">
        <v>11</v>
      </c>
      <c r="F114">
        <v>695</v>
      </c>
      <c r="G114">
        <v>12</v>
      </c>
      <c r="H114" s="2">
        <v>45312</v>
      </c>
    </row>
    <row r="115" spans="1:8">
      <c r="A115">
        <v>13</v>
      </c>
      <c r="B115" t="s">
        <v>12</v>
      </c>
      <c r="C115" t="s">
        <v>25</v>
      </c>
      <c r="D115" t="s">
        <v>16</v>
      </c>
      <c r="E115" t="s">
        <v>11</v>
      </c>
      <c r="F115">
        <v>957</v>
      </c>
      <c r="G115">
        <v>6</v>
      </c>
      <c r="H115" s="2">
        <v>45078</v>
      </c>
    </row>
    <row r="116" spans="1:8">
      <c r="A116">
        <v>19</v>
      </c>
      <c r="B116" t="s">
        <v>12</v>
      </c>
      <c r="C116" t="s">
        <v>15</v>
      </c>
      <c r="D116" t="s">
        <v>10</v>
      </c>
      <c r="E116" t="s">
        <v>11</v>
      </c>
      <c r="F116">
        <v>980</v>
      </c>
      <c r="G116">
        <v>9</v>
      </c>
      <c r="H116" s="2">
        <v>45097</v>
      </c>
    </row>
    <row r="117" spans="1:8">
      <c r="A117">
        <v>46</v>
      </c>
      <c r="B117" t="s">
        <v>12</v>
      </c>
      <c r="C117" t="s">
        <v>25</v>
      </c>
      <c r="D117" t="s">
        <v>10</v>
      </c>
      <c r="E117" t="s">
        <v>18</v>
      </c>
      <c r="F117">
        <v>1167</v>
      </c>
      <c r="G117">
        <v>16</v>
      </c>
      <c r="H117" s="2">
        <v>45052</v>
      </c>
    </row>
    <row r="118" spans="1:8">
      <c r="A118">
        <v>55</v>
      </c>
      <c r="B118" t="s">
        <v>8</v>
      </c>
      <c r="C118" t="s">
        <v>26</v>
      </c>
      <c r="D118" t="s">
        <v>20</v>
      </c>
      <c r="E118" t="s">
        <v>18</v>
      </c>
      <c r="F118">
        <v>634</v>
      </c>
      <c r="G118">
        <v>4</v>
      </c>
      <c r="H118" s="2">
        <v>45061</v>
      </c>
    </row>
    <row r="119" spans="1:8">
      <c r="A119">
        <v>67</v>
      </c>
      <c r="B119" t="s">
        <v>8</v>
      </c>
      <c r="C119" t="s">
        <v>15</v>
      </c>
      <c r="D119" t="s">
        <v>14</v>
      </c>
      <c r="E119" t="s">
        <v>11</v>
      </c>
      <c r="F119">
        <v>1612</v>
      </c>
      <c r="G119">
        <v>3</v>
      </c>
      <c r="H119" s="2">
        <v>44952</v>
      </c>
    </row>
    <row r="120" spans="1:8">
      <c r="A120">
        <v>56</v>
      </c>
      <c r="B120" t="s">
        <v>8</v>
      </c>
      <c r="C120" t="s">
        <v>25</v>
      </c>
      <c r="D120" t="s">
        <v>20</v>
      </c>
      <c r="E120" t="s">
        <v>11</v>
      </c>
      <c r="F120">
        <v>461</v>
      </c>
      <c r="G120">
        <v>16</v>
      </c>
      <c r="H120" s="2">
        <v>45591</v>
      </c>
    </row>
    <row r="121" spans="1:8">
      <c r="A121">
        <v>8</v>
      </c>
      <c r="B121" t="s">
        <v>12</v>
      </c>
      <c r="C121" t="s">
        <v>19</v>
      </c>
      <c r="D121" t="s">
        <v>17</v>
      </c>
      <c r="E121" t="s">
        <v>11</v>
      </c>
      <c r="F121">
        <v>1148</v>
      </c>
      <c r="G121">
        <v>12</v>
      </c>
      <c r="H121" s="2">
        <v>45274</v>
      </c>
    </row>
    <row r="122" spans="1:8">
      <c r="A122">
        <v>27</v>
      </c>
      <c r="B122" t="s">
        <v>8</v>
      </c>
      <c r="C122" t="s">
        <v>9</v>
      </c>
      <c r="D122" t="s">
        <v>24</v>
      </c>
      <c r="E122" t="s">
        <v>11</v>
      </c>
      <c r="F122">
        <v>1026</v>
      </c>
      <c r="G122">
        <v>11</v>
      </c>
      <c r="H122" s="2">
        <v>45066</v>
      </c>
    </row>
    <row r="123" spans="1:8">
      <c r="A123">
        <v>19</v>
      </c>
      <c r="B123" t="s">
        <v>12</v>
      </c>
      <c r="C123" t="s">
        <v>9</v>
      </c>
      <c r="D123" t="s">
        <v>14</v>
      </c>
      <c r="E123" t="s">
        <v>11</v>
      </c>
      <c r="F123">
        <v>1622</v>
      </c>
      <c r="G123">
        <v>5</v>
      </c>
      <c r="H123" s="2">
        <v>44972</v>
      </c>
    </row>
    <row r="124" spans="1:8">
      <c r="A124">
        <v>47</v>
      </c>
      <c r="B124" t="s">
        <v>12</v>
      </c>
      <c r="C124" t="s">
        <v>25</v>
      </c>
      <c r="D124" t="s">
        <v>20</v>
      </c>
      <c r="E124" t="s">
        <v>18</v>
      </c>
      <c r="F124">
        <v>678</v>
      </c>
      <c r="G124">
        <v>18</v>
      </c>
      <c r="H124" s="2">
        <v>45487</v>
      </c>
    </row>
    <row r="125" spans="1:8">
      <c r="A125">
        <v>33</v>
      </c>
      <c r="B125" t="s">
        <v>8</v>
      </c>
      <c r="C125" t="s">
        <v>19</v>
      </c>
      <c r="D125" t="s">
        <v>16</v>
      </c>
      <c r="E125" t="s">
        <v>11</v>
      </c>
      <c r="F125">
        <v>993</v>
      </c>
      <c r="G125">
        <v>19</v>
      </c>
      <c r="H125" s="2">
        <v>45376</v>
      </c>
    </row>
    <row r="126" spans="1:8">
      <c r="A126">
        <v>40</v>
      </c>
      <c r="B126" t="s">
        <v>12</v>
      </c>
      <c r="C126" t="s">
        <v>25</v>
      </c>
      <c r="D126" t="s">
        <v>14</v>
      </c>
      <c r="E126" t="s">
        <v>11</v>
      </c>
      <c r="F126">
        <v>1683</v>
      </c>
      <c r="G126">
        <v>6</v>
      </c>
      <c r="H126" s="2">
        <v>45403</v>
      </c>
    </row>
    <row r="127" spans="1:8">
      <c r="A127">
        <v>17</v>
      </c>
      <c r="B127" t="s">
        <v>8</v>
      </c>
      <c r="C127" t="s">
        <v>21</v>
      </c>
      <c r="D127" t="s">
        <v>14</v>
      </c>
      <c r="E127" t="s">
        <v>11</v>
      </c>
      <c r="F127">
        <v>1676</v>
      </c>
      <c r="G127">
        <v>18</v>
      </c>
      <c r="H127" s="2">
        <v>45375</v>
      </c>
    </row>
    <row r="128" spans="1:8">
      <c r="A128">
        <v>36</v>
      </c>
      <c r="B128" t="s">
        <v>8</v>
      </c>
      <c r="C128" t="s">
        <v>19</v>
      </c>
      <c r="D128" t="s">
        <v>20</v>
      </c>
      <c r="E128" t="s">
        <v>18</v>
      </c>
      <c r="F128">
        <v>506</v>
      </c>
      <c r="G128">
        <v>6</v>
      </c>
      <c r="H128" s="2">
        <v>45010</v>
      </c>
    </row>
    <row r="129" spans="1:8">
      <c r="A129">
        <v>75</v>
      </c>
      <c r="B129" t="s">
        <v>12</v>
      </c>
      <c r="C129" t="s">
        <v>26</v>
      </c>
      <c r="D129" t="s">
        <v>14</v>
      </c>
      <c r="E129" t="s">
        <v>18</v>
      </c>
      <c r="F129">
        <v>1545</v>
      </c>
      <c r="G129">
        <v>4</v>
      </c>
      <c r="H129" s="2">
        <v>45042</v>
      </c>
    </row>
    <row r="130" spans="1:8">
      <c r="A130">
        <v>63</v>
      </c>
      <c r="B130" t="s">
        <v>12</v>
      </c>
      <c r="C130" t="s">
        <v>19</v>
      </c>
      <c r="D130" t="s">
        <v>16</v>
      </c>
      <c r="E130" t="s">
        <v>22</v>
      </c>
      <c r="F130">
        <v>798</v>
      </c>
      <c r="G130">
        <v>12</v>
      </c>
      <c r="H130" s="2">
        <v>45051</v>
      </c>
    </row>
    <row r="131" spans="1:8">
      <c r="A131">
        <v>32</v>
      </c>
      <c r="B131" t="s">
        <v>12</v>
      </c>
      <c r="C131" t="s">
        <v>19</v>
      </c>
      <c r="D131" t="s">
        <v>10</v>
      </c>
      <c r="E131" t="s">
        <v>11</v>
      </c>
      <c r="F131">
        <v>972</v>
      </c>
      <c r="G131">
        <v>19</v>
      </c>
      <c r="H131" s="2">
        <v>45297</v>
      </c>
    </row>
    <row r="132" spans="1:8">
      <c r="A132">
        <v>70</v>
      </c>
      <c r="B132" t="s">
        <v>8</v>
      </c>
      <c r="C132" t="s">
        <v>19</v>
      </c>
      <c r="D132" t="s">
        <v>14</v>
      </c>
      <c r="E132" t="s">
        <v>11</v>
      </c>
      <c r="F132">
        <v>1521</v>
      </c>
      <c r="G132">
        <v>2</v>
      </c>
      <c r="H132" s="2">
        <v>45033</v>
      </c>
    </row>
    <row r="133" spans="1:8">
      <c r="A133">
        <v>46</v>
      </c>
      <c r="B133" t="s">
        <v>12</v>
      </c>
      <c r="C133" t="s">
        <v>15</v>
      </c>
      <c r="D133" t="s">
        <v>10</v>
      </c>
      <c r="E133" t="s">
        <v>18</v>
      </c>
      <c r="F133">
        <v>929</v>
      </c>
      <c r="G133">
        <v>17</v>
      </c>
      <c r="H133" s="2">
        <v>45271</v>
      </c>
    </row>
    <row r="134" spans="1:8">
      <c r="A134">
        <v>49</v>
      </c>
      <c r="B134" t="s">
        <v>12</v>
      </c>
      <c r="C134" t="s">
        <v>23</v>
      </c>
      <c r="D134" t="s">
        <v>16</v>
      </c>
      <c r="E134" t="s">
        <v>11</v>
      </c>
      <c r="F134">
        <v>887</v>
      </c>
      <c r="G134">
        <v>11</v>
      </c>
      <c r="H134" s="2">
        <v>45642</v>
      </c>
    </row>
    <row r="135" spans="1:8">
      <c r="A135">
        <v>66</v>
      </c>
      <c r="B135" t="s">
        <v>12</v>
      </c>
      <c r="C135" t="s">
        <v>9</v>
      </c>
      <c r="D135" t="s">
        <v>20</v>
      </c>
      <c r="E135" t="s">
        <v>11</v>
      </c>
      <c r="F135">
        <v>687</v>
      </c>
      <c r="G135">
        <v>11</v>
      </c>
      <c r="H135" s="2">
        <v>45608</v>
      </c>
    </row>
    <row r="136" spans="1:8">
      <c r="A136">
        <v>61</v>
      </c>
      <c r="B136" t="s">
        <v>8</v>
      </c>
      <c r="C136" t="s">
        <v>9</v>
      </c>
      <c r="D136" t="s">
        <v>24</v>
      </c>
      <c r="E136" t="s">
        <v>18</v>
      </c>
      <c r="F136">
        <v>1094</v>
      </c>
      <c r="G136">
        <v>16</v>
      </c>
      <c r="H136" s="2">
        <v>45519</v>
      </c>
    </row>
    <row r="137" spans="1:8">
      <c r="A137">
        <v>10</v>
      </c>
      <c r="B137" t="s">
        <v>12</v>
      </c>
      <c r="C137" t="s">
        <v>21</v>
      </c>
      <c r="D137" t="s">
        <v>14</v>
      </c>
      <c r="E137" t="s">
        <v>18</v>
      </c>
      <c r="F137">
        <v>1555</v>
      </c>
      <c r="G137">
        <v>2</v>
      </c>
      <c r="H137" s="2">
        <v>45222</v>
      </c>
    </row>
    <row r="138" spans="1:8">
      <c r="A138">
        <v>32</v>
      </c>
      <c r="B138" t="s">
        <v>12</v>
      </c>
      <c r="C138" t="s">
        <v>15</v>
      </c>
      <c r="D138" t="s">
        <v>24</v>
      </c>
      <c r="E138" t="s">
        <v>11</v>
      </c>
      <c r="F138">
        <v>1071</v>
      </c>
      <c r="G138">
        <v>2</v>
      </c>
      <c r="H138" s="2">
        <v>45111</v>
      </c>
    </row>
    <row r="139" spans="1:8">
      <c r="A139">
        <v>32</v>
      </c>
      <c r="B139" t="s">
        <v>8</v>
      </c>
      <c r="C139" t="s">
        <v>9</v>
      </c>
      <c r="D139" t="s">
        <v>16</v>
      </c>
      <c r="E139" t="s">
        <v>11</v>
      </c>
      <c r="F139">
        <v>740</v>
      </c>
      <c r="G139">
        <v>8</v>
      </c>
      <c r="H139" s="2">
        <v>45562</v>
      </c>
    </row>
    <row r="140" spans="1:8">
      <c r="A140">
        <v>48</v>
      </c>
      <c r="B140" t="s">
        <v>8</v>
      </c>
      <c r="C140" t="s">
        <v>23</v>
      </c>
      <c r="D140" t="s">
        <v>14</v>
      </c>
      <c r="E140" t="s">
        <v>11</v>
      </c>
      <c r="F140">
        <v>1462</v>
      </c>
      <c r="G140">
        <v>13</v>
      </c>
      <c r="H140" s="2">
        <v>45064</v>
      </c>
    </row>
    <row r="141" spans="1:8">
      <c r="A141">
        <v>34</v>
      </c>
      <c r="B141" t="s">
        <v>12</v>
      </c>
      <c r="C141" t="s">
        <v>25</v>
      </c>
      <c r="D141" t="s">
        <v>10</v>
      </c>
      <c r="E141" t="s">
        <v>11</v>
      </c>
      <c r="F141">
        <v>922</v>
      </c>
      <c r="G141">
        <v>10</v>
      </c>
      <c r="H141" s="2">
        <v>45586</v>
      </c>
    </row>
    <row r="142" spans="1:8">
      <c r="A142">
        <v>66</v>
      </c>
      <c r="B142" t="s">
        <v>12</v>
      </c>
      <c r="C142" t="s">
        <v>9</v>
      </c>
      <c r="D142" t="s">
        <v>17</v>
      </c>
      <c r="E142" t="s">
        <v>11</v>
      </c>
      <c r="F142">
        <v>1174</v>
      </c>
      <c r="G142">
        <v>8</v>
      </c>
      <c r="H142" s="2">
        <v>45385</v>
      </c>
    </row>
    <row r="143" spans="1:8">
      <c r="A143">
        <v>79</v>
      </c>
      <c r="B143" t="s">
        <v>12</v>
      </c>
      <c r="C143" t="s">
        <v>25</v>
      </c>
      <c r="D143" t="s">
        <v>24</v>
      </c>
      <c r="E143" t="s">
        <v>18</v>
      </c>
      <c r="F143">
        <v>947</v>
      </c>
      <c r="G143">
        <v>4</v>
      </c>
      <c r="H143" s="2">
        <v>45160</v>
      </c>
    </row>
    <row r="144" spans="1:8">
      <c r="A144">
        <v>66</v>
      </c>
      <c r="B144" t="s">
        <v>8</v>
      </c>
      <c r="C144" t="s">
        <v>23</v>
      </c>
      <c r="D144" t="s">
        <v>14</v>
      </c>
      <c r="E144" t="s">
        <v>18</v>
      </c>
      <c r="F144">
        <v>1559</v>
      </c>
      <c r="G144">
        <v>15</v>
      </c>
      <c r="H144" s="2">
        <v>45543</v>
      </c>
    </row>
    <row r="145" spans="1:8">
      <c r="A145">
        <v>5</v>
      </c>
      <c r="B145" t="s">
        <v>12</v>
      </c>
      <c r="C145" t="s">
        <v>15</v>
      </c>
      <c r="D145" t="s">
        <v>24</v>
      </c>
      <c r="E145" t="s">
        <v>18</v>
      </c>
      <c r="F145">
        <v>1017</v>
      </c>
      <c r="G145">
        <v>1</v>
      </c>
      <c r="H145" s="2">
        <v>45496</v>
      </c>
    </row>
    <row r="146" spans="1:8">
      <c r="A146">
        <v>31</v>
      </c>
      <c r="B146" t="s">
        <v>8</v>
      </c>
      <c r="C146" t="s">
        <v>15</v>
      </c>
      <c r="D146" t="s">
        <v>14</v>
      </c>
      <c r="E146" t="s">
        <v>11</v>
      </c>
      <c r="F146">
        <v>1499</v>
      </c>
      <c r="G146">
        <v>11</v>
      </c>
      <c r="H146" s="2">
        <v>45476</v>
      </c>
    </row>
    <row r="147" spans="1:8">
      <c r="A147">
        <v>66</v>
      </c>
      <c r="B147" t="s">
        <v>8</v>
      </c>
      <c r="C147" t="s">
        <v>19</v>
      </c>
      <c r="D147" t="s">
        <v>20</v>
      </c>
      <c r="E147" t="s">
        <v>18</v>
      </c>
      <c r="F147">
        <v>566</v>
      </c>
      <c r="G147">
        <v>7</v>
      </c>
      <c r="H147" s="2">
        <v>45054</v>
      </c>
    </row>
    <row r="148" spans="1:8">
      <c r="A148">
        <v>7</v>
      </c>
      <c r="B148" t="s">
        <v>8</v>
      </c>
      <c r="C148" t="s">
        <v>15</v>
      </c>
      <c r="D148" t="s">
        <v>10</v>
      </c>
      <c r="E148" t="s">
        <v>18</v>
      </c>
      <c r="F148">
        <v>1189</v>
      </c>
      <c r="G148">
        <v>17</v>
      </c>
      <c r="H148" s="2">
        <v>45400</v>
      </c>
    </row>
    <row r="149" spans="1:8">
      <c r="A149">
        <v>74</v>
      </c>
      <c r="B149" t="s">
        <v>12</v>
      </c>
      <c r="C149" t="s">
        <v>15</v>
      </c>
      <c r="D149" t="s">
        <v>24</v>
      </c>
      <c r="E149" t="s">
        <v>11</v>
      </c>
      <c r="F149">
        <v>1055</v>
      </c>
      <c r="G149">
        <v>20</v>
      </c>
      <c r="H149" s="2">
        <v>45575</v>
      </c>
    </row>
    <row r="150" spans="1:8">
      <c r="A150">
        <v>76</v>
      </c>
      <c r="B150" t="s">
        <v>8</v>
      </c>
      <c r="C150" t="s">
        <v>19</v>
      </c>
      <c r="D150" t="s">
        <v>17</v>
      </c>
      <c r="E150" t="s">
        <v>18</v>
      </c>
      <c r="F150">
        <v>1106</v>
      </c>
      <c r="G150">
        <v>18</v>
      </c>
      <c r="H150" s="2">
        <v>45316</v>
      </c>
    </row>
    <row r="151" spans="1:8">
      <c r="A151">
        <v>31</v>
      </c>
      <c r="B151" t="s">
        <v>8</v>
      </c>
      <c r="C151" t="s">
        <v>15</v>
      </c>
      <c r="D151" t="s">
        <v>17</v>
      </c>
      <c r="E151" t="s">
        <v>18</v>
      </c>
      <c r="F151">
        <v>1295</v>
      </c>
      <c r="G151">
        <v>12</v>
      </c>
      <c r="H151" s="2">
        <v>45585</v>
      </c>
    </row>
    <row r="152" spans="1:8">
      <c r="A152">
        <v>13</v>
      </c>
      <c r="B152" t="s">
        <v>8</v>
      </c>
      <c r="C152" t="s">
        <v>9</v>
      </c>
      <c r="D152" t="s">
        <v>16</v>
      </c>
      <c r="E152" t="s">
        <v>11</v>
      </c>
      <c r="F152">
        <v>755</v>
      </c>
      <c r="G152">
        <v>9</v>
      </c>
      <c r="H152" s="2">
        <v>45582</v>
      </c>
    </row>
    <row r="153" spans="1:8">
      <c r="A153">
        <v>66</v>
      </c>
      <c r="B153" t="s">
        <v>12</v>
      </c>
      <c r="C153" t="s">
        <v>9</v>
      </c>
      <c r="D153" t="s">
        <v>14</v>
      </c>
      <c r="E153" t="s">
        <v>11</v>
      </c>
      <c r="F153">
        <v>1592</v>
      </c>
      <c r="G153">
        <v>5</v>
      </c>
      <c r="H153" s="2">
        <v>45481</v>
      </c>
    </row>
    <row r="154" spans="1:8">
      <c r="A154">
        <v>41</v>
      </c>
      <c r="B154" t="s">
        <v>8</v>
      </c>
      <c r="C154" t="s">
        <v>19</v>
      </c>
      <c r="D154" t="s">
        <v>24</v>
      </c>
      <c r="E154" t="s">
        <v>11</v>
      </c>
      <c r="F154">
        <v>946</v>
      </c>
      <c r="G154">
        <v>10</v>
      </c>
      <c r="H154" s="2">
        <v>45314</v>
      </c>
    </row>
    <row r="155" spans="1:8">
      <c r="A155">
        <v>55</v>
      </c>
      <c r="B155" t="s">
        <v>12</v>
      </c>
      <c r="C155" t="s">
        <v>9</v>
      </c>
      <c r="D155" t="s">
        <v>16</v>
      </c>
      <c r="E155" t="s">
        <v>11</v>
      </c>
      <c r="F155">
        <v>847</v>
      </c>
      <c r="G155">
        <v>4</v>
      </c>
      <c r="H155" s="2">
        <v>44937</v>
      </c>
    </row>
    <row r="156" spans="1:8">
      <c r="A156">
        <v>48</v>
      </c>
      <c r="B156" t="s">
        <v>12</v>
      </c>
      <c r="C156" t="s">
        <v>23</v>
      </c>
      <c r="D156" t="s">
        <v>24</v>
      </c>
      <c r="E156" t="s">
        <v>11</v>
      </c>
      <c r="F156">
        <v>1174</v>
      </c>
      <c r="G156">
        <v>5</v>
      </c>
      <c r="H156" s="2">
        <v>45051</v>
      </c>
    </row>
    <row r="157" spans="1:8">
      <c r="A157">
        <v>28</v>
      </c>
      <c r="B157" t="s">
        <v>12</v>
      </c>
      <c r="C157" t="s">
        <v>15</v>
      </c>
      <c r="D157" t="s">
        <v>14</v>
      </c>
      <c r="E157" t="s">
        <v>18</v>
      </c>
      <c r="F157">
        <v>1556</v>
      </c>
      <c r="G157">
        <v>10</v>
      </c>
      <c r="H157" s="2">
        <v>45561</v>
      </c>
    </row>
    <row r="158" spans="1:8">
      <c r="A158">
        <v>63</v>
      </c>
      <c r="B158" t="s">
        <v>8</v>
      </c>
      <c r="C158" t="s">
        <v>23</v>
      </c>
      <c r="D158" t="s">
        <v>17</v>
      </c>
      <c r="E158" t="s">
        <v>11</v>
      </c>
      <c r="F158">
        <v>1301</v>
      </c>
      <c r="G158">
        <v>11</v>
      </c>
      <c r="H158" s="2">
        <v>45090</v>
      </c>
    </row>
    <row r="159" spans="1:8">
      <c r="A159">
        <v>36</v>
      </c>
      <c r="B159" t="s">
        <v>12</v>
      </c>
      <c r="C159" t="s">
        <v>9</v>
      </c>
      <c r="D159" t="s">
        <v>20</v>
      </c>
      <c r="E159" t="s">
        <v>11</v>
      </c>
      <c r="F159">
        <v>525</v>
      </c>
      <c r="G159">
        <v>10</v>
      </c>
      <c r="H159" s="2">
        <v>45006</v>
      </c>
    </row>
    <row r="160" spans="1:8">
      <c r="A160">
        <v>56</v>
      </c>
      <c r="B160" t="s">
        <v>12</v>
      </c>
      <c r="C160" t="s">
        <v>13</v>
      </c>
      <c r="D160" t="s">
        <v>17</v>
      </c>
      <c r="E160" t="s">
        <v>11</v>
      </c>
      <c r="F160">
        <v>1393</v>
      </c>
      <c r="G160">
        <v>8</v>
      </c>
      <c r="H160" s="2">
        <v>45374</v>
      </c>
    </row>
    <row r="161" spans="1:8">
      <c r="A161">
        <v>66</v>
      </c>
      <c r="B161" t="s">
        <v>12</v>
      </c>
      <c r="C161" t="s">
        <v>9</v>
      </c>
      <c r="D161" t="s">
        <v>16</v>
      </c>
      <c r="E161" t="s">
        <v>11</v>
      </c>
      <c r="F161">
        <v>763</v>
      </c>
      <c r="G161">
        <v>2</v>
      </c>
      <c r="H161" s="2">
        <v>45112</v>
      </c>
    </row>
    <row r="162" spans="1:8">
      <c r="A162">
        <v>62</v>
      </c>
      <c r="B162" t="s">
        <v>12</v>
      </c>
      <c r="C162" t="s">
        <v>26</v>
      </c>
      <c r="D162" t="s">
        <v>10</v>
      </c>
      <c r="E162" t="s">
        <v>11</v>
      </c>
      <c r="F162">
        <v>1075</v>
      </c>
      <c r="G162">
        <v>8</v>
      </c>
      <c r="H162" s="2">
        <v>45467</v>
      </c>
    </row>
    <row r="163" spans="1:8">
      <c r="A163">
        <v>56</v>
      </c>
      <c r="B163" t="s">
        <v>8</v>
      </c>
      <c r="C163" t="s">
        <v>19</v>
      </c>
      <c r="D163" t="s">
        <v>20</v>
      </c>
      <c r="E163" t="s">
        <v>11</v>
      </c>
      <c r="F163">
        <v>515</v>
      </c>
      <c r="G163">
        <v>16</v>
      </c>
      <c r="H163" s="2">
        <v>45562</v>
      </c>
    </row>
    <row r="164" spans="1:8">
      <c r="A164">
        <v>16</v>
      </c>
      <c r="B164" t="s">
        <v>8</v>
      </c>
      <c r="C164" t="s">
        <v>15</v>
      </c>
      <c r="D164" t="s">
        <v>16</v>
      </c>
      <c r="E164" t="s">
        <v>11</v>
      </c>
      <c r="F164">
        <v>903</v>
      </c>
      <c r="G164">
        <v>5</v>
      </c>
      <c r="H164" s="2">
        <v>45456</v>
      </c>
    </row>
    <row r="165" spans="1:8">
      <c r="A165">
        <v>43</v>
      </c>
      <c r="B165" t="s">
        <v>12</v>
      </c>
      <c r="C165" t="s">
        <v>25</v>
      </c>
      <c r="D165" t="s">
        <v>14</v>
      </c>
      <c r="E165" t="s">
        <v>11</v>
      </c>
      <c r="F165">
        <v>1430</v>
      </c>
      <c r="G165">
        <v>3</v>
      </c>
      <c r="H165" s="2">
        <v>45418</v>
      </c>
    </row>
    <row r="166" spans="1:8">
      <c r="A166">
        <v>6</v>
      </c>
      <c r="B166" t="s">
        <v>12</v>
      </c>
      <c r="C166" t="s">
        <v>15</v>
      </c>
      <c r="D166" t="s">
        <v>20</v>
      </c>
      <c r="E166" t="s">
        <v>11</v>
      </c>
      <c r="F166">
        <v>512</v>
      </c>
      <c r="G166">
        <v>12</v>
      </c>
      <c r="H166" s="2">
        <v>45570</v>
      </c>
    </row>
    <row r="167" spans="1:8">
      <c r="A167">
        <v>7</v>
      </c>
      <c r="B167" t="s">
        <v>8</v>
      </c>
      <c r="C167" t="s">
        <v>15</v>
      </c>
      <c r="D167" t="s">
        <v>16</v>
      </c>
      <c r="E167" t="s">
        <v>11</v>
      </c>
      <c r="F167">
        <v>766</v>
      </c>
      <c r="G167">
        <v>13</v>
      </c>
      <c r="H167" s="2">
        <v>45116</v>
      </c>
    </row>
    <row r="168" spans="1:8">
      <c r="A168">
        <v>60</v>
      </c>
      <c r="B168" t="s">
        <v>12</v>
      </c>
      <c r="C168" t="s">
        <v>15</v>
      </c>
      <c r="D168" t="s">
        <v>14</v>
      </c>
      <c r="E168" t="s">
        <v>18</v>
      </c>
      <c r="F168">
        <v>1474</v>
      </c>
      <c r="G168">
        <v>13</v>
      </c>
      <c r="H168" s="2">
        <v>45318</v>
      </c>
    </row>
    <row r="169" spans="1:8">
      <c r="A169">
        <v>63</v>
      </c>
      <c r="B169" t="s">
        <v>12</v>
      </c>
      <c r="C169" t="s">
        <v>9</v>
      </c>
      <c r="D169" t="s">
        <v>17</v>
      </c>
      <c r="E169" t="s">
        <v>11</v>
      </c>
      <c r="F169">
        <v>1144</v>
      </c>
      <c r="G169">
        <v>10</v>
      </c>
      <c r="H169" s="2">
        <v>45276</v>
      </c>
    </row>
    <row r="170" spans="1:8">
      <c r="A170">
        <v>6</v>
      </c>
      <c r="B170" t="s">
        <v>8</v>
      </c>
      <c r="C170" t="s">
        <v>9</v>
      </c>
      <c r="D170" t="s">
        <v>10</v>
      </c>
      <c r="E170" t="s">
        <v>18</v>
      </c>
      <c r="F170">
        <v>1159</v>
      </c>
      <c r="G170">
        <v>4</v>
      </c>
      <c r="H170" s="2">
        <v>45475</v>
      </c>
    </row>
    <row r="171" spans="1:8">
      <c r="A171">
        <v>6</v>
      </c>
      <c r="B171" t="s">
        <v>8</v>
      </c>
      <c r="C171" t="s">
        <v>9</v>
      </c>
      <c r="D171" t="s">
        <v>14</v>
      </c>
      <c r="E171" t="s">
        <v>11</v>
      </c>
      <c r="F171">
        <v>1553</v>
      </c>
      <c r="G171">
        <v>9</v>
      </c>
      <c r="H171" s="2">
        <v>45352</v>
      </c>
    </row>
    <row r="172" spans="1:8">
      <c r="A172">
        <v>58</v>
      </c>
      <c r="B172" t="s">
        <v>12</v>
      </c>
      <c r="C172" t="s">
        <v>13</v>
      </c>
      <c r="D172" t="s">
        <v>24</v>
      </c>
      <c r="E172" t="s">
        <v>11</v>
      </c>
      <c r="F172">
        <v>1054</v>
      </c>
      <c r="G172">
        <v>2</v>
      </c>
      <c r="H172" s="2">
        <v>45543</v>
      </c>
    </row>
    <row r="173" spans="1:8">
      <c r="A173">
        <v>5</v>
      </c>
      <c r="B173" t="s">
        <v>8</v>
      </c>
      <c r="C173" t="s">
        <v>15</v>
      </c>
      <c r="D173" t="s">
        <v>14</v>
      </c>
      <c r="E173" t="s">
        <v>18</v>
      </c>
      <c r="F173">
        <v>1633</v>
      </c>
      <c r="G173">
        <v>19</v>
      </c>
      <c r="H173" s="2">
        <v>45096</v>
      </c>
    </row>
    <row r="174" spans="1:8">
      <c r="A174">
        <v>23</v>
      </c>
      <c r="B174" t="s">
        <v>12</v>
      </c>
      <c r="C174" t="s">
        <v>15</v>
      </c>
      <c r="D174" t="s">
        <v>14</v>
      </c>
      <c r="E174" t="s">
        <v>11</v>
      </c>
      <c r="F174">
        <v>1450</v>
      </c>
      <c r="G174">
        <v>1</v>
      </c>
      <c r="H174" s="2">
        <v>45546</v>
      </c>
    </row>
    <row r="175" spans="1:8">
      <c r="A175">
        <v>6</v>
      </c>
      <c r="B175" t="s">
        <v>8</v>
      </c>
      <c r="C175" t="s">
        <v>15</v>
      </c>
      <c r="D175" t="s">
        <v>10</v>
      </c>
      <c r="E175" t="s">
        <v>11</v>
      </c>
      <c r="F175">
        <v>1161</v>
      </c>
      <c r="G175">
        <v>7</v>
      </c>
      <c r="H175" s="2">
        <v>45424</v>
      </c>
    </row>
    <row r="176" spans="1:8">
      <c r="A176">
        <v>57</v>
      </c>
      <c r="B176" t="s">
        <v>12</v>
      </c>
      <c r="C176" t="s">
        <v>15</v>
      </c>
      <c r="D176" t="s">
        <v>24</v>
      </c>
      <c r="E176" t="s">
        <v>11</v>
      </c>
      <c r="F176">
        <v>1024</v>
      </c>
      <c r="G176">
        <v>17</v>
      </c>
      <c r="H176" s="2">
        <v>45485</v>
      </c>
    </row>
    <row r="177" spans="1:8">
      <c r="A177">
        <v>48</v>
      </c>
      <c r="B177" t="s">
        <v>12</v>
      </c>
      <c r="C177" t="s">
        <v>9</v>
      </c>
      <c r="D177" t="s">
        <v>16</v>
      </c>
      <c r="E177" t="s">
        <v>11</v>
      </c>
      <c r="F177">
        <v>944</v>
      </c>
      <c r="G177">
        <v>3</v>
      </c>
      <c r="H177" s="2">
        <v>45389</v>
      </c>
    </row>
    <row r="178" spans="1:8">
      <c r="A178">
        <v>36</v>
      </c>
      <c r="B178" t="s">
        <v>12</v>
      </c>
      <c r="C178" t="s">
        <v>23</v>
      </c>
      <c r="D178" t="s">
        <v>16</v>
      </c>
      <c r="E178" t="s">
        <v>11</v>
      </c>
      <c r="F178">
        <v>729</v>
      </c>
      <c r="G178">
        <v>20</v>
      </c>
      <c r="H178" s="2">
        <v>45133</v>
      </c>
    </row>
    <row r="179" spans="1:8">
      <c r="A179">
        <v>74</v>
      </c>
      <c r="B179" t="s">
        <v>8</v>
      </c>
      <c r="C179" t="s">
        <v>9</v>
      </c>
      <c r="D179" t="s">
        <v>14</v>
      </c>
      <c r="E179" t="s">
        <v>11</v>
      </c>
      <c r="F179">
        <v>1521</v>
      </c>
      <c r="G179">
        <v>20</v>
      </c>
      <c r="H179" s="2">
        <v>45304</v>
      </c>
    </row>
    <row r="180" spans="1:8">
      <c r="A180">
        <v>36</v>
      </c>
      <c r="B180" t="s">
        <v>8</v>
      </c>
      <c r="C180" t="s">
        <v>15</v>
      </c>
      <c r="D180" t="s">
        <v>24</v>
      </c>
      <c r="E180" t="s">
        <v>11</v>
      </c>
      <c r="F180">
        <v>1024</v>
      </c>
      <c r="G180">
        <v>3</v>
      </c>
      <c r="H180" s="2">
        <v>45134</v>
      </c>
    </row>
    <row r="181" spans="1:8">
      <c r="A181">
        <v>72</v>
      </c>
      <c r="B181" t="s">
        <v>12</v>
      </c>
      <c r="C181" t="s">
        <v>9</v>
      </c>
      <c r="D181" t="s">
        <v>24</v>
      </c>
      <c r="E181" t="s">
        <v>11</v>
      </c>
      <c r="F181">
        <v>936</v>
      </c>
      <c r="G181">
        <v>3</v>
      </c>
      <c r="H181" s="2">
        <v>45512</v>
      </c>
    </row>
    <row r="182" spans="1:8">
      <c r="A182">
        <v>59</v>
      </c>
      <c r="B182" t="s">
        <v>12</v>
      </c>
      <c r="C182" t="s">
        <v>15</v>
      </c>
      <c r="D182" t="s">
        <v>10</v>
      </c>
      <c r="E182" t="s">
        <v>11</v>
      </c>
      <c r="F182">
        <v>1069</v>
      </c>
      <c r="G182">
        <v>17</v>
      </c>
      <c r="H182" s="2">
        <v>45068</v>
      </c>
    </row>
    <row r="183" spans="1:8">
      <c r="A183">
        <v>79</v>
      </c>
      <c r="B183" t="s">
        <v>8</v>
      </c>
      <c r="C183" t="s">
        <v>13</v>
      </c>
      <c r="D183" t="s">
        <v>17</v>
      </c>
      <c r="E183" t="s">
        <v>18</v>
      </c>
      <c r="F183">
        <v>1223</v>
      </c>
      <c r="G183">
        <v>7</v>
      </c>
      <c r="H183" s="2">
        <v>44983</v>
      </c>
    </row>
    <row r="184" spans="1:8">
      <c r="A184">
        <v>60</v>
      </c>
      <c r="B184" t="s">
        <v>12</v>
      </c>
      <c r="C184" t="s">
        <v>15</v>
      </c>
      <c r="D184" t="s">
        <v>16</v>
      </c>
      <c r="E184" t="s">
        <v>22</v>
      </c>
      <c r="F184">
        <v>734</v>
      </c>
      <c r="G184">
        <v>14</v>
      </c>
      <c r="H184" s="2">
        <v>45421</v>
      </c>
    </row>
    <row r="185" spans="1:8">
      <c r="A185">
        <v>21</v>
      </c>
      <c r="B185" t="s">
        <v>12</v>
      </c>
      <c r="C185" t="s">
        <v>19</v>
      </c>
      <c r="D185" t="s">
        <v>10</v>
      </c>
      <c r="E185" t="s">
        <v>11</v>
      </c>
      <c r="F185">
        <v>986</v>
      </c>
      <c r="G185">
        <v>17</v>
      </c>
      <c r="H185" s="2">
        <v>45450</v>
      </c>
    </row>
    <row r="186" spans="1:8">
      <c r="A186">
        <v>42</v>
      </c>
      <c r="B186" t="s">
        <v>8</v>
      </c>
      <c r="C186" t="s">
        <v>26</v>
      </c>
      <c r="D186" t="s">
        <v>20</v>
      </c>
      <c r="E186" t="s">
        <v>18</v>
      </c>
      <c r="F186">
        <v>533</v>
      </c>
      <c r="G186">
        <v>18</v>
      </c>
      <c r="H186" s="2">
        <v>45286</v>
      </c>
    </row>
    <row r="187" spans="1:8">
      <c r="A187">
        <v>28</v>
      </c>
      <c r="B187" t="s">
        <v>12</v>
      </c>
      <c r="C187" t="s">
        <v>9</v>
      </c>
      <c r="D187" t="s">
        <v>16</v>
      </c>
      <c r="E187" t="s">
        <v>11</v>
      </c>
      <c r="F187">
        <v>895</v>
      </c>
      <c r="G187">
        <v>13</v>
      </c>
      <c r="H187" s="2">
        <v>45343</v>
      </c>
    </row>
    <row r="188" spans="1:8">
      <c r="A188">
        <v>73</v>
      </c>
      <c r="B188" t="s">
        <v>8</v>
      </c>
      <c r="C188" t="s">
        <v>21</v>
      </c>
      <c r="D188" t="s">
        <v>10</v>
      </c>
      <c r="E188" t="s">
        <v>11</v>
      </c>
      <c r="F188">
        <v>1173</v>
      </c>
      <c r="G188">
        <v>20</v>
      </c>
      <c r="H188" s="2">
        <v>45467</v>
      </c>
    </row>
    <row r="189" spans="1:8">
      <c r="A189">
        <v>74</v>
      </c>
      <c r="B189" t="s">
        <v>8</v>
      </c>
      <c r="C189" t="s">
        <v>15</v>
      </c>
      <c r="D189" t="s">
        <v>16</v>
      </c>
      <c r="E189" t="s">
        <v>11</v>
      </c>
      <c r="F189">
        <v>900</v>
      </c>
      <c r="G189">
        <v>20</v>
      </c>
      <c r="H189" s="2">
        <v>45458</v>
      </c>
    </row>
    <row r="190" spans="1:8">
      <c r="A190">
        <v>15</v>
      </c>
      <c r="B190" t="s">
        <v>12</v>
      </c>
      <c r="C190" t="s">
        <v>23</v>
      </c>
      <c r="D190" t="s">
        <v>17</v>
      </c>
      <c r="E190" t="s">
        <v>18</v>
      </c>
      <c r="F190">
        <v>1384</v>
      </c>
      <c r="G190">
        <v>18</v>
      </c>
      <c r="H190" s="2">
        <v>44928</v>
      </c>
    </row>
    <row r="191" spans="1:8">
      <c r="A191">
        <v>20</v>
      </c>
      <c r="B191" t="s">
        <v>12</v>
      </c>
      <c r="C191" t="s">
        <v>9</v>
      </c>
      <c r="D191" t="s">
        <v>20</v>
      </c>
      <c r="E191" t="s">
        <v>11</v>
      </c>
      <c r="F191">
        <v>476</v>
      </c>
      <c r="G191">
        <v>4</v>
      </c>
      <c r="H191" s="2">
        <v>45314</v>
      </c>
    </row>
    <row r="192" spans="1:8">
      <c r="A192">
        <v>77</v>
      </c>
      <c r="B192" t="s">
        <v>12</v>
      </c>
      <c r="C192" t="s">
        <v>23</v>
      </c>
      <c r="D192" t="s">
        <v>17</v>
      </c>
      <c r="E192" t="s">
        <v>11</v>
      </c>
      <c r="F192">
        <v>1158</v>
      </c>
      <c r="G192">
        <v>1</v>
      </c>
      <c r="H192" s="2">
        <v>45616</v>
      </c>
    </row>
    <row r="193" spans="1:8">
      <c r="A193">
        <v>63</v>
      </c>
      <c r="B193" t="s">
        <v>8</v>
      </c>
      <c r="C193" t="s">
        <v>15</v>
      </c>
      <c r="D193" t="s">
        <v>20</v>
      </c>
      <c r="E193" t="s">
        <v>11</v>
      </c>
      <c r="F193">
        <v>525</v>
      </c>
      <c r="G193">
        <v>18</v>
      </c>
      <c r="H193" s="2">
        <v>45590</v>
      </c>
    </row>
    <row r="194" spans="1:8">
      <c r="A194">
        <v>74</v>
      </c>
      <c r="B194" t="s">
        <v>8</v>
      </c>
      <c r="C194" t="s">
        <v>15</v>
      </c>
      <c r="D194" t="s">
        <v>14</v>
      </c>
      <c r="E194" t="s">
        <v>18</v>
      </c>
      <c r="F194">
        <v>1508</v>
      </c>
      <c r="G194">
        <v>1</v>
      </c>
      <c r="H194" s="2">
        <v>44997</v>
      </c>
    </row>
    <row r="195" spans="1:8">
      <c r="A195">
        <v>7</v>
      </c>
      <c r="B195" t="s">
        <v>8</v>
      </c>
      <c r="C195" t="s">
        <v>15</v>
      </c>
      <c r="D195" t="s">
        <v>10</v>
      </c>
      <c r="E195" t="s">
        <v>18</v>
      </c>
      <c r="F195">
        <v>1123</v>
      </c>
      <c r="G195">
        <v>13</v>
      </c>
      <c r="H195" s="2">
        <v>45566</v>
      </c>
    </row>
    <row r="196" spans="1:8">
      <c r="A196">
        <v>24</v>
      </c>
      <c r="B196" t="s">
        <v>12</v>
      </c>
      <c r="C196" t="s">
        <v>23</v>
      </c>
      <c r="D196" t="s">
        <v>20</v>
      </c>
      <c r="E196" t="s">
        <v>18</v>
      </c>
      <c r="F196">
        <v>677</v>
      </c>
      <c r="G196">
        <v>20</v>
      </c>
      <c r="H196" s="2">
        <v>45222</v>
      </c>
    </row>
    <row r="197" spans="1:8">
      <c r="A197">
        <v>63</v>
      </c>
      <c r="B197" t="s">
        <v>8</v>
      </c>
      <c r="C197" t="s">
        <v>25</v>
      </c>
      <c r="D197" t="s">
        <v>17</v>
      </c>
      <c r="E197" t="s">
        <v>11</v>
      </c>
      <c r="F197">
        <v>1167</v>
      </c>
      <c r="G197">
        <v>20</v>
      </c>
      <c r="H197" s="2">
        <v>45648</v>
      </c>
    </row>
    <row r="198" spans="1:8">
      <c r="A198">
        <v>40</v>
      </c>
      <c r="B198" t="s">
        <v>8</v>
      </c>
      <c r="C198" t="s">
        <v>23</v>
      </c>
      <c r="D198" t="s">
        <v>16</v>
      </c>
      <c r="E198" t="s">
        <v>11</v>
      </c>
      <c r="F198">
        <v>768</v>
      </c>
      <c r="G198">
        <v>10</v>
      </c>
      <c r="H198" s="2">
        <v>44993</v>
      </c>
    </row>
    <row r="199" spans="1:8">
      <c r="A199">
        <v>23</v>
      </c>
      <c r="B199" t="s">
        <v>8</v>
      </c>
      <c r="C199" t="s">
        <v>15</v>
      </c>
      <c r="D199" t="s">
        <v>20</v>
      </c>
      <c r="E199" t="s">
        <v>11</v>
      </c>
      <c r="F199">
        <v>564</v>
      </c>
      <c r="G199">
        <v>11</v>
      </c>
      <c r="H199" s="2">
        <v>45387</v>
      </c>
    </row>
    <row r="200" spans="1:8">
      <c r="A200">
        <v>71</v>
      </c>
      <c r="B200" t="s">
        <v>8</v>
      </c>
      <c r="C200" t="s">
        <v>13</v>
      </c>
      <c r="D200" t="s">
        <v>10</v>
      </c>
      <c r="E200" t="s">
        <v>11</v>
      </c>
      <c r="F200">
        <v>1061</v>
      </c>
      <c r="G200">
        <v>9</v>
      </c>
      <c r="H200" s="2">
        <v>45337</v>
      </c>
    </row>
    <row r="201" spans="1:8">
      <c r="A201">
        <v>23</v>
      </c>
      <c r="B201" t="s">
        <v>8</v>
      </c>
      <c r="C201" t="s">
        <v>9</v>
      </c>
      <c r="D201" t="s">
        <v>20</v>
      </c>
      <c r="E201" t="s">
        <v>11</v>
      </c>
      <c r="F201">
        <v>441</v>
      </c>
      <c r="G201">
        <v>9</v>
      </c>
      <c r="H201" s="2">
        <v>45170</v>
      </c>
    </row>
    <row r="202" spans="1:8">
      <c r="A202">
        <v>24</v>
      </c>
      <c r="B202" t="s">
        <v>8</v>
      </c>
      <c r="C202" t="s">
        <v>9</v>
      </c>
      <c r="D202" t="s">
        <v>24</v>
      </c>
      <c r="E202" t="s">
        <v>11</v>
      </c>
      <c r="F202">
        <v>1008</v>
      </c>
      <c r="G202">
        <v>5</v>
      </c>
      <c r="H202" s="2">
        <v>45200</v>
      </c>
    </row>
    <row r="203" spans="1:8">
      <c r="A203">
        <v>75</v>
      </c>
      <c r="B203" t="s">
        <v>8</v>
      </c>
      <c r="C203" t="s">
        <v>15</v>
      </c>
      <c r="D203" t="s">
        <v>16</v>
      </c>
      <c r="E203" t="s">
        <v>22</v>
      </c>
      <c r="F203">
        <v>750</v>
      </c>
      <c r="G203">
        <v>1</v>
      </c>
      <c r="H203" s="2">
        <v>45285</v>
      </c>
    </row>
    <row r="204" spans="1:8">
      <c r="A204">
        <v>56</v>
      </c>
      <c r="B204" t="s">
        <v>12</v>
      </c>
      <c r="C204" t="s">
        <v>23</v>
      </c>
      <c r="D204" t="s">
        <v>10</v>
      </c>
      <c r="E204" t="s">
        <v>18</v>
      </c>
      <c r="F204">
        <v>1149</v>
      </c>
      <c r="G204">
        <v>17</v>
      </c>
      <c r="H204" s="2">
        <v>45606</v>
      </c>
    </row>
    <row r="205" spans="1:8">
      <c r="A205">
        <v>37</v>
      </c>
      <c r="B205" t="s">
        <v>12</v>
      </c>
      <c r="C205" t="s">
        <v>15</v>
      </c>
      <c r="D205" t="s">
        <v>10</v>
      </c>
      <c r="E205" t="s">
        <v>18</v>
      </c>
      <c r="F205">
        <v>920</v>
      </c>
      <c r="G205">
        <v>2</v>
      </c>
      <c r="H205" s="2">
        <v>45495</v>
      </c>
    </row>
    <row r="206" spans="1:8">
      <c r="A206">
        <v>44</v>
      </c>
      <c r="B206" t="s">
        <v>8</v>
      </c>
      <c r="C206" t="s">
        <v>19</v>
      </c>
      <c r="D206" t="s">
        <v>14</v>
      </c>
      <c r="E206" t="s">
        <v>22</v>
      </c>
      <c r="F206">
        <v>1699</v>
      </c>
      <c r="G206">
        <v>13</v>
      </c>
      <c r="H206" s="2">
        <v>45483</v>
      </c>
    </row>
    <row r="207" spans="1:8">
      <c r="A207">
        <v>43</v>
      </c>
      <c r="B207" t="s">
        <v>12</v>
      </c>
      <c r="C207" t="s">
        <v>25</v>
      </c>
      <c r="D207" t="s">
        <v>17</v>
      </c>
      <c r="E207" t="s">
        <v>11</v>
      </c>
      <c r="F207">
        <v>1238</v>
      </c>
      <c r="G207">
        <v>9</v>
      </c>
      <c r="H207" s="2">
        <v>45464</v>
      </c>
    </row>
    <row r="208" spans="1:8">
      <c r="A208">
        <v>5</v>
      </c>
      <c r="B208" t="s">
        <v>8</v>
      </c>
      <c r="C208" t="s">
        <v>15</v>
      </c>
      <c r="D208" t="s">
        <v>14</v>
      </c>
      <c r="E208" t="s">
        <v>11</v>
      </c>
      <c r="F208">
        <v>1491</v>
      </c>
      <c r="G208">
        <v>4</v>
      </c>
      <c r="H208" s="2">
        <v>45000</v>
      </c>
    </row>
    <row r="209" spans="1:8">
      <c r="A209">
        <v>15</v>
      </c>
      <c r="B209" t="s">
        <v>8</v>
      </c>
      <c r="C209" t="s">
        <v>9</v>
      </c>
      <c r="D209" t="s">
        <v>10</v>
      </c>
      <c r="E209" t="s">
        <v>22</v>
      </c>
      <c r="F209">
        <v>1179</v>
      </c>
      <c r="G209">
        <v>5</v>
      </c>
      <c r="H209" s="2">
        <v>45460</v>
      </c>
    </row>
    <row r="210" spans="1:8">
      <c r="A210">
        <v>61</v>
      </c>
      <c r="B210" t="s">
        <v>8</v>
      </c>
      <c r="C210" t="s">
        <v>15</v>
      </c>
      <c r="D210" t="s">
        <v>16</v>
      </c>
      <c r="E210" t="s">
        <v>11</v>
      </c>
      <c r="F210">
        <v>824</v>
      </c>
      <c r="G210">
        <v>11</v>
      </c>
      <c r="H210" s="2">
        <v>45648</v>
      </c>
    </row>
    <row r="211" spans="1:8">
      <c r="A211">
        <v>54</v>
      </c>
      <c r="B211" t="s">
        <v>12</v>
      </c>
      <c r="C211" t="s">
        <v>15</v>
      </c>
      <c r="D211" t="s">
        <v>20</v>
      </c>
      <c r="E211" t="s">
        <v>18</v>
      </c>
      <c r="F211">
        <v>510</v>
      </c>
      <c r="G211">
        <v>19</v>
      </c>
      <c r="H211" s="2">
        <v>45510</v>
      </c>
    </row>
    <row r="212" spans="1:8">
      <c r="A212">
        <v>27</v>
      </c>
      <c r="B212" t="s">
        <v>12</v>
      </c>
      <c r="C212" t="s">
        <v>9</v>
      </c>
      <c r="D212" t="s">
        <v>20</v>
      </c>
      <c r="E212" t="s">
        <v>11</v>
      </c>
      <c r="F212">
        <v>538</v>
      </c>
      <c r="G212">
        <v>3</v>
      </c>
      <c r="H212" s="2">
        <v>45507</v>
      </c>
    </row>
    <row r="213" spans="1:8">
      <c r="A213">
        <v>35</v>
      </c>
      <c r="B213" t="s">
        <v>12</v>
      </c>
      <c r="C213" t="s">
        <v>9</v>
      </c>
      <c r="D213" t="s">
        <v>16</v>
      </c>
      <c r="E213" t="s">
        <v>11</v>
      </c>
      <c r="F213">
        <v>972</v>
      </c>
      <c r="G213">
        <v>12</v>
      </c>
      <c r="H213" s="2">
        <v>45609</v>
      </c>
    </row>
    <row r="214" spans="1:8">
      <c r="A214">
        <v>46</v>
      </c>
      <c r="B214" t="s">
        <v>8</v>
      </c>
      <c r="C214" t="s">
        <v>19</v>
      </c>
      <c r="D214" t="s">
        <v>10</v>
      </c>
      <c r="E214" t="s">
        <v>11</v>
      </c>
      <c r="F214">
        <v>998</v>
      </c>
      <c r="G214">
        <v>19</v>
      </c>
      <c r="H214" s="2">
        <v>45551</v>
      </c>
    </row>
    <row r="215" spans="1:8">
      <c r="A215">
        <v>11</v>
      </c>
      <c r="B215" t="s">
        <v>8</v>
      </c>
      <c r="C215" t="s">
        <v>9</v>
      </c>
      <c r="D215" t="s">
        <v>20</v>
      </c>
      <c r="E215" t="s">
        <v>22</v>
      </c>
      <c r="F215">
        <v>651</v>
      </c>
      <c r="G215">
        <v>19</v>
      </c>
      <c r="H215" s="2">
        <v>45299</v>
      </c>
    </row>
    <row r="216" spans="1:8">
      <c r="A216">
        <v>20</v>
      </c>
      <c r="B216" t="s">
        <v>8</v>
      </c>
      <c r="C216" t="s">
        <v>19</v>
      </c>
      <c r="D216" t="s">
        <v>20</v>
      </c>
      <c r="E216" t="s">
        <v>18</v>
      </c>
      <c r="F216">
        <v>503</v>
      </c>
      <c r="G216">
        <v>13</v>
      </c>
      <c r="H216" s="2">
        <v>44941</v>
      </c>
    </row>
    <row r="217" spans="1:8">
      <c r="A217">
        <v>64</v>
      </c>
      <c r="B217" t="s">
        <v>12</v>
      </c>
      <c r="C217" t="s">
        <v>23</v>
      </c>
      <c r="D217" t="s">
        <v>20</v>
      </c>
      <c r="E217" t="s">
        <v>11</v>
      </c>
      <c r="F217">
        <v>613</v>
      </c>
      <c r="G217">
        <v>7</v>
      </c>
      <c r="H217" s="2">
        <v>45368</v>
      </c>
    </row>
    <row r="218" spans="1:8">
      <c r="A218">
        <v>6</v>
      </c>
      <c r="B218" t="s">
        <v>8</v>
      </c>
      <c r="C218" t="s">
        <v>19</v>
      </c>
      <c r="D218" t="s">
        <v>17</v>
      </c>
      <c r="E218" t="s">
        <v>18</v>
      </c>
      <c r="F218">
        <v>1348</v>
      </c>
      <c r="G218">
        <v>15</v>
      </c>
      <c r="H218" s="2">
        <v>45368</v>
      </c>
    </row>
    <row r="219" spans="1:8">
      <c r="A219">
        <v>5</v>
      </c>
      <c r="B219" t="s">
        <v>8</v>
      </c>
      <c r="C219" t="s">
        <v>19</v>
      </c>
      <c r="D219" t="s">
        <v>17</v>
      </c>
      <c r="E219" t="s">
        <v>11</v>
      </c>
      <c r="F219">
        <v>1251</v>
      </c>
      <c r="G219">
        <v>7</v>
      </c>
      <c r="H219" s="2">
        <v>45587</v>
      </c>
    </row>
    <row r="220" spans="1:8">
      <c r="A220">
        <v>52</v>
      </c>
      <c r="B220" t="s">
        <v>12</v>
      </c>
      <c r="C220" t="s">
        <v>19</v>
      </c>
      <c r="D220" t="s">
        <v>24</v>
      </c>
      <c r="E220" t="s">
        <v>11</v>
      </c>
      <c r="F220">
        <v>1149</v>
      </c>
      <c r="G220">
        <v>8</v>
      </c>
      <c r="H220" s="2">
        <v>45530</v>
      </c>
    </row>
    <row r="221" spans="1:8">
      <c r="A221">
        <v>16</v>
      </c>
      <c r="B221" t="s">
        <v>8</v>
      </c>
      <c r="C221" t="s">
        <v>9</v>
      </c>
      <c r="D221" t="s">
        <v>14</v>
      </c>
      <c r="E221" t="s">
        <v>11</v>
      </c>
      <c r="F221">
        <v>1674</v>
      </c>
      <c r="G221">
        <v>5</v>
      </c>
      <c r="H221" s="2">
        <v>45212</v>
      </c>
    </row>
    <row r="222" spans="1:8">
      <c r="A222">
        <v>73</v>
      </c>
      <c r="B222" t="s">
        <v>12</v>
      </c>
      <c r="C222" t="s">
        <v>15</v>
      </c>
      <c r="D222" t="s">
        <v>16</v>
      </c>
      <c r="E222" t="s">
        <v>11</v>
      </c>
      <c r="F222">
        <v>864</v>
      </c>
      <c r="G222">
        <v>14</v>
      </c>
      <c r="H222" s="2">
        <v>44943</v>
      </c>
    </row>
    <row r="223" spans="1:8">
      <c r="A223">
        <v>41</v>
      </c>
      <c r="B223" t="s">
        <v>12</v>
      </c>
      <c r="C223" t="s">
        <v>13</v>
      </c>
      <c r="D223" t="s">
        <v>16</v>
      </c>
      <c r="E223" t="s">
        <v>11</v>
      </c>
      <c r="F223">
        <v>707</v>
      </c>
      <c r="G223">
        <v>4</v>
      </c>
      <c r="H223" s="2">
        <v>44963</v>
      </c>
    </row>
    <row r="224" spans="1:8">
      <c r="A224">
        <v>36</v>
      </c>
      <c r="B224" t="s">
        <v>8</v>
      </c>
      <c r="C224" t="s">
        <v>19</v>
      </c>
      <c r="D224" t="s">
        <v>16</v>
      </c>
      <c r="E224" t="s">
        <v>22</v>
      </c>
      <c r="F224">
        <v>983</v>
      </c>
      <c r="G224">
        <v>10</v>
      </c>
      <c r="H224" s="2">
        <v>44974</v>
      </c>
    </row>
    <row r="225" spans="1:8">
      <c r="A225">
        <v>13</v>
      </c>
      <c r="B225" t="s">
        <v>12</v>
      </c>
      <c r="C225" t="s">
        <v>15</v>
      </c>
      <c r="D225" t="s">
        <v>24</v>
      </c>
      <c r="E225" t="s">
        <v>18</v>
      </c>
      <c r="F225">
        <v>904</v>
      </c>
      <c r="G225">
        <v>20</v>
      </c>
      <c r="H225" s="2">
        <v>45001</v>
      </c>
    </row>
    <row r="226" spans="1:8">
      <c r="A226">
        <v>23</v>
      </c>
      <c r="B226" t="s">
        <v>8</v>
      </c>
      <c r="C226" t="s">
        <v>9</v>
      </c>
      <c r="D226" t="s">
        <v>17</v>
      </c>
      <c r="E226" t="s">
        <v>11</v>
      </c>
      <c r="F226">
        <v>1244</v>
      </c>
      <c r="G226">
        <v>15</v>
      </c>
      <c r="H226" s="2">
        <v>45091</v>
      </c>
    </row>
    <row r="227" spans="1:8">
      <c r="A227">
        <v>52</v>
      </c>
      <c r="B227" t="s">
        <v>8</v>
      </c>
      <c r="C227" t="s">
        <v>15</v>
      </c>
      <c r="D227" t="s">
        <v>10</v>
      </c>
      <c r="E227" t="s">
        <v>11</v>
      </c>
      <c r="F227">
        <v>1000</v>
      </c>
      <c r="G227">
        <v>18</v>
      </c>
      <c r="H227" s="2">
        <v>45304</v>
      </c>
    </row>
    <row r="228" spans="1:8">
      <c r="A228">
        <v>7</v>
      </c>
      <c r="B228" t="s">
        <v>8</v>
      </c>
      <c r="C228" t="s">
        <v>21</v>
      </c>
      <c r="D228" t="s">
        <v>10</v>
      </c>
      <c r="E228" t="s">
        <v>22</v>
      </c>
      <c r="F228">
        <v>1063</v>
      </c>
      <c r="G228">
        <v>20</v>
      </c>
      <c r="H228" s="2">
        <v>44963</v>
      </c>
    </row>
    <row r="229" spans="1:8">
      <c r="A229">
        <v>24</v>
      </c>
      <c r="B229" t="s">
        <v>12</v>
      </c>
      <c r="C229" t="s">
        <v>15</v>
      </c>
      <c r="D229" t="s">
        <v>24</v>
      </c>
      <c r="E229" t="s">
        <v>22</v>
      </c>
      <c r="F229">
        <v>1046</v>
      </c>
      <c r="G229">
        <v>13</v>
      </c>
      <c r="H229" s="2">
        <v>44929</v>
      </c>
    </row>
    <row r="230" spans="1:8">
      <c r="A230">
        <v>28</v>
      </c>
      <c r="B230" t="s">
        <v>8</v>
      </c>
      <c r="C230" t="s">
        <v>15</v>
      </c>
      <c r="D230" t="s">
        <v>10</v>
      </c>
      <c r="E230" t="s">
        <v>18</v>
      </c>
      <c r="F230">
        <v>963</v>
      </c>
      <c r="G230">
        <v>8</v>
      </c>
      <c r="H230" s="2">
        <v>45426</v>
      </c>
    </row>
    <row r="231" spans="1:8">
      <c r="A231">
        <v>58</v>
      </c>
      <c r="B231" t="s">
        <v>8</v>
      </c>
      <c r="C231" t="s">
        <v>9</v>
      </c>
      <c r="D231" t="s">
        <v>16</v>
      </c>
      <c r="E231" t="s">
        <v>11</v>
      </c>
      <c r="F231">
        <v>790</v>
      </c>
      <c r="G231">
        <v>9</v>
      </c>
      <c r="H231" s="2">
        <v>45121</v>
      </c>
    </row>
    <row r="232" spans="1:8">
      <c r="A232">
        <v>37</v>
      </c>
      <c r="B232" t="s">
        <v>8</v>
      </c>
      <c r="C232" t="s">
        <v>9</v>
      </c>
      <c r="D232" t="s">
        <v>14</v>
      </c>
      <c r="E232" t="s">
        <v>11</v>
      </c>
      <c r="F232">
        <v>1516</v>
      </c>
      <c r="G232">
        <v>16</v>
      </c>
      <c r="H232" s="2">
        <v>45519</v>
      </c>
    </row>
    <row r="233" spans="1:8">
      <c r="A233">
        <v>28</v>
      </c>
      <c r="B233" t="s">
        <v>12</v>
      </c>
      <c r="C233" t="s">
        <v>13</v>
      </c>
      <c r="D233" t="s">
        <v>20</v>
      </c>
      <c r="E233" t="s">
        <v>11</v>
      </c>
      <c r="F233">
        <v>666</v>
      </c>
      <c r="G233">
        <v>19</v>
      </c>
      <c r="H233" s="2">
        <v>45573</v>
      </c>
    </row>
    <row r="234" spans="1:8">
      <c r="A234">
        <v>79</v>
      </c>
      <c r="B234" t="s">
        <v>12</v>
      </c>
      <c r="C234" t="s">
        <v>15</v>
      </c>
      <c r="D234" t="s">
        <v>17</v>
      </c>
      <c r="E234" t="s">
        <v>11</v>
      </c>
      <c r="F234">
        <v>1272</v>
      </c>
      <c r="G234">
        <v>16</v>
      </c>
      <c r="H234" s="2">
        <v>44941</v>
      </c>
    </row>
    <row r="235" spans="1:8">
      <c r="A235">
        <v>76</v>
      </c>
      <c r="B235" t="s">
        <v>8</v>
      </c>
      <c r="C235" t="s">
        <v>25</v>
      </c>
      <c r="D235" t="s">
        <v>17</v>
      </c>
      <c r="E235" t="s">
        <v>11</v>
      </c>
      <c r="F235">
        <v>1146</v>
      </c>
      <c r="G235">
        <v>7</v>
      </c>
      <c r="H235" s="2">
        <v>45495</v>
      </c>
    </row>
    <row r="236" spans="1:8">
      <c r="A236">
        <v>40</v>
      </c>
      <c r="B236" t="s">
        <v>12</v>
      </c>
      <c r="C236" t="s">
        <v>15</v>
      </c>
      <c r="D236" t="s">
        <v>24</v>
      </c>
      <c r="E236" t="s">
        <v>22</v>
      </c>
      <c r="F236">
        <v>1039</v>
      </c>
      <c r="G236">
        <v>14</v>
      </c>
      <c r="H236" s="2">
        <v>45073</v>
      </c>
    </row>
    <row r="237" spans="1:8">
      <c r="A237">
        <v>42</v>
      </c>
      <c r="B237" t="s">
        <v>8</v>
      </c>
      <c r="C237" t="s">
        <v>25</v>
      </c>
      <c r="D237" t="s">
        <v>17</v>
      </c>
      <c r="E237" t="s">
        <v>11</v>
      </c>
      <c r="F237">
        <v>1345</v>
      </c>
      <c r="G237">
        <v>14</v>
      </c>
      <c r="H237" s="2">
        <v>45212</v>
      </c>
    </row>
    <row r="238" spans="1:8">
      <c r="A238">
        <v>29</v>
      </c>
      <c r="B238" t="s">
        <v>8</v>
      </c>
      <c r="C238" t="s">
        <v>15</v>
      </c>
      <c r="D238" t="s">
        <v>16</v>
      </c>
      <c r="E238" t="s">
        <v>11</v>
      </c>
      <c r="F238">
        <v>848</v>
      </c>
      <c r="G238">
        <v>4</v>
      </c>
      <c r="H238" s="2">
        <v>45308</v>
      </c>
    </row>
    <row r="239" spans="1:8">
      <c r="A239">
        <v>22</v>
      </c>
      <c r="B239" t="s">
        <v>12</v>
      </c>
      <c r="C239" t="s">
        <v>15</v>
      </c>
      <c r="D239" t="s">
        <v>10</v>
      </c>
      <c r="E239" t="s">
        <v>11</v>
      </c>
      <c r="F239">
        <v>1145</v>
      </c>
      <c r="G239">
        <v>15</v>
      </c>
      <c r="H239" s="2">
        <v>45372</v>
      </c>
    </row>
    <row r="240" spans="1:8">
      <c r="A240">
        <v>70</v>
      </c>
      <c r="B240" t="s">
        <v>8</v>
      </c>
      <c r="C240" t="s">
        <v>23</v>
      </c>
      <c r="D240" t="s">
        <v>16</v>
      </c>
      <c r="E240" t="s">
        <v>11</v>
      </c>
      <c r="F240">
        <v>704</v>
      </c>
      <c r="G240">
        <v>3</v>
      </c>
      <c r="H240" s="2">
        <v>45131</v>
      </c>
    </row>
    <row r="241" spans="1:8">
      <c r="A241">
        <v>58</v>
      </c>
      <c r="B241" t="s">
        <v>8</v>
      </c>
      <c r="C241" t="s">
        <v>26</v>
      </c>
      <c r="D241" t="s">
        <v>24</v>
      </c>
      <c r="E241" t="s">
        <v>11</v>
      </c>
      <c r="F241">
        <v>1083</v>
      </c>
      <c r="G241">
        <v>5</v>
      </c>
      <c r="H241" s="2">
        <v>45568</v>
      </c>
    </row>
    <row r="242" spans="1:8">
      <c r="A242">
        <v>39</v>
      </c>
      <c r="B242" t="s">
        <v>8</v>
      </c>
      <c r="C242" t="s">
        <v>13</v>
      </c>
      <c r="D242" t="s">
        <v>16</v>
      </c>
      <c r="E242" t="s">
        <v>11</v>
      </c>
      <c r="F242">
        <v>719</v>
      </c>
      <c r="G242">
        <v>1</v>
      </c>
      <c r="H242" s="2">
        <v>45297</v>
      </c>
    </row>
    <row r="243" spans="1:8">
      <c r="A243">
        <v>65</v>
      </c>
      <c r="B243" t="s">
        <v>8</v>
      </c>
      <c r="C243" t="s">
        <v>19</v>
      </c>
      <c r="D243" t="s">
        <v>10</v>
      </c>
      <c r="E243" t="s">
        <v>11</v>
      </c>
      <c r="F243">
        <v>945</v>
      </c>
      <c r="G243">
        <v>3</v>
      </c>
      <c r="H243" s="2">
        <v>45112</v>
      </c>
    </row>
    <row r="244" spans="1:8">
      <c r="A244">
        <v>45</v>
      </c>
      <c r="B244" t="s">
        <v>8</v>
      </c>
      <c r="C244" t="s">
        <v>21</v>
      </c>
      <c r="D244" t="s">
        <v>14</v>
      </c>
      <c r="E244" t="s">
        <v>18</v>
      </c>
      <c r="F244">
        <v>1411</v>
      </c>
      <c r="G244">
        <v>15</v>
      </c>
      <c r="H244" s="2">
        <v>45068</v>
      </c>
    </row>
    <row r="245" spans="1:8">
      <c r="A245">
        <v>37</v>
      </c>
      <c r="B245" t="s">
        <v>12</v>
      </c>
      <c r="C245" t="s">
        <v>15</v>
      </c>
      <c r="D245" t="s">
        <v>24</v>
      </c>
      <c r="E245" t="s">
        <v>22</v>
      </c>
      <c r="F245">
        <v>969</v>
      </c>
      <c r="G245">
        <v>8</v>
      </c>
      <c r="H245" s="2">
        <v>45317</v>
      </c>
    </row>
    <row r="246" spans="1:8">
      <c r="A246">
        <v>72</v>
      </c>
      <c r="B246" t="s">
        <v>12</v>
      </c>
      <c r="C246" t="s">
        <v>26</v>
      </c>
      <c r="D246" t="s">
        <v>14</v>
      </c>
      <c r="E246" t="s">
        <v>11</v>
      </c>
      <c r="F246">
        <v>1416</v>
      </c>
      <c r="G246">
        <v>4</v>
      </c>
      <c r="H246" s="2">
        <v>44943</v>
      </c>
    </row>
    <row r="247" spans="1:8">
      <c r="A247">
        <v>37</v>
      </c>
      <c r="B247" t="s">
        <v>8</v>
      </c>
      <c r="C247" t="s">
        <v>9</v>
      </c>
      <c r="D247" t="s">
        <v>20</v>
      </c>
      <c r="E247" t="s">
        <v>11</v>
      </c>
      <c r="F247">
        <v>546</v>
      </c>
      <c r="G247">
        <v>2</v>
      </c>
      <c r="H247" s="2">
        <v>44949</v>
      </c>
    </row>
    <row r="248" spans="1:8">
      <c r="A248">
        <v>18</v>
      </c>
      <c r="B248" t="s">
        <v>12</v>
      </c>
      <c r="C248" t="s">
        <v>23</v>
      </c>
      <c r="D248" t="s">
        <v>14</v>
      </c>
      <c r="E248" t="s">
        <v>18</v>
      </c>
      <c r="F248">
        <v>1553</v>
      </c>
      <c r="G248">
        <v>10</v>
      </c>
      <c r="H248" s="2">
        <v>45255</v>
      </c>
    </row>
    <row r="249" spans="1:8">
      <c r="A249">
        <v>25</v>
      </c>
      <c r="B249" t="s">
        <v>12</v>
      </c>
      <c r="C249" t="s">
        <v>25</v>
      </c>
      <c r="D249" t="s">
        <v>20</v>
      </c>
      <c r="E249" t="s">
        <v>11</v>
      </c>
      <c r="F249">
        <v>507</v>
      </c>
      <c r="G249">
        <v>4</v>
      </c>
      <c r="H249" s="2">
        <v>45171</v>
      </c>
    </row>
    <row r="250" spans="1:8">
      <c r="A250">
        <v>52</v>
      </c>
      <c r="B250" t="s">
        <v>12</v>
      </c>
      <c r="C250" t="s">
        <v>23</v>
      </c>
      <c r="D250" t="s">
        <v>20</v>
      </c>
      <c r="E250" t="s">
        <v>11</v>
      </c>
      <c r="F250">
        <v>635</v>
      </c>
      <c r="G250">
        <v>3</v>
      </c>
      <c r="H250" s="2">
        <v>45256</v>
      </c>
    </row>
    <row r="251" spans="1:8">
      <c r="A251">
        <v>24</v>
      </c>
      <c r="B251" t="s">
        <v>8</v>
      </c>
      <c r="C251" t="s">
        <v>9</v>
      </c>
      <c r="D251" t="s">
        <v>14</v>
      </c>
      <c r="E251" t="s">
        <v>18</v>
      </c>
      <c r="F251">
        <v>1469</v>
      </c>
      <c r="G251">
        <v>2</v>
      </c>
      <c r="H251" s="2">
        <v>45000</v>
      </c>
    </row>
    <row r="252" spans="1:8">
      <c r="A252">
        <v>12</v>
      </c>
      <c r="B252" t="s">
        <v>8</v>
      </c>
      <c r="C252" t="s">
        <v>9</v>
      </c>
      <c r="D252" t="s">
        <v>24</v>
      </c>
      <c r="E252" t="s">
        <v>11</v>
      </c>
      <c r="F252">
        <v>1082</v>
      </c>
      <c r="G252">
        <v>17</v>
      </c>
      <c r="H252" s="2">
        <v>45051</v>
      </c>
    </row>
    <row r="253" spans="1:8">
      <c r="A253">
        <v>11</v>
      </c>
      <c r="B253" t="s">
        <v>8</v>
      </c>
      <c r="C253" t="s">
        <v>25</v>
      </c>
      <c r="D253" t="s">
        <v>10</v>
      </c>
      <c r="E253" t="s">
        <v>11</v>
      </c>
      <c r="F253">
        <v>1149</v>
      </c>
      <c r="G253">
        <v>20</v>
      </c>
      <c r="H253" s="2">
        <v>45622</v>
      </c>
    </row>
    <row r="254" spans="1:8">
      <c r="A254">
        <v>71</v>
      </c>
      <c r="B254" t="s">
        <v>8</v>
      </c>
      <c r="C254" t="s">
        <v>15</v>
      </c>
      <c r="D254" t="s">
        <v>16</v>
      </c>
      <c r="E254" t="s">
        <v>11</v>
      </c>
      <c r="F254">
        <v>927</v>
      </c>
      <c r="G254">
        <v>13</v>
      </c>
      <c r="H254" s="2">
        <v>45219</v>
      </c>
    </row>
    <row r="255" spans="1:8">
      <c r="A255">
        <v>21</v>
      </c>
      <c r="B255" t="s">
        <v>8</v>
      </c>
      <c r="C255" t="s">
        <v>26</v>
      </c>
      <c r="D255" t="s">
        <v>16</v>
      </c>
      <c r="E255" t="s">
        <v>11</v>
      </c>
      <c r="F255">
        <v>801</v>
      </c>
      <c r="G255">
        <v>5</v>
      </c>
      <c r="H255" s="2">
        <v>45632</v>
      </c>
    </row>
    <row r="256" spans="1:8">
      <c r="A256">
        <v>37</v>
      </c>
      <c r="B256" t="s">
        <v>12</v>
      </c>
      <c r="C256" t="s">
        <v>23</v>
      </c>
      <c r="D256" t="s">
        <v>10</v>
      </c>
      <c r="E256" t="s">
        <v>11</v>
      </c>
      <c r="F256">
        <v>974</v>
      </c>
      <c r="G256">
        <v>9</v>
      </c>
      <c r="H256" s="2">
        <v>45541</v>
      </c>
    </row>
    <row r="257" spans="1:8">
      <c r="A257">
        <v>52</v>
      </c>
      <c r="B257" t="s">
        <v>8</v>
      </c>
      <c r="C257" t="s">
        <v>15</v>
      </c>
      <c r="D257" t="s">
        <v>20</v>
      </c>
      <c r="E257" t="s">
        <v>18</v>
      </c>
      <c r="F257">
        <v>615</v>
      </c>
      <c r="G257">
        <v>6</v>
      </c>
      <c r="H257" s="2">
        <v>45470</v>
      </c>
    </row>
    <row r="258" spans="1:8">
      <c r="A258">
        <v>63</v>
      </c>
      <c r="B258" t="s">
        <v>12</v>
      </c>
      <c r="C258" t="s">
        <v>23</v>
      </c>
      <c r="D258" t="s">
        <v>20</v>
      </c>
      <c r="E258" t="s">
        <v>11</v>
      </c>
      <c r="F258">
        <v>602</v>
      </c>
      <c r="G258">
        <v>5</v>
      </c>
      <c r="H258" s="2">
        <v>45278</v>
      </c>
    </row>
    <row r="259" spans="1:8">
      <c r="A259">
        <v>26</v>
      </c>
      <c r="B259" t="s">
        <v>8</v>
      </c>
      <c r="C259" t="s">
        <v>9</v>
      </c>
      <c r="D259" t="s">
        <v>24</v>
      </c>
      <c r="E259" t="s">
        <v>11</v>
      </c>
      <c r="F259">
        <v>1091</v>
      </c>
      <c r="G259">
        <v>10</v>
      </c>
      <c r="H259" s="2">
        <v>45187</v>
      </c>
    </row>
    <row r="260" spans="1:8">
      <c r="A260">
        <v>34</v>
      </c>
      <c r="B260" t="s">
        <v>8</v>
      </c>
      <c r="C260" t="s">
        <v>23</v>
      </c>
      <c r="D260" t="s">
        <v>17</v>
      </c>
      <c r="E260" t="s">
        <v>18</v>
      </c>
      <c r="F260">
        <v>1348</v>
      </c>
      <c r="G260">
        <v>8</v>
      </c>
      <c r="H260" s="2">
        <v>45508</v>
      </c>
    </row>
    <row r="261" spans="1:8">
      <c r="A261">
        <v>42</v>
      </c>
      <c r="B261" t="s">
        <v>12</v>
      </c>
      <c r="C261" t="s">
        <v>23</v>
      </c>
      <c r="D261" t="s">
        <v>14</v>
      </c>
      <c r="E261" t="s">
        <v>11</v>
      </c>
      <c r="F261">
        <v>1641</v>
      </c>
      <c r="G261">
        <v>7</v>
      </c>
      <c r="H261" s="2">
        <v>45155</v>
      </c>
    </row>
    <row r="262" spans="1:8">
      <c r="A262">
        <v>55</v>
      </c>
      <c r="B262" t="s">
        <v>12</v>
      </c>
      <c r="C262" t="s">
        <v>15</v>
      </c>
      <c r="D262" t="s">
        <v>20</v>
      </c>
      <c r="E262" t="s">
        <v>11</v>
      </c>
      <c r="F262">
        <v>578</v>
      </c>
      <c r="G262">
        <v>7</v>
      </c>
      <c r="H262" s="2">
        <v>45316</v>
      </c>
    </row>
    <row r="263" spans="1:8">
      <c r="A263">
        <v>58</v>
      </c>
      <c r="B263" t="s">
        <v>12</v>
      </c>
      <c r="C263" t="s">
        <v>9</v>
      </c>
      <c r="D263" t="s">
        <v>16</v>
      </c>
      <c r="E263" t="s">
        <v>22</v>
      </c>
      <c r="F263">
        <v>918</v>
      </c>
      <c r="G263">
        <v>6</v>
      </c>
      <c r="H263" s="2">
        <v>45183</v>
      </c>
    </row>
    <row r="264" spans="1:8">
      <c r="A264">
        <v>12</v>
      </c>
      <c r="B264" t="s">
        <v>12</v>
      </c>
      <c r="C264" t="s">
        <v>21</v>
      </c>
      <c r="D264" t="s">
        <v>24</v>
      </c>
      <c r="E264" t="s">
        <v>11</v>
      </c>
      <c r="F264">
        <v>981</v>
      </c>
      <c r="G264">
        <v>20</v>
      </c>
      <c r="H264" s="2">
        <v>45091</v>
      </c>
    </row>
    <row r="265" spans="1:8">
      <c r="A265">
        <v>31</v>
      </c>
      <c r="B265" t="s">
        <v>12</v>
      </c>
      <c r="C265" t="s">
        <v>15</v>
      </c>
      <c r="D265" t="s">
        <v>14</v>
      </c>
      <c r="E265" t="s">
        <v>18</v>
      </c>
      <c r="F265">
        <v>1491</v>
      </c>
      <c r="G265">
        <v>3</v>
      </c>
      <c r="H265" s="2">
        <v>45548</v>
      </c>
    </row>
    <row r="266" spans="1:8">
      <c r="A266">
        <v>31</v>
      </c>
      <c r="B266" t="s">
        <v>8</v>
      </c>
      <c r="C266" t="s">
        <v>19</v>
      </c>
      <c r="D266" t="s">
        <v>24</v>
      </c>
      <c r="E266" t="s">
        <v>18</v>
      </c>
      <c r="F266">
        <v>1074</v>
      </c>
      <c r="G266">
        <v>19</v>
      </c>
      <c r="H266" s="2">
        <v>45358</v>
      </c>
    </row>
    <row r="267" spans="1:8">
      <c r="A267">
        <v>25</v>
      </c>
      <c r="B267" t="s">
        <v>8</v>
      </c>
      <c r="C267" t="s">
        <v>9</v>
      </c>
      <c r="D267" t="s">
        <v>14</v>
      </c>
      <c r="E267" t="s">
        <v>11</v>
      </c>
      <c r="F267">
        <v>1638</v>
      </c>
      <c r="G267">
        <v>15</v>
      </c>
      <c r="H267" s="2">
        <v>45638</v>
      </c>
    </row>
    <row r="268" spans="1:8">
      <c r="A268">
        <v>34</v>
      </c>
      <c r="B268" t="s">
        <v>8</v>
      </c>
      <c r="C268" t="s">
        <v>9</v>
      </c>
      <c r="D268" t="s">
        <v>14</v>
      </c>
      <c r="E268" t="s">
        <v>11</v>
      </c>
      <c r="F268">
        <v>1659</v>
      </c>
      <c r="G268">
        <v>4</v>
      </c>
      <c r="H268" s="2">
        <v>45008</v>
      </c>
    </row>
    <row r="269" spans="1:8">
      <c r="A269">
        <v>32</v>
      </c>
      <c r="B269" t="s">
        <v>8</v>
      </c>
      <c r="C269" t="s">
        <v>9</v>
      </c>
      <c r="D269" t="s">
        <v>10</v>
      </c>
      <c r="E269" t="s">
        <v>22</v>
      </c>
      <c r="F269">
        <v>1062</v>
      </c>
      <c r="G269">
        <v>12</v>
      </c>
      <c r="H269" s="2">
        <v>45458</v>
      </c>
    </row>
    <row r="270" spans="1:8">
      <c r="A270">
        <v>68</v>
      </c>
      <c r="B270" t="s">
        <v>8</v>
      </c>
      <c r="C270" t="s">
        <v>9</v>
      </c>
      <c r="D270" t="s">
        <v>20</v>
      </c>
      <c r="E270" t="s">
        <v>11</v>
      </c>
      <c r="F270">
        <v>447</v>
      </c>
      <c r="G270">
        <v>6</v>
      </c>
      <c r="H270" s="2">
        <v>45188</v>
      </c>
    </row>
    <row r="271" spans="1:8">
      <c r="A271">
        <v>73</v>
      </c>
      <c r="B271" t="s">
        <v>8</v>
      </c>
      <c r="C271" t="s">
        <v>15</v>
      </c>
      <c r="D271" t="s">
        <v>24</v>
      </c>
      <c r="E271" t="s">
        <v>18</v>
      </c>
      <c r="F271">
        <v>1015</v>
      </c>
      <c r="G271">
        <v>19</v>
      </c>
      <c r="H271" s="2">
        <v>45118</v>
      </c>
    </row>
    <row r="272" spans="1:8">
      <c r="A272">
        <v>65</v>
      </c>
      <c r="B272" t="s">
        <v>12</v>
      </c>
      <c r="C272" t="s">
        <v>23</v>
      </c>
      <c r="D272" t="s">
        <v>24</v>
      </c>
      <c r="E272" t="s">
        <v>11</v>
      </c>
      <c r="F272">
        <v>1124</v>
      </c>
      <c r="G272">
        <v>4</v>
      </c>
      <c r="H272" s="2">
        <v>45000</v>
      </c>
    </row>
    <row r="273" spans="1:8">
      <c r="A273">
        <v>52</v>
      </c>
      <c r="B273" t="s">
        <v>8</v>
      </c>
      <c r="C273" t="s">
        <v>15</v>
      </c>
      <c r="D273" t="s">
        <v>10</v>
      </c>
      <c r="E273" t="s">
        <v>11</v>
      </c>
      <c r="F273">
        <v>1046</v>
      </c>
      <c r="G273">
        <v>15</v>
      </c>
      <c r="H273" s="2">
        <v>45363</v>
      </c>
    </row>
    <row r="274" spans="1:8">
      <c r="A274">
        <v>23</v>
      </c>
      <c r="B274" t="s">
        <v>12</v>
      </c>
      <c r="C274" t="s">
        <v>15</v>
      </c>
      <c r="D274" t="s">
        <v>16</v>
      </c>
      <c r="E274" t="s">
        <v>11</v>
      </c>
      <c r="F274">
        <v>762</v>
      </c>
      <c r="G274">
        <v>9</v>
      </c>
      <c r="H274" s="2">
        <v>45325</v>
      </c>
    </row>
    <row r="275" spans="1:8">
      <c r="A275">
        <v>8</v>
      </c>
      <c r="B275" t="s">
        <v>8</v>
      </c>
      <c r="C275" t="s">
        <v>15</v>
      </c>
      <c r="D275" t="s">
        <v>16</v>
      </c>
      <c r="E275" t="s">
        <v>22</v>
      </c>
      <c r="F275">
        <v>993</v>
      </c>
      <c r="G275">
        <v>5</v>
      </c>
      <c r="H275" s="2">
        <v>45552</v>
      </c>
    </row>
    <row r="276" spans="1:8">
      <c r="A276">
        <v>39</v>
      </c>
      <c r="B276" t="s">
        <v>8</v>
      </c>
      <c r="C276" t="s">
        <v>15</v>
      </c>
      <c r="D276" t="s">
        <v>20</v>
      </c>
      <c r="E276" t="s">
        <v>22</v>
      </c>
      <c r="F276">
        <v>412</v>
      </c>
      <c r="G276">
        <v>13</v>
      </c>
      <c r="H276" s="2">
        <v>44988</v>
      </c>
    </row>
    <row r="277" spans="1:8">
      <c r="A277">
        <v>68</v>
      </c>
      <c r="B277" t="s">
        <v>8</v>
      </c>
      <c r="C277" t="s">
        <v>9</v>
      </c>
      <c r="D277" t="s">
        <v>20</v>
      </c>
      <c r="E277" t="s">
        <v>11</v>
      </c>
      <c r="F277">
        <v>588</v>
      </c>
      <c r="G277">
        <v>18</v>
      </c>
      <c r="H277" s="2">
        <v>45249</v>
      </c>
    </row>
    <row r="278" spans="1:8">
      <c r="A278">
        <v>53</v>
      </c>
      <c r="B278" t="s">
        <v>12</v>
      </c>
      <c r="C278" t="s">
        <v>19</v>
      </c>
      <c r="D278" t="s">
        <v>17</v>
      </c>
      <c r="E278" t="s">
        <v>11</v>
      </c>
      <c r="F278">
        <v>1386</v>
      </c>
      <c r="G278">
        <v>5</v>
      </c>
      <c r="H278" s="2">
        <v>45432</v>
      </c>
    </row>
    <row r="279" spans="1:8">
      <c r="A279">
        <v>21</v>
      </c>
      <c r="B279" t="s">
        <v>8</v>
      </c>
      <c r="C279" t="s">
        <v>25</v>
      </c>
      <c r="D279" t="s">
        <v>10</v>
      </c>
      <c r="E279" t="s">
        <v>18</v>
      </c>
      <c r="F279">
        <v>1107</v>
      </c>
      <c r="G279">
        <v>16</v>
      </c>
      <c r="H279" s="2">
        <v>45173</v>
      </c>
    </row>
    <row r="280" spans="1:8">
      <c r="A280">
        <v>48</v>
      </c>
      <c r="B280" t="s">
        <v>8</v>
      </c>
      <c r="C280" t="s">
        <v>15</v>
      </c>
      <c r="D280" t="s">
        <v>16</v>
      </c>
      <c r="E280" t="s">
        <v>11</v>
      </c>
      <c r="F280">
        <v>813</v>
      </c>
      <c r="G280">
        <v>19</v>
      </c>
      <c r="H280" s="2">
        <v>45141</v>
      </c>
    </row>
    <row r="281" spans="1:8">
      <c r="A281">
        <v>34</v>
      </c>
      <c r="B281" t="s">
        <v>12</v>
      </c>
      <c r="C281" t="s">
        <v>13</v>
      </c>
      <c r="D281" t="s">
        <v>14</v>
      </c>
      <c r="E281" t="s">
        <v>11</v>
      </c>
      <c r="F281">
        <v>1421</v>
      </c>
      <c r="G281">
        <v>14</v>
      </c>
      <c r="H281" s="2">
        <v>45348</v>
      </c>
    </row>
    <row r="282" spans="1:8">
      <c r="A282">
        <v>50</v>
      </c>
      <c r="B282" t="s">
        <v>12</v>
      </c>
      <c r="C282" t="s">
        <v>23</v>
      </c>
      <c r="D282" t="s">
        <v>24</v>
      </c>
      <c r="E282" t="s">
        <v>11</v>
      </c>
      <c r="F282">
        <v>1113</v>
      </c>
      <c r="G282">
        <v>16</v>
      </c>
      <c r="H282" s="2">
        <v>45367</v>
      </c>
    </row>
    <row r="283" spans="1:8">
      <c r="A283">
        <v>10</v>
      </c>
      <c r="B283" t="s">
        <v>8</v>
      </c>
      <c r="C283" t="s">
        <v>9</v>
      </c>
      <c r="D283" t="s">
        <v>20</v>
      </c>
      <c r="E283" t="s">
        <v>11</v>
      </c>
      <c r="F283">
        <v>570</v>
      </c>
      <c r="G283">
        <v>15</v>
      </c>
      <c r="H283" s="2">
        <v>45334</v>
      </c>
    </row>
    <row r="284" spans="1:8">
      <c r="A284">
        <v>41</v>
      </c>
      <c r="B284" t="s">
        <v>12</v>
      </c>
      <c r="C284" t="s">
        <v>21</v>
      </c>
      <c r="D284" t="s">
        <v>24</v>
      </c>
      <c r="E284" t="s">
        <v>22</v>
      </c>
      <c r="F284">
        <v>953</v>
      </c>
      <c r="G284">
        <v>4</v>
      </c>
      <c r="H284" s="2">
        <v>45146</v>
      </c>
    </row>
    <row r="285" spans="1:8">
      <c r="A285">
        <v>28</v>
      </c>
      <c r="B285" t="s">
        <v>8</v>
      </c>
      <c r="C285" t="s">
        <v>26</v>
      </c>
      <c r="D285" t="s">
        <v>24</v>
      </c>
      <c r="E285" t="s">
        <v>11</v>
      </c>
      <c r="F285">
        <v>1197</v>
      </c>
      <c r="G285">
        <v>7</v>
      </c>
      <c r="H285" s="2">
        <v>45101</v>
      </c>
    </row>
    <row r="286" spans="1:8">
      <c r="A286">
        <v>50</v>
      </c>
      <c r="B286" t="s">
        <v>12</v>
      </c>
      <c r="C286" t="s">
        <v>15</v>
      </c>
      <c r="D286" t="s">
        <v>17</v>
      </c>
      <c r="E286" t="s">
        <v>11</v>
      </c>
      <c r="F286">
        <v>1225</v>
      </c>
      <c r="G286">
        <v>16</v>
      </c>
      <c r="H286" s="2">
        <v>45094</v>
      </c>
    </row>
    <row r="287" spans="1:8">
      <c r="A287">
        <v>57</v>
      </c>
      <c r="B287" t="s">
        <v>12</v>
      </c>
      <c r="C287" t="s">
        <v>9</v>
      </c>
      <c r="D287" t="s">
        <v>16</v>
      </c>
      <c r="E287" t="s">
        <v>11</v>
      </c>
      <c r="F287">
        <v>976</v>
      </c>
      <c r="G287">
        <v>8</v>
      </c>
      <c r="H287" s="2">
        <v>45267</v>
      </c>
    </row>
    <row r="288" spans="1:8">
      <c r="A288">
        <v>64</v>
      </c>
      <c r="B288" t="s">
        <v>8</v>
      </c>
      <c r="C288" t="s">
        <v>21</v>
      </c>
      <c r="D288" t="s">
        <v>20</v>
      </c>
      <c r="E288" t="s">
        <v>18</v>
      </c>
      <c r="F288">
        <v>603</v>
      </c>
      <c r="G288">
        <v>17</v>
      </c>
      <c r="H288" s="2">
        <v>45180</v>
      </c>
    </row>
    <row r="289" spans="1:8">
      <c r="A289">
        <v>67</v>
      </c>
      <c r="B289" t="s">
        <v>12</v>
      </c>
      <c r="C289" t="s">
        <v>23</v>
      </c>
      <c r="D289" t="s">
        <v>24</v>
      </c>
      <c r="E289" t="s">
        <v>11</v>
      </c>
      <c r="F289">
        <v>1093</v>
      </c>
      <c r="G289">
        <v>16</v>
      </c>
      <c r="H289" s="2">
        <v>45522</v>
      </c>
    </row>
    <row r="290" spans="1:8">
      <c r="A290">
        <v>36</v>
      </c>
      <c r="B290" t="s">
        <v>8</v>
      </c>
      <c r="C290" t="s">
        <v>15</v>
      </c>
      <c r="D290" t="s">
        <v>20</v>
      </c>
      <c r="E290" t="s">
        <v>11</v>
      </c>
      <c r="F290">
        <v>568</v>
      </c>
      <c r="G290">
        <v>10</v>
      </c>
      <c r="H290" s="2">
        <v>45017</v>
      </c>
    </row>
    <row r="291" spans="1:8">
      <c r="A291">
        <v>37</v>
      </c>
      <c r="B291" t="s">
        <v>12</v>
      </c>
      <c r="C291" t="s">
        <v>25</v>
      </c>
      <c r="D291" t="s">
        <v>14</v>
      </c>
      <c r="E291" t="s">
        <v>11</v>
      </c>
      <c r="F291">
        <v>1551</v>
      </c>
      <c r="G291">
        <v>10</v>
      </c>
      <c r="H291" s="2">
        <v>45263</v>
      </c>
    </row>
    <row r="292" spans="1:8">
      <c r="A292">
        <v>71</v>
      </c>
      <c r="B292" t="s">
        <v>12</v>
      </c>
      <c r="C292" t="s">
        <v>25</v>
      </c>
      <c r="D292" t="s">
        <v>17</v>
      </c>
      <c r="E292" t="s">
        <v>18</v>
      </c>
      <c r="F292">
        <v>1134</v>
      </c>
      <c r="G292">
        <v>2</v>
      </c>
      <c r="H292" s="2">
        <v>45020</v>
      </c>
    </row>
    <row r="293" spans="1:8">
      <c r="A293">
        <v>22</v>
      </c>
      <c r="B293" t="s">
        <v>8</v>
      </c>
      <c r="C293" t="s">
        <v>23</v>
      </c>
      <c r="D293" t="s">
        <v>14</v>
      </c>
      <c r="E293" t="s">
        <v>11</v>
      </c>
      <c r="F293">
        <v>1583</v>
      </c>
      <c r="G293">
        <v>9</v>
      </c>
      <c r="H293" s="2">
        <v>45548</v>
      </c>
    </row>
    <row r="294" spans="1:8">
      <c r="A294">
        <v>29</v>
      </c>
      <c r="B294" t="s">
        <v>12</v>
      </c>
      <c r="C294" t="s">
        <v>25</v>
      </c>
      <c r="D294" t="s">
        <v>20</v>
      </c>
      <c r="E294" t="s">
        <v>11</v>
      </c>
      <c r="F294">
        <v>685</v>
      </c>
      <c r="G294">
        <v>17</v>
      </c>
      <c r="H294" s="2">
        <v>45297</v>
      </c>
    </row>
    <row r="295" spans="1:8">
      <c r="A295">
        <v>58</v>
      </c>
      <c r="B295" t="s">
        <v>8</v>
      </c>
      <c r="C295" t="s">
        <v>25</v>
      </c>
      <c r="D295" t="s">
        <v>20</v>
      </c>
      <c r="E295" t="s">
        <v>11</v>
      </c>
      <c r="F295">
        <v>456</v>
      </c>
      <c r="G295">
        <v>11</v>
      </c>
      <c r="H295" s="2">
        <v>45348</v>
      </c>
    </row>
    <row r="296" spans="1:8">
      <c r="A296">
        <v>62</v>
      </c>
      <c r="B296" t="s">
        <v>8</v>
      </c>
      <c r="C296" t="s">
        <v>15</v>
      </c>
      <c r="D296" t="s">
        <v>16</v>
      </c>
      <c r="E296" t="s">
        <v>11</v>
      </c>
      <c r="F296">
        <v>921</v>
      </c>
      <c r="G296">
        <v>10</v>
      </c>
      <c r="H296" s="2">
        <v>44971</v>
      </c>
    </row>
    <row r="297" spans="1:8">
      <c r="A297">
        <v>71</v>
      </c>
      <c r="B297" t="s">
        <v>8</v>
      </c>
      <c r="C297" t="s">
        <v>15</v>
      </c>
      <c r="D297" t="s">
        <v>24</v>
      </c>
      <c r="E297" t="s">
        <v>11</v>
      </c>
      <c r="F297">
        <v>1062</v>
      </c>
      <c r="G297">
        <v>17</v>
      </c>
      <c r="H297" s="2">
        <v>45448</v>
      </c>
    </row>
    <row r="298" spans="1:8">
      <c r="A298">
        <v>50</v>
      </c>
      <c r="B298" t="s">
        <v>12</v>
      </c>
      <c r="C298" t="s">
        <v>19</v>
      </c>
      <c r="D298" t="s">
        <v>24</v>
      </c>
      <c r="E298" t="s">
        <v>18</v>
      </c>
      <c r="F298">
        <v>918</v>
      </c>
      <c r="G298">
        <v>4</v>
      </c>
      <c r="H298" s="2">
        <v>45398</v>
      </c>
    </row>
    <row r="299" spans="1:8">
      <c r="A299">
        <v>28</v>
      </c>
      <c r="B299" t="s">
        <v>12</v>
      </c>
      <c r="C299" t="s">
        <v>21</v>
      </c>
      <c r="D299" t="s">
        <v>14</v>
      </c>
      <c r="E299" t="s">
        <v>11</v>
      </c>
      <c r="F299">
        <v>1663</v>
      </c>
      <c r="G299">
        <v>16</v>
      </c>
      <c r="H299" s="2">
        <v>45611</v>
      </c>
    </row>
    <row r="300" spans="1:8">
      <c r="A300">
        <v>36</v>
      </c>
      <c r="B300" t="s">
        <v>8</v>
      </c>
      <c r="C300" t="s">
        <v>15</v>
      </c>
      <c r="D300" t="s">
        <v>17</v>
      </c>
      <c r="E300" t="s">
        <v>18</v>
      </c>
      <c r="F300">
        <v>1381</v>
      </c>
      <c r="G300">
        <v>20</v>
      </c>
      <c r="H300" s="2">
        <v>45214</v>
      </c>
    </row>
    <row r="301" spans="1:8">
      <c r="A301">
        <v>51</v>
      </c>
      <c r="B301" t="s">
        <v>8</v>
      </c>
      <c r="C301" t="s">
        <v>19</v>
      </c>
      <c r="D301" t="s">
        <v>10</v>
      </c>
      <c r="E301" t="s">
        <v>11</v>
      </c>
      <c r="F301">
        <v>1012</v>
      </c>
      <c r="G301">
        <v>15</v>
      </c>
      <c r="H301" s="2">
        <v>45355</v>
      </c>
    </row>
    <row r="302" spans="1:8">
      <c r="A302">
        <v>27</v>
      </c>
      <c r="B302" t="s">
        <v>8</v>
      </c>
      <c r="C302" t="s">
        <v>23</v>
      </c>
      <c r="D302" t="s">
        <v>24</v>
      </c>
      <c r="E302" t="s">
        <v>18</v>
      </c>
      <c r="F302">
        <v>929</v>
      </c>
      <c r="G302">
        <v>5</v>
      </c>
      <c r="H302" s="2">
        <v>44993</v>
      </c>
    </row>
    <row r="303" spans="1:8">
      <c r="A303">
        <v>70</v>
      </c>
      <c r="B303" t="s">
        <v>12</v>
      </c>
      <c r="C303" t="s">
        <v>9</v>
      </c>
      <c r="D303" t="s">
        <v>16</v>
      </c>
      <c r="E303" t="s">
        <v>11</v>
      </c>
      <c r="F303">
        <v>834</v>
      </c>
      <c r="G303">
        <v>6</v>
      </c>
      <c r="H303" s="2">
        <v>45012</v>
      </c>
    </row>
    <row r="304" spans="1:8">
      <c r="A304">
        <v>31</v>
      </c>
      <c r="B304" t="s">
        <v>12</v>
      </c>
      <c r="C304" t="s">
        <v>23</v>
      </c>
      <c r="D304" t="s">
        <v>14</v>
      </c>
      <c r="E304" t="s">
        <v>11</v>
      </c>
      <c r="F304">
        <v>1466</v>
      </c>
      <c r="G304">
        <v>17</v>
      </c>
      <c r="H304" s="2">
        <v>45459</v>
      </c>
    </row>
    <row r="305" spans="1:8">
      <c r="A305">
        <v>6</v>
      </c>
      <c r="B305" t="s">
        <v>8</v>
      </c>
      <c r="C305" t="s">
        <v>13</v>
      </c>
      <c r="D305" t="s">
        <v>14</v>
      </c>
      <c r="E305" t="s">
        <v>22</v>
      </c>
      <c r="F305">
        <v>1464</v>
      </c>
      <c r="G305">
        <v>1</v>
      </c>
      <c r="H305" s="2">
        <v>45154</v>
      </c>
    </row>
    <row r="306" spans="1:8">
      <c r="A306">
        <v>21</v>
      </c>
      <c r="B306" t="s">
        <v>8</v>
      </c>
      <c r="C306" t="s">
        <v>19</v>
      </c>
      <c r="D306" t="s">
        <v>10</v>
      </c>
      <c r="E306" t="s">
        <v>18</v>
      </c>
      <c r="F306">
        <v>1191</v>
      </c>
      <c r="G306">
        <v>19</v>
      </c>
      <c r="H306" s="2">
        <v>45600</v>
      </c>
    </row>
    <row r="307" spans="1:8">
      <c r="A307">
        <v>37</v>
      </c>
      <c r="B307" t="s">
        <v>8</v>
      </c>
      <c r="C307" t="s">
        <v>9</v>
      </c>
      <c r="D307" t="s">
        <v>16</v>
      </c>
      <c r="E307" t="s">
        <v>11</v>
      </c>
      <c r="F307">
        <v>724</v>
      </c>
      <c r="G307">
        <v>4</v>
      </c>
      <c r="H307" s="2">
        <v>45120</v>
      </c>
    </row>
    <row r="308" spans="1:8">
      <c r="A308">
        <v>13</v>
      </c>
      <c r="B308" t="s">
        <v>8</v>
      </c>
      <c r="C308" t="s">
        <v>9</v>
      </c>
      <c r="D308" t="s">
        <v>17</v>
      </c>
      <c r="E308" t="s">
        <v>11</v>
      </c>
      <c r="F308">
        <v>1136</v>
      </c>
      <c r="G308">
        <v>17</v>
      </c>
      <c r="H308" s="2">
        <v>45408</v>
      </c>
    </row>
    <row r="309" spans="1:8">
      <c r="A309">
        <v>47</v>
      </c>
      <c r="B309" t="s">
        <v>8</v>
      </c>
      <c r="C309" t="s">
        <v>19</v>
      </c>
      <c r="D309" t="s">
        <v>16</v>
      </c>
      <c r="E309" t="s">
        <v>18</v>
      </c>
      <c r="F309">
        <v>700</v>
      </c>
      <c r="G309">
        <v>9</v>
      </c>
      <c r="H309" s="2">
        <v>45609</v>
      </c>
    </row>
    <row r="310" spans="1:8">
      <c r="A310">
        <v>52</v>
      </c>
      <c r="B310" t="s">
        <v>12</v>
      </c>
      <c r="C310" t="s">
        <v>9</v>
      </c>
      <c r="D310" t="s">
        <v>17</v>
      </c>
      <c r="E310" t="s">
        <v>11</v>
      </c>
      <c r="F310">
        <v>1136</v>
      </c>
      <c r="G310">
        <v>2</v>
      </c>
      <c r="H310" s="2">
        <v>45628</v>
      </c>
    </row>
    <row r="311" spans="1:8">
      <c r="A311">
        <v>43</v>
      </c>
      <c r="B311" t="s">
        <v>12</v>
      </c>
      <c r="C311" t="s">
        <v>9</v>
      </c>
      <c r="D311" t="s">
        <v>16</v>
      </c>
      <c r="E311" t="s">
        <v>18</v>
      </c>
      <c r="F311">
        <v>840</v>
      </c>
      <c r="G311">
        <v>8</v>
      </c>
      <c r="H311" s="2">
        <v>45019</v>
      </c>
    </row>
    <row r="312" spans="1:8">
      <c r="A312">
        <v>46</v>
      </c>
      <c r="B312" t="s">
        <v>12</v>
      </c>
      <c r="C312" t="s">
        <v>9</v>
      </c>
      <c r="D312" t="s">
        <v>16</v>
      </c>
      <c r="E312" t="s">
        <v>18</v>
      </c>
      <c r="F312">
        <v>931</v>
      </c>
      <c r="G312">
        <v>15</v>
      </c>
      <c r="H312" s="2">
        <v>45618</v>
      </c>
    </row>
    <row r="313" spans="1:8">
      <c r="A313">
        <v>30</v>
      </c>
      <c r="B313" t="s">
        <v>12</v>
      </c>
      <c r="C313" t="s">
        <v>15</v>
      </c>
      <c r="D313" t="s">
        <v>20</v>
      </c>
      <c r="E313" t="s">
        <v>11</v>
      </c>
      <c r="F313">
        <v>535</v>
      </c>
      <c r="G313">
        <v>7</v>
      </c>
      <c r="H313" s="2">
        <v>45207</v>
      </c>
    </row>
    <row r="314" spans="1:8">
      <c r="A314">
        <v>54</v>
      </c>
      <c r="B314" t="s">
        <v>8</v>
      </c>
      <c r="C314" t="s">
        <v>15</v>
      </c>
      <c r="D314" t="s">
        <v>14</v>
      </c>
      <c r="E314" t="s">
        <v>11</v>
      </c>
      <c r="F314">
        <v>1587</v>
      </c>
      <c r="G314">
        <v>6</v>
      </c>
      <c r="H314" s="2">
        <v>45620</v>
      </c>
    </row>
    <row r="315" spans="1:8">
      <c r="A315">
        <v>29</v>
      </c>
      <c r="B315" t="s">
        <v>12</v>
      </c>
      <c r="C315" t="s">
        <v>9</v>
      </c>
      <c r="D315" t="s">
        <v>16</v>
      </c>
      <c r="E315" t="s">
        <v>11</v>
      </c>
      <c r="F315">
        <v>827</v>
      </c>
      <c r="G315">
        <v>1</v>
      </c>
      <c r="H315" s="2">
        <v>45245</v>
      </c>
    </row>
    <row r="316" spans="1:8">
      <c r="A316">
        <v>28</v>
      </c>
      <c r="B316" t="s">
        <v>8</v>
      </c>
      <c r="C316" t="s">
        <v>9</v>
      </c>
      <c r="D316" t="s">
        <v>10</v>
      </c>
      <c r="E316" t="s">
        <v>11</v>
      </c>
      <c r="F316">
        <v>1100</v>
      </c>
      <c r="G316">
        <v>15</v>
      </c>
      <c r="H316" s="2">
        <v>45241</v>
      </c>
    </row>
    <row r="317" spans="1:8">
      <c r="A317">
        <v>17</v>
      </c>
      <c r="B317" t="s">
        <v>12</v>
      </c>
      <c r="C317" t="s">
        <v>15</v>
      </c>
      <c r="D317" t="s">
        <v>16</v>
      </c>
      <c r="E317" t="s">
        <v>11</v>
      </c>
      <c r="F317">
        <v>826</v>
      </c>
      <c r="G317">
        <v>7</v>
      </c>
      <c r="H317" s="2">
        <v>45331</v>
      </c>
    </row>
    <row r="318" spans="1:8">
      <c r="A318">
        <v>64</v>
      </c>
      <c r="B318" t="s">
        <v>12</v>
      </c>
      <c r="C318" t="s">
        <v>23</v>
      </c>
      <c r="D318" t="s">
        <v>24</v>
      </c>
      <c r="E318" t="s">
        <v>22</v>
      </c>
      <c r="F318">
        <v>1156</v>
      </c>
      <c r="G318">
        <v>17</v>
      </c>
      <c r="H318" s="2">
        <v>45298</v>
      </c>
    </row>
    <row r="319" spans="1:8">
      <c r="A319">
        <v>11</v>
      </c>
      <c r="B319" t="s">
        <v>12</v>
      </c>
      <c r="C319" t="s">
        <v>23</v>
      </c>
      <c r="D319" t="s">
        <v>14</v>
      </c>
      <c r="E319" t="s">
        <v>11</v>
      </c>
      <c r="F319">
        <v>1563</v>
      </c>
      <c r="G319">
        <v>2</v>
      </c>
      <c r="H319" s="2">
        <v>45548</v>
      </c>
    </row>
    <row r="320" spans="1:8">
      <c r="A320">
        <v>61</v>
      </c>
      <c r="B320" t="s">
        <v>12</v>
      </c>
      <c r="C320" t="s">
        <v>15</v>
      </c>
      <c r="D320" t="s">
        <v>24</v>
      </c>
      <c r="E320" t="s">
        <v>18</v>
      </c>
      <c r="F320">
        <v>934</v>
      </c>
      <c r="G320">
        <v>9</v>
      </c>
      <c r="H320" s="2">
        <v>45628</v>
      </c>
    </row>
    <row r="321" spans="1:8">
      <c r="A321">
        <v>40</v>
      </c>
      <c r="B321" t="s">
        <v>8</v>
      </c>
      <c r="C321" t="s">
        <v>13</v>
      </c>
      <c r="D321" t="s">
        <v>14</v>
      </c>
      <c r="E321" t="s">
        <v>11</v>
      </c>
      <c r="F321">
        <v>1593</v>
      </c>
      <c r="G321">
        <v>9</v>
      </c>
      <c r="H321" s="2">
        <v>45634</v>
      </c>
    </row>
    <row r="322" spans="1:8">
      <c r="A322">
        <v>49</v>
      </c>
      <c r="B322" t="s">
        <v>12</v>
      </c>
      <c r="C322" t="s">
        <v>9</v>
      </c>
      <c r="D322" t="s">
        <v>24</v>
      </c>
      <c r="E322" t="s">
        <v>11</v>
      </c>
      <c r="F322">
        <v>1090</v>
      </c>
      <c r="G322">
        <v>13</v>
      </c>
      <c r="H322" s="2">
        <v>44964</v>
      </c>
    </row>
    <row r="323" spans="1:8">
      <c r="A323">
        <v>24</v>
      </c>
      <c r="B323" t="s">
        <v>8</v>
      </c>
      <c r="C323" t="s">
        <v>23</v>
      </c>
      <c r="D323" t="s">
        <v>16</v>
      </c>
      <c r="E323" t="s">
        <v>11</v>
      </c>
      <c r="F323">
        <v>803</v>
      </c>
      <c r="G323">
        <v>6</v>
      </c>
      <c r="H323" s="2">
        <v>45528</v>
      </c>
    </row>
    <row r="324" spans="1:8">
      <c r="A324">
        <v>69</v>
      </c>
      <c r="B324" t="s">
        <v>12</v>
      </c>
      <c r="C324" t="s">
        <v>19</v>
      </c>
      <c r="D324" t="s">
        <v>16</v>
      </c>
      <c r="E324" t="s">
        <v>11</v>
      </c>
      <c r="F324">
        <v>722</v>
      </c>
      <c r="G324">
        <v>6</v>
      </c>
      <c r="H324" s="2">
        <v>45547</v>
      </c>
    </row>
    <row r="325" spans="1:8">
      <c r="A325">
        <v>12</v>
      </c>
      <c r="B325" t="s">
        <v>12</v>
      </c>
      <c r="C325" t="s">
        <v>26</v>
      </c>
      <c r="D325" t="s">
        <v>20</v>
      </c>
      <c r="E325" t="s">
        <v>11</v>
      </c>
      <c r="F325">
        <v>664</v>
      </c>
      <c r="G325">
        <v>20</v>
      </c>
      <c r="H325" s="2">
        <v>45035</v>
      </c>
    </row>
    <row r="326" spans="1:8">
      <c r="A326">
        <v>20</v>
      </c>
      <c r="B326" t="s">
        <v>12</v>
      </c>
      <c r="C326" t="s">
        <v>23</v>
      </c>
      <c r="D326" t="s">
        <v>10</v>
      </c>
      <c r="E326" t="s">
        <v>11</v>
      </c>
      <c r="F326">
        <v>1189</v>
      </c>
      <c r="G326">
        <v>20</v>
      </c>
      <c r="H326" s="2">
        <v>45511</v>
      </c>
    </row>
    <row r="327" spans="1:8">
      <c r="A327">
        <v>18</v>
      </c>
      <c r="B327" t="s">
        <v>8</v>
      </c>
      <c r="C327" t="s">
        <v>23</v>
      </c>
      <c r="D327" t="s">
        <v>24</v>
      </c>
      <c r="E327" t="s">
        <v>18</v>
      </c>
      <c r="F327">
        <v>1159</v>
      </c>
      <c r="G327">
        <v>3</v>
      </c>
      <c r="H327" s="2">
        <v>45545</v>
      </c>
    </row>
    <row r="328" spans="1:8">
      <c r="A328">
        <v>19</v>
      </c>
      <c r="B328" t="s">
        <v>8</v>
      </c>
      <c r="C328" t="s">
        <v>25</v>
      </c>
      <c r="D328" t="s">
        <v>17</v>
      </c>
      <c r="E328" t="s">
        <v>11</v>
      </c>
      <c r="F328">
        <v>1174</v>
      </c>
      <c r="G328">
        <v>17</v>
      </c>
      <c r="H328" s="2">
        <v>45224</v>
      </c>
    </row>
    <row r="329" spans="1:8">
      <c r="A329">
        <v>70</v>
      </c>
      <c r="B329" t="s">
        <v>12</v>
      </c>
      <c r="C329" t="s">
        <v>15</v>
      </c>
      <c r="D329" t="s">
        <v>20</v>
      </c>
      <c r="E329" t="s">
        <v>11</v>
      </c>
      <c r="F329">
        <v>471</v>
      </c>
      <c r="G329">
        <v>17</v>
      </c>
      <c r="H329" s="2">
        <v>45581</v>
      </c>
    </row>
    <row r="330" spans="1:8">
      <c r="A330">
        <v>36</v>
      </c>
      <c r="B330" t="s">
        <v>12</v>
      </c>
      <c r="C330" t="s">
        <v>15</v>
      </c>
      <c r="D330" t="s">
        <v>24</v>
      </c>
      <c r="E330" t="s">
        <v>11</v>
      </c>
      <c r="F330">
        <v>1158</v>
      </c>
      <c r="G330">
        <v>12</v>
      </c>
      <c r="H330" s="2">
        <v>45415</v>
      </c>
    </row>
    <row r="331" spans="1:8">
      <c r="A331">
        <v>67</v>
      </c>
      <c r="B331" t="s">
        <v>8</v>
      </c>
      <c r="C331" t="s">
        <v>23</v>
      </c>
      <c r="D331" t="s">
        <v>24</v>
      </c>
      <c r="E331" t="s">
        <v>11</v>
      </c>
      <c r="F331">
        <v>1087</v>
      </c>
      <c r="G331">
        <v>16</v>
      </c>
      <c r="H331" s="2">
        <v>45483</v>
      </c>
    </row>
    <row r="332" spans="1:8">
      <c r="A332">
        <v>55</v>
      </c>
      <c r="B332" t="s">
        <v>12</v>
      </c>
      <c r="C332" t="s">
        <v>9</v>
      </c>
      <c r="D332" t="s">
        <v>20</v>
      </c>
      <c r="E332" t="s">
        <v>11</v>
      </c>
      <c r="F332">
        <v>572</v>
      </c>
      <c r="G332">
        <v>15</v>
      </c>
      <c r="H332" s="2">
        <v>45205</v>
      </c>
    </row>
    <row r="333" spans="1:8">
      <c r="A333">
        <v>29</v>
      </c>
      <c r="B333" t="s">
        <v>12</v>
      </c>
      <c r="C333" t="s">
        <v>23</v>
      </c>
      <c r="D333" t="s">
        <v>16</v>
      </c>
      <c r="E333" t="s">
        <v>11</v>
      </c>
      <c r="F333">
        <v>989</v>
      </c>
      <c r="G333">
        <v>13</v>
      </c>
      <c r="H333" s="2">
        <v>45400</v>
      </c>
    </row>
    <row r="334" spans="1:8">
      <c r="A334">
        <v>62</v>
      </c>
      <c r="B334" t="s">
        <v>8</v>
      </c>
      <c r="C334" t="s">
        <v>15</v>
      </c>
      <c r="D334" t="s">
        <v>24</v>
      </c>
      <c r="E334" t="s">
        <v>11</v>
      </c>
      <c r="F334">
        <v>944</v>
      </c>
      <c r="G334">
        <v>1</v>
      </c>
      <c r="H334" s="2">
        <v>44944</v>
      </c>
    </row>
    <row r="335" spans="1:8">
      <c r="A335">
        <v>67</v>
      </c>
      <c r="B335" t="s">
        <v>8</v>
      </c>
      <c r="C335" t="s">
        <v>9</v>
      </c>
      <c r="D335" t="s">
        <v>16</v>
      </c>
      <c r="E335" t="s">
        <v>11</v>
      </c>
      <c r="F335">
        <v>760</v>
      </c>
      <c r="G335">
        <v>17</v>
      </c>
      <c r="H335" s="2">
        <v>45356</v>
      </c>
    </row>
    <row r="336" spans="1:8">
      <c r="A336">
        <v>66</v>
      </c>
      <c r="B336" t="s">
        <v>12</v>
      </c>
      <c r="C336" t="s">
        <v>9</v>
      </c>
      <c r="D336" t="s">
        <v>20</v>
      </c>
      <c r="E336" t="s">
        <v>11</v>
      </c>
      <c r="F336">
        <v>482</v>
      </c>
      <c r="G336">
        <v>3</v>
      </c>
      <c r="H336" s="2">
        <v>45067</v>
      </c>
    </row>
    <row r="337" spans="1:8">
      <c r="A337">
        <v>26</v>
      </c>
      <c r="B337" t="s">
        <v>8</v>
      </c>
      <c r="C337" t="s">
        <v>9</v>
      </c>
      <c r="D337" t="s">
        <v>16</v>
      </c>
      <c r="E337" t="s">
        <v>18</v>
      </c>
      <c r="F337">
        <v>822</v>
      </c>
      <c r="G337">
        <v>15</v>
      </c>
      <c r="H337" s="2">
        <v>45358</v>
      </c>
    </row>
    <row r="338" spans="1:8">
      <c r="A338">
        <v>62</v>
      </c>
      <c r="B338" t="s">
        <v>8</v>
      </c>
      <c r="C338" t="s">
        <v>19</v>
      </c>
      <c r="D338" t="s">
        <v>14</v>
      </c>
      <c r="E338" t="s">
        <v>11</v>
      </c>
      <c r="F338">
        <v>1415</v>
      </c>
      <c r="G338">
        <v>4</v>
      </c>
      <c r="H338" s="2">
        <v>45262</v>
      </c>
    </row>
    <row r="339" spans="1:8">
      <c r="A339">
        <v>62</v>
      </c>
      <c r="B339" t="s">
        <v>12</v>
      </c>
      <c r="C339" t="s">
        <v>9</v>
      </c>
      <c r="D339" t="s">
        <v>17</v>
      </c>
      <c r="E339" t="s">
        <v>11</v>
      </c>
      <c r="F339">
        <v>1165</v>
      </c>
      <c r="G339">
        <v>4</v>
      </c>
      <c r="H339" s="2">
        <v>45241</v>
      </c>
    </row>
    <row r="340" spans="1:8">
      <c r="A340">
        <v>53</v>
      </c>
      <c r="B340" t="s">
        <v>8</v>
      </c>
      <c r="C340" t="s">
        <v>9</v>
      </c>
      <c r="D340" t="s">
        <v>24</v>
      </c>
      <c r="E340" t="s">
        <v>11</v>
      </c>
      <c r="F340">
        <v>1044</v>
      </c>
      <c r="G340">
        <v>18</v>
      </c>
      <c r="H340" s="2">
        <v>45120</v>
      </c>
    </row>
    <row r="341" spans="1:8">
      <c r="A341">
        <v>56</v>
      </c>
      <c r="B341" t="s">
        <v>8</v>
      </c>
      <c r="C341" t="s">
        <v>9</v>
      </c>
      <c r="D341" t="s">
        <v>10</v>
      </c>
      <c r="E341" t="s">
        <v>11</v>
      </c>
      <c r="F341">
        <v>1061</v>
      </c>
      <c r="G341">
        <v>17</v>
      </c>
      <c r="H341" s="2">
        <v>45283</v>
      </c>
    </row>
    <row r="342" spans="1:8">
      <c r="A342">
        <v>46</v>
      </c>
      <c r="B342" t="s">
        <v>12</v>
      </c>
      <c r="C342" t="s">
        <v>9</v>
      </c>
      <c r="D342" t="s">
        <v>17</v>
      </c>
      <c r="E342" t="s">
        <v>22</v>
      </c>
      <c r="F342">
        <v>1333</v>
      </c>
      <c r="G342">
        <v>19</v>
      </c>
      <c r="H342" s="2">
        <v>45174</v>
      </c>
    </row>
    <row r="343" spans="1:8">
      <c r="A343">
        <v>74</v>
      </c>
      <c r="B343" t="s">
        <v>12</v>
      </c>
      <c r="C343" t="s">
        <v>25</v>
      </c>
      <c r="D343" t="s">
        <v>16</v>
      </c>
      <c r="E343" t="s">
        <v>11</v>
      </c>
      <c r="F343">
        <v>843</v>
      </c>
      <c r="G343">
        <v>11</v>
      </c>
      <c r="H343" s="2">
        <v>45266</v>
      </c>
    </row>
    <row r="344" spans="1:8">
      <c r="A344">
        <v>19</v>
      </c>
      <c r="B344" t="s">
        <v>12</v>
      </c>
      <c r="C344" t="s">
        <v>15</v>
      </c>
      <c r="D344" t="s">
        <v>24</v>
      </c>
      <c r="E344" t="s">
        <v>11</v>
      </c>
      <c r="F344">
        <v>1087</v>
      </c>
      <c r="G344">
        <v>20</v>
      </c>
      <c r="H344" s="2">
        <v>45467</v>
      </c>
    </row>
    <row r="345" spans="1:8">
      <c r="A345">
        <v>58</v>
      </c>
      <c r="B345" t="s">
        <v>8</v>
      </c>
      <c r="C345" t="s">
        <v>19</v>
      </c>
      <c r="D345" t="s">
        <v>16</v>
      </c>
      <c r="E345" t="s">
        <v>11</v>
      </c>
      <c r="F345">
        <v>712</v>
      </c>
      <c r="G345">
        <v>3</v>
      </c>
      <c r="H345" s="2">
        <v>45591</v>
      </c>
    </row>
    <row r="346" spans="1:8">
      <c r="A346">
        <v>64</v>
      </c>
      <c r="B346" t="s">
        <v>12</v>
      </c>
      <c r="C346" t="s">
        <v>19</v>
      </c>
      <c r="D346" t="s">
        <v>14</v>
      </c>
      <c r="E346" t="s">
        <v>11</v>
      </c>
      <c r="F346">
        <v>1583</v>
      </c>
      <c r="G346">
        <v>8</v>
      </c>
      <c r="H346" s="2">
        <v>44940</v>
      </c>
    </row>
    <row r="347" spans="1:8">
      <c r="A347">
        <v>12</v>
      </c>
      <c r="B347" t="s">
        <v>8</v>
      </c>
      <c r="C347" t="s">
        <v>23</v>
      </c>
      <c r="D347" t="s">
        <v>20</v>
      </c>
      <c r="E347" t="s">
        <v>11</v>
      </c>
      <c r="F347">
        <v>510</v>
      </c>
      <c r="G347">
        <v>14</v>
      </c>
      <c r="H347" s="2">
        <v>45119</v>
      </c>
    </row>
    <row r="348" spans="1:8">
      <c r="A348">
        <v>57</v>
      </c>
      <c r="B348" t="s">
        <v>8</v>
      </c>
      <c r="C348" t="s">
        <v>19</v>
      </c>
      <c r="D348" t="s">
        <v>24</v>
      </c>
      <c r="E348" t="s">
        <v>11</v>
      </c>
      <c r="F348">
        <v>1189</v>
      </c>
      <c r="G348">
        <v>1</v>
      </c>
      <c r="H348" s="2">
        <v>44989</v>
      </c>
    </row>
    <row r="349" spans="1:8">
      <c r="A349">
        <v>64</v>
      </c>
      <c r="B349" t="s">
        <v>12</v>
      </c>
      <c r="C349" t="s">
        <v>25</v>
      </c>
      <c r="D349" t="s">
        <v>14</v>
      </c>
      <c r="E349" t="s">
        <v>22</v>
      </c>
      <c r="F349">
        <v>1694</v>
      </c>
      <c r="G349">
        <v>14</v>
      </c>
      <c r="H349" s="2">
        <v>45069</v>
      </c>
    </row>
    <row r="350" spans="1:8">
      <c r="A350">
        <v>9</v>
      </c>
      <c r="B350" t="s">
        <v>8</v>
      </c>
      <c r="C350" t="s">
        <v>26</v>
      </c>
      <c r="D350" t="s">
        <v>14</v>
      </c>
      <c r="E350" t="s">
        <v>11</v>
      </c>
      <c r="F350">
        <v>1614</v>
      </c>
      <c r="G350">
        <v>2</v>
      </c>
      <c r="H350" s="2">
        <v>45571</v>
      </c>
    </row>
    <row r="351" spans="1:8">
      <c r="A351">
        <v>72</v>
      </c>
      <c r="B351" t="s">
        <v>12</v>
      </c>
      <c r="C351" t="s">
        <v>15</v>
      </c>
      <c r="D351" t="s">
        <v>24</v>
      </c>
      <c r="E351" t="s">
        <v>11</v>
      </c>
      <c r="F351">
        <v>1019</v>
      </c>
      <c r="G351">
        <v>4</v>
      </c>
      <c r="H351" s="2">
        <v>45026</v>
      </c>
    </row>
    <row r="352" spans="1:8">
      <c r="A352">
        <v>10</v>
      </c>
      <c r="B352" t="s">
        <v>8</v>
      </c>
      <c r="C352" t="s">
        <v>15</v>
      </c>
      <c r="D352" t="s">
        <v>16</v>
      </c>
      <c r="E352" t="s">
        <v>11</v>
      </c>
      <c r="F352">
        <v>754</v>
      </c>
      <c r="G352">
        <v>19</v>
      </c>
      <c r="H352" s="2">
        <v>45583</v>
      </c>
    </row>
    <row r="353" spans="1:8">
      <c r="A353">
        <v>51</v>
      </c>
      <c r="B353" t="s">
        <v>8</v>
      </c>
      <c r="C353" t="s">
        <v>9</v>
      </c>
      <c r="D353" t="s">
        <v>10</v>
      </c>
      <c r="E353" t="s">
        <v>11</v>
      </c>
      <c r="F353">
        <v>926</v>
      </c>
      <c r="G353">
        <v>6</v>
      </c>
      <c r="H353" s="2">
        <v>45427</v>
      </c>
    </row>
    <row r="354" spans="1:8">
      <c r="A354">
        <v>59</v>
      </c>
      <c r="B354" t="s">
        <v>12</v>
      </c>
      <c r="C354" t="s">
        <v>15</v>
      </c>
      <c r="D354" t="s">
        <v>14</v>
      </c>
      <c r="E354" t="s">
        <v>11</v>
      </c>
      <c r="F354">
        <v>1517</v>
      </c>
      <c r="G354">
        <v>1</v>
      </c>
      <c r="H354" s="2">
        <v>45054</v>
      </c>
    </row>
    <row r="355" spans="1:8">
      <c r="A355">
        <v>44</v>
      </c>
      <c r="B355" t="s">
        <v>12</v>
      </c>
      <c r="C355" t="s">
        <v>19</v>
      </c>
      <c r="D355" t="s">
        <v>17</v>
      </c>
      <c r="E355" t="s">
        <v>18</v>
      </c>
      <c r="F355">
        <v>1320</v>
      </c>
      <c r="G355">
        <v>17</v>
      </c>
      <c r="H355" s="2">
        <v>45103</v>
      </c>
    </row>
    <row r="356" spans="1:8">
      <c r="A356">
        <v>56</v>
      </c>
      <c r="B356" t="s">
        <v>12</v>
      </c>
      <c r="C356" t="s">
        <v>21</v>
      </c>
      <c r="D356" t="s">
        <v>14</v>
      </c>
      <c r="E356" t="s">
        <v>18</v>
      </c>
      <c r="F356">
        <v>1630</v>
      </c>
      <c r="G356">
        <v>8</v>
      </c>
      <c r="H356" s="2">
        <v>45574</v>
      </c>
    </row>
    <row r="357" spans="1:8">
      <c r="A357">
        <v>20</v>
      </c>
      <c r="B357" t="s">
        <v>12</v>
      </c>
      <c r="C357" t="s">
        <v>15</v>
      </c>
      <c r="D357" t="s">
        <v>10</v>
      </c>
      <c r="E357" t="s">
        <v>11</v>
      </c>
      <c r="F357">
        <v>952</v>
      </c>
      <c r="G357">
        <v>19</v>
      </c>
      <c r="H357" s="2">
        <v>45631</v>
      </c>
    </row>
    <row r="358" spans="1:8">
      <c r="A358">
        <v>17</v>
      </c>
      <c r="B358" t="s">
        <v>12</v>
      </c>
      <c r="C358" t="s">
        <v>15</v>
      </c>
      <c r="D358" t="s">
        <v>16</v>
      </c>
      <c r="E358" t="s">
        <v>18</v>
      </c>
      <c r="F358">
        <v>994</v>
      </c>
      <c r="G358">
        <v>1</v>
      </c>
      <c r="H358" s="2">
        <v>45209</v>
      </c>
    </row>
    <row r="359" spans="1:8">
      <c r="A359">
        <v>34</v>
      </c>
      <c r="B359" t="s">
        <v>12</v>
      </c>
      <c r="C359" t="s">
        <v>15</v>
      </c>
      <c r="D359" t="s">
        <v>16</v>
      </c>
      <c r="E359" t="s">
        <v>22</v>
      </c>
      <c r="F359">
        <v>932</v>
      </c>
      <c r="G359">
        <v>5</v>
      </c>
      <c r="H359" s="2">
        <v>45250</v>
      </c>
    </row>
    <row r="360" spans="1:8">
      <c r="A360">
        <v>23</v>
      </c>
      <c r="B360" t="s">
        <v>8</v>
      </c>
      <c r="C360" t="s">
        <v>23</v>
      </c>
      <c r="D360" t="s">
        <v>17</v>
      </c>
      <c r="E360" t="s">
        <v>18</v>
      </c>
      <c r="F360">
        <v>1257</v>
      </c>
      <c r="G360">
        <v>16</v>
      </c>
      <c r="H360" s="2">
        <v>45083</v>
      </c>
    </row>
    <row r="361" spans="1:8">
      <c r="A361">
        <v>21</v>
      </c>
      <c r="B361" t="s">
        <v>12</v>
      </c>
      <c r="C361" t="s">
        <v>19</v>
      </c>
      <c r="D361" t="s">
        <v>14</v>
      </c>
      <c r="E361" t="s">
        <v>11</v>
      </c>
      <c r="F361">
        <v>1668</v>
      </c>
      <c r="G361">
        <v>6</v>
      </c>
      <c r="H361" s="2">
        <v>45520</v>
      </c>
    </row>
    <row r="362" spans="1:8">
      <c r="A362">
        <v>67</v>
      </c>
      <c r="B362" t="s">
        <v>12</v>
      </c>
      <c r="C362" t="s">
        <v>15</v>
      </c>
      <c r="D362" t="s">
        <v>16</v>
      </c>
      <c r="E362" t="s">
        <v>18</v>
      </c>
      <c r="F362">
        <v>720</v>
      </c>
      <c r="G362">
        <v>8</v>
      </c>
      <c r="H362" s="2">
        <v>45528</v>
      </c>
    </row>
    <row r="363" spans="1:8">
      <c r="A363">
        <v>23</v>
      </c>
      <c r="B363" t="s">
        <v>8</v>
      </c>
      <c r="C363" t="s">
        <v>21</v>
      </c>
      <c r="D363" t="s">
        <v>10</v>
      </c>
      <c r="E363" t="s">
        <v>11</v>
      </c>
      <c r="F363">
        <v>952</v>
      </c>
      <c r="G363">
        <v>13</v>
      </c>
      <c r="H363" s="2">
        <v>45257</v>
      </c>
    </row>
    <row r="364" spans="1:8">
      <c r="A364">
        <v>62</v>
      </c>
      <c r="B364" t="s">
        <v>12</v>
      </c>
      <c r="C364" t="s">
        <v>25</v>
      </c>
      <c r="D364" t="s">
        <v>24</v>
      </c>
      <c r="E364" t="s">
        <v>22</v>
      </c>
      <c r="F364">
        <v>1174</v>
      </c>
      <c r="G364">
        <v>16</v>
      </c>
      <c r="H364" s="2">
        <v>45538</v>
      </c>
    </row>
    <row r="365" spans="1:8">
      <c r="A365">
        <v>59</v>
      </c>
      <c r="B365" t="s">
        <v>8</v>
      </c>
      <c r="C365" t="s">
        <v>15</v>
      </c>
      <c r="D365" t="s">
        <v>20</v>
      </c>
      <c r="E365" t="s">
        <v>11</v>
      </c>
      <c r="F365">
        <v>680</v>
      </c>
      <c r="G365">
        <v>3</v>
      </c>
      <c r="H365" s="2">
        <v>45514</v>
      </c>
    </row>
    <row r="366" spans="1:8">
      <c r="A366">
        <v>66</v>
      </c>
      <c r="B366" t="s">
        <v>8</v>
      </c>
      <c r="C366" t="s">
        <v>19</v>
      </c>
      <c r="D366" t="s">
        <v>20</v>
      </c>
      <c r="E366" t="s">
        <v>11</v>
      </c>
      <c r="F366">
        <v>613</v>
      </c>
      <c r="G366">
        <v>19</v>
      </c>
      <c r="H366" s="2">
        <v>45241</v>
      </c>
    </row>
    <row r="367" spans="1:8">
      <c r="A367">
        <v>27</v>
      </c>
      <c r="B367" t="s">
        <v>8</v>
      </c>
      <c r="C367" t="s">
        <v>25</v>
      </c>
      <c r="D367" t="s">
        <v>20</v>
      </c>
      <c r="E367" t="s">
        <v>18</v>
      </c>
      <c r="F367">
        <v>430</v>
      </c>
      <c r="G367">
        <v>12</v>
      </c>
      <c r="H367" s="2">
        <v>44968</v>
      </c>
    </row>
    <row r="368" spans="1:8">
      <c r="A368">
        <v>13</v>
      </c>
      <c r="B368" t="s">
        <v>12</v>
      </c>
      <c r="C368" t="s">
        <v>9</v>
      </c>
      <c r="D368" t="s">
        <v>14</v>
      </c>
      <c r="E368" t="s">
        <v>11</v>
      </c>
      <c r="F368">
        <v>1582</v>
      </c>
      <c r="G368">
        <v>16</v>
      </c>
      <c r="H368" s="2">
        <v>45643</v>
      </c>
    </row>
    <row r="369" spans="1:8">
      <c r="A369">
        <v>16</v>
      </c>
      <c r="B369" t="s">
        <v>12</v>
      </c>
      <c r="C369" t="s">
        <v>15</v>
      </c>
      <c r="D369" t="s">
        <v>17</v>
      </c>
      <c r="E369" t="s">
        <v>22</v>
      </c>
      <c r="F369">
        <v>1122</v>
      </c>
      <c r="G369">
        <v>11</v>
      </c>
      <c r="H369" s="2">
        <v>45569</v>
      </c>
    </row>
    <row r="370" spans="1:8">
      <c r="A370">
        <v>5</v>
      </c>
      <c r="B370" t="s">
        <v>12</v>
      </c>
      <c r="C370" t="s">
        <v>15</v>
      </c>
      <c r="D370" t="s">
        <v>16</v>
      </c>
      <c r="E370" t="s">
        <v>22</v>
      </c>
      <c r="F370">
        <v>731</v>
      </c>
      <c r="G370">
        <v>10</v>
      </c>
      <c r="H370" s="2">
        <v>45264</v>
      </c>
    </row>
    <row r="371" spans="1:8">
      <c r="A371">
        <v>62</v>
      </c>
      <c r="B371" t="s">
        <v>8</v>
      </c>
      <c r="C371" t="s">
        <v>15</v>
      </c>
      <c r="D371" t="s">
        <v>24</v>
      </c>
      <c r="E371" t="s">
        <v>11</v>
      </c>
      <c r="F371">
        <v>973</v>
      </c>
      <c r="G371">
        <v>20</v>
      </c>
      <c r="H371" s="2">
        <v>45247</v>
      </c>
    </row>
    <row r="372" spans="1:8">
      <c r="A372">
        <v>5</v>
      </c>
      <c r="B372" t="s">
        <v>12</v>
      </c>
      <c r="C372" t="s">
        <v>25</v>
      </c>
      <c r="D372" t="s">
        <v>10</v>
      </c>
      <c r="E372" t="s">
        <v>11</v>
      </c>
      <c r="F372">
        <v>909</v>
      </c>
      <c r="G372">
        <v>4</v>
      </c>
      <c r="H372" s="2">
        <v>44935</v>
      </c>
    </row>
    <row r="373" spans="1:8">
      <c r="A373">
        <v>38</v>
      </c>
      <c r="B373" t="s">
        <v>12</v>
      </c>
      <c r="C373" t="s">
        <v>21</v>
      </c>
      <c r="D373" t="s">
        <v>24</v>
      </c>
      <c r="E373" t="s">
        <v>11</v>
      </c>
      <c r="F373">
        <v>953</v>
      </c>
      <c r="G373">
        <v>12</v>
      </c>
      <c r="H373" s="2">
        <v>45218</v>
      </c>
    </row>
    <row r="374" spans="1:8">
      <c r="A374">
        <v>52</v>
      </c>
      <c r="B374" t="s">
        <v>8</v>
      </c>
      <c r="C374" t="s">
        <v>15</v>
      </c>
      <c r="D374" t="s">
        <v>10</v>
      </c>
      <c r="E374" t="s">
        <v>11</v>
      </c>
      <c r="F374">
        <v>951</v>
      </c>
      <c r="G374">
        <v>2</v>
      </c>
      <c r="H374" s="2">
        <v>44962</v>
      </c>
    </row>
    <row r="375" spans="1:8">
      <c r="A375">
        <v>5</v>
      </c>
      <c r="B375" t="s">
        <v>12</v>
      </c>
      <c r="C375" t="s">
        <v>15</v>
      </c>
      <c r="D375" t="s">
        <v>14</v>
      </c>
      <c r="E375" t="s">
        <v>11</v>
      </c>
      <c r="F375">
        <v>1547</v>
      </c>
      <c r="G375">
        <v>19</v>
      </c>
      <c r="H375" s="2">
        <v>45344</v>
      </c>
    </row>
    <row r="376" spans="1:8">
      <c r="A376">
        <v>20</v>
      </c>
      <c r="B376" t="s">
        <v>12</v>
      </c>
      <c r="C376" t="s">
        <v>15</v>
      </c>
      <c r="D376" t="s">
        <v>20</v>
      </c>
      <c r="E376" t="s">
        <v>18</v>
      </c>
      <c r="F376">
        <v>559</v>
      </c>
      <c r="G376">
        <v>5</v>
      </c>
      <c r="H376" s="2">
        <v>45650</v>
      </c>
    </row>
    <row r="377" spans="1:8">
      <c r="A377">
        <v>65</v>
      </c>
      <c r="B377" t="s">
        <v>12</v>
      </c>
      <c r="C377" t="s">
        <v>15</v>
      </c>
      <c r="D377" t="s">
        <v>14</v>
      </c>
      <c r="E377" t="s">
        <v>11</v>
      </c>
      <c r="F377">
        <v>1413</v>
      </c>
      <c r="G377">
        <v>8</v>
      </c>
      <c r="H377" s="2">
        <v>45357</v>
      </c>
    </row>
    <row r="378" spans="1:8">
      <c r="A378">
        <v>68</v>
      </c>
      <c r="B378" t="s">
        <v>8</v>
      </c>
      <c r="C378" t="s">
        <v>25</v>
      </c>
      <c r="D378" t="s">
        <v>17</v>
      </c>
      <c r="E378" t="s">
        <v>11</v>
      </c>
      <c r="F378">
        <v>1277</v>
      </c>
      <c r="G378">
        <v>7</v>
      </c>
      <c r="H378" s="2">
        <v>45568</v>
      </c>
    </row>
    <row r="379" spans="1:8">
      <c r="A379">
        <v>67</v>
      </c>
      <c r="B379" t="s">
        <v>12</v>
      </c>
      <c r="C379" t="s">
        <v>15</v>
      </c>
      <c r="D379" t="s">
        <v>17</v>
      </c>
      <c r="E379" t="s">
        <v>22</v>
      </c>
      <c r="F379">
        <v>1152</v>
      </c>
      <c r="G379">
        <v>14</v>
      </c>
      <c r="H379" s="2">
        <v>45129</v>
      </c>
    </row>
    <row r="380" spans="1:8">
      <c r="A380">
        <v>73</v>
      </c>
      <c r="B380" t="s">
        <v>8</v>
      </c>
      <c r="C380" t="s">
        <v>15</v>
      </c>
      <c r="D380" t="s">
        <v>10</v>
      </c>
      <c r="E380" t="s">
        <v>11</v>
      </c>
      <c r="F380">
        <v>921</v>
      </c>
      <c r="G380">
        <v>3</v>
      </c>
      <c r="H380" s="2">
        <v>44958</v>
      </c>
    </row>
    <row r="381" spans="1:8">
      <c r="A381">
        <v>26</v>
      </c>
      <c r="B381" t="s">
        <v>8</v>
      </c>
      <c r="C381" t="s">
        <v>15</v>
      </c>
      <c r="D381" t="s">
        <v>16</v>
      </c>
      <c r="E381" t="s">
        <v>11</v>
      </c>
      <c r="F381">
        <v>729</v>
      </c>
      <c r="G381">
        <v>18</v>
      </c>
      <c r="H381" s="2">
        <v>44946</v>
      </c>
    </row>
    <row r="382" spans="1:8">
      <c r="A382">
        <v>71</v>
      </c>
      <c r="B382" t="s">
        <v>12</v>
      </c>
      <c r="C382" t="s">
        <v>19</v>
      </c>
      <c r="D382" t="s">
        <v>16</v>
      </c>
      <c r="E382" t="s">
        <v>22</v>
      </c>
      <c r="F382">
        <v>890</v>
      </c>
      <c r="G382">
        <v>16</v>
      </c>
      <c r="H382" s="2">
        <v>45465</v>
      </c>
    </row>
    <row r="383" spans="1:8">
      <c r="A383">
        <v>30</v>
      </c>
      <c r="B383" t="s">
        <v>8</v>
      </c>
      <c r="C383" t="s">
        <v>9</v>
      </c>
      <c r="D383" t="s">
        <v>10</v>
      </c>
      <c r="E383" t="s">
        <v>11</v>
      </c>
      <c r="F383">
        <v>1159</v>
      </c>
      <c r="G383">
        <v>19</v>
      </c>
      <c r="H383" s="2">
        <v>45551</v>
      </c>
    </row>
    <row r="384" spans="1:8">
      <c r="A384">
        <v>20</v>
      </c>
      <c r="B384" t="s">
        <v>12</v>
      </c>
      <c r="C384" t="s">
        <v>23</v>
      </c>
      <c r="D384" t="s">
        <v>17</v>
      </c>
      <c r="E384" t="s">
        <v>18</v>
      </c>
      <c r="F384">
        <v>1304</v>
      </c>
      <c r="G384">
        <v>19</v>
      </c>
      <c r="H384" s="2">
        <v>45374</v>
      </c>
    </row>
    <row r="385" spans="1:8">
      <c r="A385">
        <v>55</v>
      </c>
      <c r="B385" t="s">
        <v>12</v>
      </c>
      <c r="C385" t="s">
        <v>15</v>
      </c>
      <c r="D385" t="s">
        <v>17</v>
      </c>
      <c r="E385" t="s">
        <v>22</v>
      </c>
      <c r="F385">
        <v>1158</v>
      </c>
      <c r="G385">
        <v>18</v>
      </c>
      <c r="H385" s="2">
        <v>45088</v>
      </c>
    </row>
    <row r="386" spans="1:8">
      <c r="A386">
        <v>61</v>
      </c>
      <c r="B386" t="s">
        <v>8</v>
      </c>
      <c r="C386" t="s">
        <v>25</v>
      </c>
      <c r="D386" t="s">
        <v>17</v>
      </c>
      <c r="E386" t="s">
        <v>22</v>
      </c>
      <c r="F386">
        <v>1363</v>
      </c>
      <c r="G386">
        <v>20</v>
      </c>
      <c r="H386" s="2">
        <v>45364</v>
      </c>
    </row>
    <row r="387" spans="1:8">
      <c r="A387">
        <v>33</v>
      </c>
      <c r="B387" t="s">
        <v>8</v>
      </c>
      <c r="C387" t="s">
        <v>19</v>
      </c>
      <c r="D387" t="s">
        <v>14</v>
      </c>
      <c r="E387" t="s">
        <v>11</v>
      </c>
      <c r="F387">
        <v>1411</v>
      </c>
      <c r="G387">
        <v>16</v>
      </c>
      <c r="H387" s="2">
        <v>44953</v>
      </c>
    </row>
    <row r="388" spans="1:8">
      <c r="A388">
        <v>73</v>
      </c>
      <c r="B388" t="s">
        <v>8</v>
      </c>
      <c r="C388" t="s">
        <v>15</v>
      </c>
      <c r="D388" t="s">
        <v>17</v>
      </c>
      <c r="E388" t="s">
        <v>11</v>
      </c>
      <c r="F388">
        <v>1218</v>
      </c>
      <c r="G388">
        <v>8</v>
      </c>
      <c r="H388" s="2">
        <v>45270</v>
      </c>
    </row>
    <row r="389" spans="1:8">
      <c r="A389">
        <v>51</v>
      </c>
      <c r="B389" t="s">
        <v>12</v>
      </c>
      <c r="C389" t="s">
        <v>9</v>
      </c>
      <c r="D389" t="s">
        <v>24</v>
      </c>
      <c r="E389" t="s">
        <v>11</v>
      </c>
      <c r="F389">
        <v>1189</v>
      </c>
      <c r="G389">
        <v>1</v>
      </c>
      <c r="H389" s="2">
        <v>45049</v>
      </c>
    </row>
    <row r="390" spans="1:8">
      <c r="A390">
        <v>66</v>
      </c>
      <c r="B390" t="s">
        <v>12</v>
      </c>
      <c r="C390" t="s">
        <v>13</v>
      </c>
      <c r="D390" t="s">
        <v>20</v>
      </c>
      <c r="E390" t="s">
        <v>18</v>
      </c>
      <c r="F390">
        <v>647</v>
      </c>
      <c r="G390">
        <v>17</v>
      </c>
      <c r="H390" s="2">
        <v>45208</v>
      </c>
    </row>
    <row r="391" spans="1:8">
      <c r="A391">
        <v>73</v>
      </c>
      <c r="B391" t="s">
        <v>12</v>
      </c>
      <c r="C391" t="s">
        <v>21</v>
      </c>
      <c r="D391" t="s">
        <v>17</v>
      </c>
      <c r="E391" t="s">
        <v>18</v>
      </c>
      <c r="F391">
        <v>1226</v>
      </c>
      <c r="G391">
        <v>12</v>
      </c>
      <c r="H391" s="2">
        <v>45242</v>
      </c>
    </row>
    <row r="392" spans="1:8">
      <c r="A392">
        <v>20</v>
      </c>
      <c r="B392" t="s">
        <v>12</v>
      </c>
      <c r="C392" t="s">
        <v>9</v>
      </c>
      <c r="D392" t="s">
        <v>10</v>
      </c>
      <c r="E392" t="s">
        <v>11</v>
      </c>
      <c r="F392">
        <v>974</v>
      </c>
      <c r="G392">
        <v>11</v>
      </c>
      <c r="H392" s="2">
        <v>45039</v>
      </c>
    </row>
    <row r="393" spans="1:8">
      <c r="A393">
        <v>52</v>
      </c>
      <c r="B393" t="s">
        <v>12</v>
      </c>
      <c r="C393" t="s">
        <v>9</v>
      </c>
      <c r="D393" t="s">
        <v>20</v>
      </c>
      <c r="E393" t="s">
        <v>11</v>
      </c>
      <c r="F393">
        <v>603</v>
      </c>
      <c r="G393">
        <v>5</v>
      </c>
      <c r="H393" s="2">
        <v>45487</v>
      </c>
    </row>
    <row r="394" spans="1:8">
      <c r="A394">
        <v>43</v>
      </c>
      <c r="B394" t="s">
        <v>12</v>
      </c>
      <c r="C394" t="s">
        <v>21</v>
      </c>
      <c r="D394" t="s">
        <v>14</v>
      </c>
      <c r="E394" t="s">
        <v>11</v>
      </c>
      <c r="F394">
        <v>1448</v>
      </c>
      <c r="G394">
        <v>12</v>
      </c>
      <c r="H394" s="2">
        <v>45078</v>
      </c>
    </row>
    <row r="395" spans="1:8">
      <c r="A395">
        <v>37</v>
      </c>
      <c r="B395" t="s">
        <v>12</v>
      </c>
      <c r="C395" t="s">
        <v>19</v>
      </c>
      <c r="D395" t="s">
        <v>10</v>
      </c>
      <c r="E395" t="s">
        <v>11</v>
      </c>
      <c r="F395">
        <v>978</v>
      </c>
      <c r="G395">
        <v>17</v>
      </c>
      <c r="H395" s="2">
        <v>45217</v>
      </c>
    </row>
    <row r="396" spans="1:8">
      <c r="A396">
        <v>27</v>
      </c>
      <c r="B396" t="s">
        <v>12</v>
      </c>
      <c r="C396" t="s">
        <v>15</v>
      </c>
      <c r="D396" t="s">
        <v>20</v>
      </c>
      <c r="E396" t="s">
        <v>18</v>
      </c>
      <c r="F396">
        <v>640</v>
      </c>
      <c r="G396">
        <v>6</v>
      </c>
      <c r="H396" s="2">
        <v>45490</v>
      </c>
    </row>
    <row r="397" spans="1:8">
      <c r="A397">
        <v>14</v>
      </c>
      <c r="B397" t="s">
        <v>12</v>
      </c>
      <c r="C397" t="s">
        <v>21</v>
      </c>
      <c r="D397" t="s">
        <v>10</v>
      </c>
      <c r="E397" t="s">
        <v>11</v>
      </c>
      <c r="F397">
        <v>1053</v>
      </c>
      <c r="G397">
        <v>1</v>
      </c>
      <c r="H397" s="2">
        <v>45073</v>
      </c>
    </row>
    <row r="398" spans="1:8">
      <c r="A398">
        <v>73</v>
      </c>
      <c r="B398" t="s">
        <v>12</v>
      </c>
      <c r="C398" t="s">
        <v>15</v>
      </c>
      <c r="D398" t="s">
        <v>14</v>
      </c>
      <c r="E398" t="s">
        <v>22</v>
      </c>
      <c r="F398">
        <v>1673</v>
      </c>
      <c r="G398">
        <v>5</v>
      </c>
      <c r="H398" s="2">
        <v>45391</v>
      </c>
    </row>
    <row r="399" spans="1:8">
      <c r="A399">
        <v>38</v>
      </c>
      <c r="B399" t="s">
        <v>8</v>
      </c>
      <c r="C399" t="s">
        <v>19</v>
      </c>
      <c r="D399" t="s">
        <v>24</v>
      </c>
      <c r="E399" t="s">
        <v>18</v>
      </c>
      <c r="F399">
        <v>995</v>
      </c>
      <c r="G399">
        <v>14</v>
      </c>
      <c r="H399" s="2">
        <v>45482</v>
      </c>
    </row>
    <row r="400" spans="1:8">
      <c r="A400">
        <v>56</v>
      </c>
      <c r="B400" t="s">
        <v>12</v>
      </c>
      <c r="C400" t="s">
        <v>15</v>
      </c>
      <c r="D400" t="s">
        <v>14</v>
      </c>
      <c r="E400" t="s">
        <v>11</v>
      </c>
      <c r="F400">
        <v>1613</v>
      </c>
      <c r="G400">
        <v>5</v>
      </c>
      <c r="H400" s="2">
        <v>45496</v>
      </c>
    </row>
    <row r="401" spans="1:8">
      <c r="A401">
        <v>14</v>
      </c>
      <c r="B401" t="s">
        <v>8</v>
      </c>
      <c r="C401" t="s">
        <v>15</v>
      </c>
      <c r="D401" t="s">
        <v>14</v>
      </c>
      <c r="E401" t="s">
        <v>11</v>
      </c>
      <c r="F401">
        <v>1693</v>
      </c>
      <c r="G401">
        <v>1</v>
      </c>
      <c r="H401" s="2">
        <v>45087</v>
      </c>
    </row>
    <row r="402" spans="1:8">
      <c r="A402">
        <v>23</v>
      </c>
      <c r="B402" t="s">
        <v>8</v>
      </c>
      <c r="C402" t="s">
        <v>15</v>
      </c>
      <c r="D402" t="s">
        <v>10</v>
      </c>
      <c r="E402" t="s">
        <v>11</v>
      </c>
      <c r="F402">
        <v>1108</v>
      </c>
      <c r="G402">
        <v>18</v>
      </c>
      <c r="H402" s="2">
        <v>45157</v>
      </c>
    </row>
    <row r="403" spans="1:8">
      <c r="A403">
        <v>62</v>
      </c>
      <c r="B403" t="s">
        <v>12</v>
      </c>
      <c r="C403" t="s">
        <v>25</v>
      </c>
      <c r="D403" t="s">
        <v>16</v>
      </c>
      <c r="E403" t="s">
        <v>11</v>
      </c>
      <c r="F403">
        <v>787</v>
      </c>
      <c r="G403">
        <v>16</v>
      </c>
      <c r="H403" s="2">
        <v>45397</v>
      </c>
    </row>
    <row r="404" spans="1:8">
      <c r="A404">
        <v>5</v>
      </c>
      <c r="B404" t="s">
        <v>8</v>
      </c>
      <c r="C404" t="s">
        <v>15</v>
      </c>
      <c r="D404" t="s">
        <v>17</v>
      </c>
      <c r="E404" t="s">
        <v>18</v>
      </c>
      <c r="F404">
        <v>1363</v>
      </c>
      <c r="G404">
        <v>9</v>
      </c>
      <c r="H404" s="2">
        <v>45204</v>
      </c>
    </row>
    <row r="405" spans="1:8">
      <c r="A405">
        <v>73</v>
      </c>
      <c r="B405" t="s">
        <v>8</v>
      </c>
      <c r="C405" t="s">
        <v>15</v>
      </c>
      <c r="D405" t="s">
        <v>17</v>
      </c>
      <c r="E405" t="s">
        <v>18</v>
      </c>
      <c r="F405">
        <v>1256</v>
      </c>
      <c r="G405">
        <v>19</v>
      </c>
      <c r="H405" s="2">
        <v>45061</v>
      </c>
    </row>
    <row r="406" spans="1:8">
      <c r="A406">
        <v>8</v>
      </c>
      <c r="B406" t="s">
        <v>8</v>
      </c>
      <c r="C406" t="s">
        <v>15</v>
      </c>
      <c r="D406" t="s">
        <v>24</v>
      </c>
      <c r="E406" t="s">
        <v>18</v>
      </c>
      <c r="F406">
        <v>1055</v>
      </c>
      <c r="G406">
        <v>5</v>
      </c>
      <c r="H406" s="2">
        <v>45402</v>
      </c>
    </row>
    <row r="407" spans="1:8">
      <c r="A407">
        <v>20</v>
      </c>
      <c r="B407" t="s">
        <v>12</v>
      </c>
      <c r="C407" t="s">
        <v>9</v>
      </c>
      <c r="D407" t="s">
        <v>24</v>
      </c>
      <c r="E407" t="s">
        <v>11</v>
      </c>
      <c r="F407">
        <v>1038</v>
      </c>
      <c r="G407">
        <v>2</v>
      </c>
      <c r="H407" s="2">
        <v>45649</v>
      </c>
    </row>
    <row r="408" spans="1:8">
      <c r="A408">
        <v>28</v>
      </c>
      <c r="B408" t="s">
        <v>12</v>
      </c>
      <c r="C408" t="s">
        <v>26</v>
      </c>
      <c r="D408" t="s">
        <v>17</v>
      </c>
      <c r="E408" t="s">
        <v>11</v>
      </c>
      <c r="F408">
        <v>1220</v>
      </c>
      <c r="G408">
        <v>15</v>
      </c>
      <c r="H408" s="2">
        <v>44951</v>
      </c>
    </row>
    <row r="409" spans="1:8">
      <c r="A409">
        <v>6</v>
      </c>
      <c r="B409" t="s">
        <v>12</v>
      </c>
      <c r="C409" t="s">
        <v>9</v>
      </c>
      <c r="D409" t="s">
        <v>16</v>
      </c>
      <c r="E409" t="s">
        <v>18</v>
      </c>
      <c r="F409">
        <v>764</v>
      </c>
      <c r="G409">
        <v>7</v>
      </c>
      <c r="H409" s="2">
        <v>45628</v>
      </c>
    </row>
    <row r="410" spans="1:8">
      <c r="A410">
        <v>36</v>
      </c>
      <c r="B410" t="s">
        <v>8</v>
      </c>
      <c r="C410" t="s">
        <v>19</v>
      </c>
      <c r="D410" t="s">
        <v>17</v>
      </c>
      <c r="E410" t="s">
        <v>11</v>
      </c>
      <c r="F410">
        <v>1206</v>
      </c>
      <c r="G410">
        <v>4</v>
      </c>
      <c r="H410" s="2">
        <v>45517</v>
      </c>
    </row>
    <row r="411" spans="1:8">
      <c r="A411">
        <v>28</v>
      </c>
      <c r="B411" t="s">
        <v>8</v>
      </c>
      <c r="C411" t="s">
        <v>13</v>
      </c>
      <c r="D411" t="s">
        <v>16</v>
      </c>
      <c r="E411" t="s">
        <v>11</v>
      </c>
      <c r="F411">
        <v>846</v>
      </c>
      <c r="G411">
        <v>1</v>
      </c>
      <c r="H411" s="2">
        <v>45315</v>
      </c>
    </row>
    <row r="412" spans="1:8">
      <c r="A412">
        <v>16</v>
      </c>
      <c r="B412" t="s">
        <v>8</v>
      </c>
      <c r="C412" t="s">
        <v>9</v>
      </c>
      <c r="D412" t="s">
        <v>24</v>
      </c>
      <c r="E412" t="s">
        <v>11</v>
      </c>
      <c r="F412">
        <v>1036</v>
      </c>
      <c r="G412">
        <v>13</v>
      </c>
      <c r="H412" s="2">
        <v>45062</v>
      </c>
    </row>
    <row r="413" spans="1:8">
      <c r="A413">
        <v>54</v>
      </c>
      <c r="B413" t="s">
        <v>8</v>
      </c>
      <c r="C413" t="s">
        <v>15</v>
      </c>
      <c r="D413" t="s">
        <v>20</v>
      </c>
      <c r="E413" t="s">
        <v>11</v>
      </c>
      <c r="F413">
        <v>561</v>
      </c>
      <c r="G413">
        <v>20</v>
      </c>
      <c r="H413" s="2">
        <v>45092</v>
      </c>
    </row>
    <row r="414" spans="1:8">
      <c r="A414">
        <v>39</v>
      </c>
      <c r="B414" t="s">
        <v>8</v>
      </c>
      <c r="C414" t="s">
        <v>15</v>
      </c>
      <c r="D414" t="s">
        <v>10</v>
      </c>
      <c r="E414" t="s">
        <v>11</v>
      </c>
      <c r="F414">
        <v>999</v>
      </c>
      <c r="G414">
        <v>7</v>
      </c>
      <c r="H414" s="2">
        <v>45102</v>
      </c>
    </row>
    <row r="415" spans="1:8">
      <c r="A415">
        <v>37</v>
      </c>
      <c r="B415" t="s">
        <v>12</v>
      </c>
      <c r="C415" t="s">
        <v>15</v>
      </c>
      <c r="D415" t="s">
        <v>24</v>
      </c>
      <c r="E415" t="s">
        <v>11</v>
      </c>
      <c r="F415">
        <v>1040</v>
      </c>
      <c r="G415">
        <v>15</v>
      </c>
      <c r="H415" s="2">
        <v>45422</v>
      </c>
    </row>
    <row r="416" spans="1:8">
      <c r="A416">
        <v>37</v>
      </c>
      <c r="B416" t="s">
        <v>12</v>
      </c>
      <c r="C416" t="s">
        <v>9</v>
      </c>
      <c r="D416" t="s">
        <v>24</v>
      </c>
      <c r="E416" t="s">
        <v>22</v>
      </c>
      <c r="F416">
        <v>982</v>
      </c>
      <c r="G416">
        <v>14</v>
      </c>
      <c r="H416" s="2">
        <v>44999</v>
      </c>
    </row>
    <row r="417" spans="1:8">
      <c r="A417">
        <v>65</v>
      </c>
      <c r="B417" t="s">
        <v>8</v>
      </c>
      <c r="C417" t="s">
        <v>9</v>
      </c>
      <c r="D417" t="s">
        <v>14</v>
      </c>
      <c r="E417" t="s">
        <v>11</v>
      </c>
      <c r="F417">
        <v>1576</v>
      </c>
      <c r="G417">
        <v>19</v>
      </c>
      <c r="H417" s="2">
        <v>45422</v>
      </c>
    </row>
    <row r="418" spans="1:8">
      <c r="A418">
        <v>55</v>
      </c>
      <c r="B418" t="s">
        <v>12</v>
      </c>
      <c r="C418" t="s">
        <v>25</v>
      </c>
      <c r="D418" t="s">
        <v>14</v>
      </c>
      <c r="E418" t="s">
        <v>11</v>
      </c>
      <c r="F418">
        <v>1597</v>
      </c>
      <c r="G418">
        <v>20</v>
      </c>
      <c r="H418" s="2">
        <v>45285</v>
      </c>
    </row>
    <row r="419" spans="1:8">
      <c r="A419">
        <v>47</v>
      </c>
      <c r="B419" t="s">
        <v>12</v>
      </c>
      <c r="C419" t="s">
        <v>15</v>
      </c>
      <c r="D419" t="s">
        <v>14</v>
      </c>
      <c r="E419" t="s">
        <v>11</v>
      </c>
      <c r="F419">
        <v>1511</v>
      </c>
      <c r="G419">
        <v>18</v>
      </c>
      <c r="H419" s="2">
        <v>45152</v>
      </c>
    </row>
    <row r="420" spans="1:8">
      <c r="A420">
        <v>16</v>
      </c>
      <c r="B420" t="s">
        <v>12</v>
      </c>
      <c r="C420" t="s">
        <v>9</v>
      </c>
      <c r="D420" t="s">
        <v>10</v>
      </c>
      <c r="E420" t="s">
        <v>18</v>
      </c>
      <c r="F420">
        <v>955</v>
      </c>
      <c r="G420">
        <v>10</v>
      </c>
      <c r="H420" s="2">
        <v>45348</v>
      </c>
    </row>
    <row r="421" spans="1:8">
      <c r="A421">
        <v>71</v>
      </c>
      <c r="B421" t="s">
        <v>12</v>
      </c>
      <c r="C421" t="s">
        <v>19</v>
      </c>
      <c r="D421" t="s">
        <v>14</v>
      </c>
      <c r="E421" t="s">
        <v>11</v>
      </c>
      <c r="F421">
        <v>1578</v>
      </c>
      <c r="G421">
        <v>9</v>
      </c>
      <c r="H421" s="2">
        <v>45100</v>
      </c>
    </row>
    <row r="422" spans="1:8">
      <c r="A422">
        <v>69</v>
      </c>
      <c r="B422" t="s">
        <v>8</v>
      </c>
      <c r="C422" t="s">
        <v>9</v>
      </c>
      <c r="D422" t="s">
        <v>16</v>
      </c>
      <c r="E422" t="s">
        <v>11</v>
      </c>
      <c r="F422">
        <v>885</v>
      </c>
      <c r="G422">
        <v>8</v>
      </c>
      <c r="H422" s="2">
        <v>45544</v>
      </c>
    </row>
    <row r="423" spans="1:8">
      <c r="A423">
        <v>37</v>
      </c>
      <c r="B423" t="s">
        <v>8</v>
      </c>
      <c r="C423" t="s">
        <v>25</v>
      </c>
      <c r="D423" t="s">
        <v>17</v>
      </c>
      <c r="E423" t="s">
        <v>11</v>
      </c>
      <c r="F423">
        <v>1317</v>
      </c>
      <c r="G423">
        <v>10</v>
      </c>
      <c r="H423" s="2">
        <v>45163</v>
      </c>
    </row>
    <row r="424" spans="1:8">
      <c r="A424">
        <v>44</v>
      </c>
      <c r="B424" t="s">
        <v>8</v>
      </c>
      <c r="C424" t="s">
        <v>19</v>
      </c>
      <c r="D424" t="s">
        <v>20</v>
      </c>
      <c r="E424" t="s">
        <v>18</v>
      </c>
      <c r="F424">
        <v>616</v>
      </c>
      <c r="G424">
        <v>17</v>
      </c>
      <c r="H424" s="2">
        <v>45244</v>
      </c>
    </row>
    <row r="425" spans="1:8">
      <c r="A425">
        <v>78</v>
      </c>
      <c r="B425" t="s">
        <v>8</v>
      </c>
      <c r="C425" t="s">
        <v>15</v>
      </c>
      <c r="D425" t="s">
        <v>24</v>
      </c>
      <c r="E425" t="s">
        <v>11</v>
      </c>
      <c r="F425">
        <v>1019</v>
      </c>
      <c r="G425">
        <v>2</v>
      </c>
      <c r="H425" s="2">
        <v>45507</v>
      </c>
    </row>
    <row r="426" spans="1:8">
      <c r="A426">
        <v>47</v>
      </c>
      <c r="B426" t="s">
        <v>12</v>
      </c>
      <c r="C426" t="s">
        <v>23</v>
      </c>
      <c r="D426" t="s">
        <v>16</v>
      </c>
      <c r="E426" t="s">
        <v>18</v>
      </c>
      <c r="F426">
        <v>874</v>
      </c>
      <c r="G426">
        <v>6</v>
      </c>
      <c r="H426" s="2">
        <v>45524</v>
      </c>
    </row>
    <row r="427" spans="1:8">
      <c r="A427">
        <v>48</v>
      </c>
      <c r="B427" t="s">
        <v>12</v>
      </c>
      <c r="C427" t="s">
        <v>9</v>
      </c>
      <c r="D427" t="s">
        <v>20</v>
      </c>
      <c r="E427" t="s">
        <v>22</v>
      </c>
      <c r="F427">
        <v>422</v>
      </c>
      <c r="G427">
        <v>5</v>
      </c>
      <c r="H427" s="2">
        <v>45489</v>
      </c>
    </row>
    <row r="428" spans="1:8">
      <c r="A428">
        <v>33</v>
      </c>
      <c r="B428" t="s">
        <v>8</v>
      </c>
      <c r="C428" t="s">
        <v>9</v>
      </c>
      <c r="D428" t="s">
        <v>16</v>
      </c>
      <c r="E428" t="s">
        <v>11</v>
      </c>
      <c r="F428">
        <v>912</v>
      </c>
      <c r="G428">
        <v>9</v>
      </c>
      <c r="H428" s="2">
        <v>45140</v>
      </c>
    </row>
    <row r="429" spans="1:8">
      <c r="A429">
        <v>17</v>
      </c>
      <c r="B429" t="s">
        <v>12</v>
      </c>
      <c r="C429" t="s">
        <v>9</v>
      </c>
      <c r="D429" t="s">
        <v>16</v>
      </c>
      <c r="E429" t="s">
        <v>18</v>
      </c>
      <c r="F429">
        <v>934</v>
      </c>
      <c r="G429">
        <v>5</v>
      </c>
      <c r="H429" s="2">
        <v>45087</v>
      </c>
    </row>
    <row r="430" spans="1:8">
      <c r="A430">
        <v>16</v>
      </c>
      <c r="B430" t="s">
        <v>8</v>
      </c>
      <c r="C430" t="s">
        <v>9</v>
      </c>
      <c r="D430" t="s">
        <v>24</v>
      </c>
      <c r="E430" t="s">
        <v>11</v>
      </c>
      <c r="F430">
        <v>912</v>
      </c>
      <c r="G430">
        <v>18</v>
      </c>
      <c r="H430" s="2">
        <v>44960</v>
      </c>
    </row>
    <row r="431" spans="1:8">
      <c r="A431">
        <v>50</v>
      </c>
      <c r="B431" t="s">
        <v>8</v>
      </c>
      <c r="C431" t="s">
        <v>23</v>
      </c>
      <c r="D431" t="s">
        <v>17</v>
      </c>
      <c r="E431" t="s">
        <v>22</v>
      </c>
      <c r="F431">
        <v>1200</v>
      </c>
      <c r="G431">
        <v>20</v>
      </c>
      <c r="H431" s="2">
        <v>45333</v>
      </c>
    </row>
    <row r="432" spans="1:8">
      <c r="A432">
        <v>6</v>
      </c>
      <c r="B432" t="s">
        <v>12</v>
      </c>
      <c r="C432" t="s">
        <v>15</v>
      </c>
      <c r="D432" t="s">
        <v>14</v>
      </c>
      <c r="E432" t="s">
        <v>11</v>
      </c>
      <c r="F432">
        <v>1423</v>
      </c>
      <c r="G432">
        <v>9</v>
      </c>
      <c r="H432" s="2">
        <v>45515</v>
      </c>
    </row>
    <row r="433" spans="1:8">
      <c r="A433">
        <v>39</v>
      </c>
      <c r="B433" t="s">
        <v>8</v>
      </c>
      <c r="C433" t="s">
        <v>15</v>
      </c>
      <c r="D433" t="s">
        <v>10</v>
      </c>
      <c r="E433" t="s">
        <v>18</v>
      </c>
      <c r="F433">
        <v>910</v>
      </c>
      <c r="G433">
        <v>17</v>
      </c>
      <c r="H433" s="2">
        <v>45617</v>
      </c>
    </row>
    <row r="434" spans="1:8">
      <c r="A434">
        <v>12</v>
      </c>
      <c r="B434" t="s">
        <v>8</v>
      </c>
      <c r="C434" t="s">
        <v>15</v>
      </c>
      <c r="D434" t="s">
        <v>17</v>
      </c>
      <c r="E434" t="s">
        <v>11</v>
      </c>
      <c r="F434">
        <v>1372</v>
      </c>
      <c r="G434">
        <v>17</v>
      </c>
      <c r="H434" s="2">
        <v>44947</v>
      </c>
    </row>
    <row r="435" spans="1:8">
      <c r="A435">
        <v>30</v>
      </c>
      <c r="B435" t="s">
        <v>8</v>
      </c>
      <c r="C435" t="s">
        <v>23</v>
      </c>
      <c r="D435" t="s">
        <v>10</v>
      </c>
      <c r="E435" t="s">
        <v>11</v>
      </c>
      <c r="F435">
        <v>1180</v>
      </c>
      <c r="G435">
        <v>12</v>
      </c>
      <c r="H435" s="2">
        <v>45099</v>
      </c>
    </row>
    <row r="436" spans="1:8">
      <c r="A436">
        <v>78</v>
      </c>
      <c r="B436" t="s">
        <v>12</v>
      </c>
      <c r="C436" t="s">
        <v>15</v>
      </c>
      <c r="D436" t="s">
        <v>24</v>
      </c>
      <c r="E436" t="s">
        <v>11</v>
      </c>
      <c r="F436">
        <v>993</v>
      </c>
      <c r="G436">
        <v>7</v>
      </c>
      <c r="H436" s="2">
        <v>45456</v>
      </c>
    </row>
    <row r="437" spans="1:8">
      <c r="A437">
        <v>38</v>
      </c>
      <c r="B437" t="s">
        <v>12</v>
      </c>
      <c r="C437" t="s">
        <v>13</v>
      </c>
      <c r="D437" t="s">
        <v>24</v>
      </c>
      <c r="E437" t="s">
        <v>11</v>
      </c>
      <c r="F437">
        <v>1100</v>
      </c>
      <c r="G437">
        <v>3</v>
      </c>
      <c r="H437" s="2">
        <v>45237</v>
      </c>
    </row>
    <row r="438" spans="1:8">
      <c r="A438">
        <v>11</v>
      </c>
      <c r="B438" t="s">
        <v>12</v>
      </c>
      <c r="C438" t="s">
        <v>9</v>
      </c>
      <c r="D438" t="s">
        <v>24</v>
      </c>
      <c r="E438" t="s">
        <v>11</v>
      </c>
      <c r="F438">
        <v>920</v>
      </c>
      <c r="G438">
        <v>10</v>
      </c>
      <c r="H438" s="2">
        <v>45405</v>
      </c>
    </row>
    <row r="439" spans="1:8">
      <c r="A439">
        <v>72</v>
      </c>
      <c r="B439" t="s">
        <v>12</v>
      </c>
      <c r="C439" t="s">
        <v>25</v>
      </c>
      <c r="D439" t="s">
        <v>20</v>
      </c>
      <c r="E439" t="s">
        <v>11</v>
      </c>
      <c r="F439">
        <v>610</v>
      </c>
      <c r="G439">
        <v>2</v>
      </c>
      <c r="H439" s="2">
        <v>45277</v>
      </c>
    </row>
    <row r="440" spans="1:8">
      <c r="A440">
        <v>62</v>
      </c>
      <c r="B440" t="s">
        <v>12</v>
      </c>
      <c r="C440" t="s">
        <v>26</v>
      </c>
      <c r="D440" t="s">
        <v>10</v>
      </c>
      <c r="E440" t="s">
        <v>11</v>
      </c>
      <c r="F440">
        <v>1039</v>
      </c>
      <c r="G440">
        <v>3</v>
      </c>
      <c r="H440" s="2">
        <v>45232</v>
      </c>
    </row>
    <row r="441" spans="1:8">
      <c r="A441">
        <v>79</v>
      </c>
      <c r="B441" t="s">
        <v>8</v>
      </c>
      <c r="C441" t="s">
        <v>25</v>
      </c>
      <c r="D441" t="s">
        <v>17</v>
      </c>
      <c r="E441" t="s">
        <v>11</v>
      </c>
      <c r="F441">
        <v>1392</v>
      </c>
      <c r="G441">
        <v>16</v>
      </c>
      <c r="H441" s="2">
        <v>45608</v>
      </c>
    </row>
    <row r="442" spans="1:8">
      <c r="A442">
        <v>33</v>
      </c>
      <c r="B442" t="s">
        <v>12</v>
      </c>
      <c r="C442" t="s">
        <v>13</v>
      </c>
      <c r="D442" t="s">
        <v>17</v>
      </c>
      <c r="E442" t="s">
        <v>18</v>
      </c>
      <c r="F442">
        <v>1397</v>
      </c>
      <c r="G442">
        <v>2</v>
      </c>
      <c r="H442" s="2">
        <v>45224</v>
      </c>
    </row>
    <row r="443" spans="1:8">
      <c r="A443">
        <v>40</v>
      </c>
      <c r="B443" t="s">
        <v>8</v>
      </c>
      <c r="C443" t="s">
        <v>9</v>
      </c>
      <c r="D443" t="s">
        <v>16</v>
      </c>
      <c r="E443" t="s">
        <v>11</v>
      </c>
      <c r="F443">
        <v>800</v>
      </c>
      <c r="G443">
        <v>10</v>
      </c>
      <c r="H443" s="2">
        <v>44995</v>
      </c>
    </row>
    <row r="444" spans="1:8">
      <c r="A444">
        <v>25</v>
      </c>
      <c r="B444" t="s">
        <v>8</v>
      </c>
      <c r="C444" t="s">
        <v>19</v>
      </c>
      <c r="D444" t="s">
        <v>16</v>
      </c>
      <c r="E444" t="s">
        <v>11</v>
      </c>
      <c r="F444">
        <v>727</v>
      </c>
      <c r="G444">
        <v>6</v>
      </c>
      <c r="H444" s="2">
        <v>45614</v>
      </c>
    </row>
    <row r="445" spans="1:8">
      <c r="A445">
        <v>40</v>
      </c>
      <c r="B445" t="s">
        <v>8</v>
      </c>
      <c r="C445" t="s">
        <v>15</v>
      </c>
      <c r="D445" t="s">
        <v>16</v>
      </c>
      <c r="E445" t="s">
        <v>11</v>
      </c>
      <c r="F445">
        <v>740</v>
      </c>
      <c r="G445">
        <v>11</v>
      </c>
      <c r="H445" s="2">
        <v>45373</v>
      </c>
    </row>
    <row r="446" spans="1:8">
      <c r="A446">
        <v>14</v>
      </c>
      <c r="B446" t="s">
        <v>12</v>
      </c>
      <c r="C446" t="s">
        <v>15</v>
      </c>
      <c r="D446" t="s">
        <v>24</v>
      </c>
      <c r="E446" t="s">
        <v>11</v>
      </c>
      <c r="F446">
        <v>1045</v>
      </c>
      <c r="G446">
        <v>7</v>
      </c>
      <c r="H446" s="2">
        <v>44953</v>
      </c>
    </row>
    <row r="447" spans="1:8">
      <c r="A447">
        <v>77</v>
      </c>
      <c r="B447" t="s">
        <v>8</v>
      </c>
      <c r="C447" t="s">
        <v>9</v>
      </c>
      <c r="D447" t="s">
        <v>17</v>
      </c>
      <c r="E447" t="s">
        <v>22</v>
      </c>
      <c r="F447">
        <v>1355</v>
      </c>
      <c r="G447">
        <v>15</v>
      </c>
      <c r="H447" s="2">
        <v>45362</v>
      </c>
    </row>
    <row r="448" spans="1:8">
      <c r="A448">
        <v>28</v>
      </c>
      <c r="B448" t="s">
        <v>12</v>
      </c>
      <c r="C448" t="s">
        <v>19</v>
      </c>
      <c r="D448" t="s">
        <v>10</v>
      </c>
      <c r="E448" t="s">
        <v>11</v>
      </c>
      <c r="F448">
        <v>1126</v>
      </c>
      <c r="G448">
        <v>6</v>
      </c>
      <c r="H448" s="2">
        <v>45032</v>
      </c>
    </row>
    <row r="449" spans="1:8">
      <c r="A449">
        <v>68</v>
      </c>
      <c r="B449" t="s">
        <v>12</v>
      </c>
      <c r="C449" t="s">
        <v>15</v>
      </c>
      <c r="D449" t="s">
        <v>24</v>
      </c>
      <c r="E449" t="s">
        <v>18</v>
      </c>
      <c r="F449">
        <v>1135</v>
      </c>
      <c r="G449">
        <v>20</v>
      </c>
      <c r="H449" s="2">
        <v>45613</v>
      </c>
    </row>
    <row r="450" spans="1:8">
      <c r="A450">
        <v>53</v>
      </c>
      <c r="B450" t="s">
        <v>8</v>
      </c>
      <c r="C450" t="s">
        <v>19</v>
      </c>
      <c r="D450" t="s">
        <v>20</v>
      </c>
      <c r="E450" t="s">
        <v>22</v>
      </c>
      <c r="F450">
        <v>412</v>
      </c>
      <c r="G450">
        <v>9</v>
      </c>
      <c r="H450" s="2">
        <v>45249</v>
      </c>
    </row>
    <row r="451" spans="1:8">
      <c r="A451">
        <v>40</v>
      </c>
      <c r="B451" t="s">
        <v>12</v>
      </c>
      <c r="C451" t="s">
        <v>13</v>
      </c>
      <c r="D451" t="s">
        <v>16</v>
      </c>
      <c r="E451" t="s">
        <v>18</v>
      </c>
      <c r="F451">
        <v>909</v>
      </c>
      <c r="G451">
        <v>20</v>
      </c>
      <c r="H451" s="2">
        <v>45064</v>
      </c>
    </row>
    <row r="452" spans="1:8">
      <c r="A452">
        <v>28</v>
      </c>
      <c r="B452" t="s">
        <v>12</v>
      </c>
      <c r="C452" t="s">
        <v>19</v>
      </c>
      <c r="D452" t="s">
        <v>24</v>
      </c>
      <c r="E452" t="s">
        <v>11</v>
      </c>
      <c r="F452">
        <v>1128</v>
      </c>
      <c r="G452">
        <v>12</v>
      </c>
      <c r="H452" s="2">
        <v>45354</v>
      </c>
    </row>
    <row r="453" spans="1:8">
      <c r="A453">
        <v>27</v>
      </c>
      <c r="B453" t="s">
        <v>8</v>
      </c>
      <c r="C453" t="s">
        <v>23</v>
      </c>
      <c r="D453" t="s">
        <v>24</v>
      </c>
      <c r="E453" t="s">
        <v>18</v>
      </c>
      <c r="F453">
        <v>999</v>
      </c>
      <c r="G453">
        <v>19</v>
      </c>
      <c r="H453" s="2">
        <v>45098</v>
      </c>
    </row>
    <row r="454" spans="1:8">
      <c r="A454">
        <v>66</v>
      </c>
      <c r="B454" t="s">
        <v>12</v>
      </c>
      <c r="C454" t="s">
        <v>25</v>
      </c>
      <c r="D454" t="s">
        <v>20</v>
      </c>
      <c r="E454" t="s">
        <v>22</v>
      </c>
      <c r="F454">
        <v>430</v>
      </c>
      <c r="G454">
        <v>20</v>
      </c>
      <c r="H454" s="2">
        <v>45257</v>
      </c>
    </row>
    <row r="455" spans="1:8">
      <c r="A455">
        <v>41</v>
      </c>
      <c r="B455" t="s">
        <v>12</v>
      </c>
      <c r="C455" t="s">
        <v>26</v>
      </c>
      <c r="D455" t="s">
        <v>14</v>
      </c>
      <c r="E455" t="s">
        <v>11</v>
      </c>
      <c r="F455">
        <v>1415</v>
      </c>
      <c r="G455">
        <v>3</v>
      </c>
      <c r="H455" s="2">
        <v>45652</v>
      </c>
    </row>
    <row r="456" spans="1:8">
      <c r="A456">
        <v>16</v>
      </c>
      <c r="B456" t="s">
        <v>12</v>
      </c>
      <c r="C456" t="s">
        <v>19</v>
      </c>
      <c r="D456" t="s">
        <v>17</v>
      </c>
      <c r="E456" t="s">
        <v>11</v>
      </c>
      <c r="F456">
        <v>1236</v>
      </c>
      <c r="G456">
        <v>15</v>
      </c>
      <c r="H456" s="2">
        <v>45428</v>
      </c>
    </row>
    <row r="457" spans="1:8">
      <c r="A457">
        <v>59</v>
      </c>
      <c r="B457" t="s">
        <v>8</v>
      </c>
      <c r="C457" t="s">
        <v>25</v>
      </c>
      <c r="D457" t="s">
        <v>10</v>
      </c>
      <c r="E457" t="s">
        <v>11</v>
      </c>
      <c r="F457">
        <v>1065</v>
      </c>
      <c r="G457">
        <v>2</v>
      </c>
      <c r="H457" s="2">
        <v>44991</v>
      </c>
    </row>
    <row r="458" spans="1:8">
      <c r="A458">
        <v>17</v>
      </c>
      <c r="B458" t="s">
        <v>8</v>
      </c>
      <c r="C458" t="s">
        <v>26</v>
      </c>
      <c r="D458" t="s">
        <v>14</v>
      </c>
      <c r="E458" t="s">
        <v>11</v>
      </c>
      <c r="F458">
        <v>1499</v>
      </c>
      <c r="G458">
        <v>2</v>
      </c>
      <c r="H458" s="2">
        <v>45468</v>
      </c>
    </row>
    <row r="459" spans="1:8">
      <c r="A459">
        <v>27</v>
      </c>
      <c r="B459" t="s">
        <v>12</v>
      </c>
      <c r="C459" t="s">
        <v>21</v>
      </c>
      <c r="D459" t="s">
        <v>16</v>
      </c>
      <c r="E459" t="s">
        <v>11</v>
      </c>
      <c r="F459">
        <v>808</v>
      </c>
      <c r="G459">
        <v>3</v>
      </c>
      <c r="H459" s="2">
        <v>45455</v>
      </c>
    </row>
    <row r="460" spans="1:8">
      <c r="A460">
        <v>34</v>
      </c>
      <c r="B460" t="s">
        <v>12</v>
      </c>
      <c r="C460" t="s">
        <v>15</v>
      </c>
      <c r="D460" t="s">
        <v>24</v>
      </c>
      <c r="E460" t="s">
        <v>11</v>
      </c>
      <c r="F460">
        <v>1072</v>
      </c>
      <c r="G460">
        <v>6</v>
      </c>
      <c r="H460" s="2">
        <v>45149</v>
      </c>
    </row>
    <row r="461" spans="1:8">
      <c r="A461">
        <v>21</v>
      </c>
      <c r="B461" t="s">
        <v>12</v>
      </c>
      <c r="C461" t="s">
        <v>9</v>
      </c>
      <c r="D461" t="s">
        <v>20</v>
      </c>
      <c r="E461" t="s">
        <v>11</v>
      </c>
      <c r="F461">
        <v>636</v>
      </c>
      <c r="G461">
        <v>15</v>
      </c>
      <c r="H461" s="2">
        <v>44972</v>
      </c>
    </row>
    <row r="462" spans="1:8">
      <c r="A462">
        <v>66</v>
      </c>
      <c r="B462" t="s">
        <v>12</v>
      </c>
      <c r="C462" t="s">
        <v>15</v>
      </c>
      <c r="D462" t="s">
        <v>20</v>
      </c>
      <c r="E462" t="s">
        <v>11</v>
      </c>
      <c r="F462">
        <v>561</v>
      </c>
      <c r="G462">
        <v>10</v>
      </c>
      <c r="H462" s="2">
        <v>45306</v>
      </c>
    </row>
    <row r="463" spans="1:8">
      <c r="A463">
        <v>17</v>
      </c>
      <c r="B463" t="s">
        <v>8</v>
      </c>
      <c r="C463" t="s">
        <v>15</v>
      </c>
      <c r="D463" t="s">
        <v>17</v>
      </c>
      <c r="E463" t="s">
        <v>11</v>
      </c>
      <c r="F463">
        <v>1315</v>
      </c>
      <c r="G463">
        <v>9</v>
      </c>
      <c r="H463" s="2">
        <v>45398</v>
      </c>
    </row>
    <row r="464" spans="1:8">
      <c r="A464">
        <v>63</v>
      </c>
      <c r="B464" t="s">
        <v>12</v>
      </c>
      <c r="C464" t="s">
        <v>19</v>
      </c>
      <c r="D464" t="s">
        <v>14</v>
      </c>
      <c r="E464" t="s">
        <v>11</v>
      </c>
      <c r="F464">
        <v>1663</v>
      </c>
      <c r="G464">
        <v>1</v>
      </c>
      <c r="H464" s="2">
        <v>45483</v>
      </c>
    </row>
    <row r="465" spans="1:8">
      <c r="A465">
        <v>23</v>
      </c>
      <c r="B465" t="s">
        <v>12</v>
      </c>
      <c r="C465" t="s">
        <v>23</v>
      </c>
      <c r="D465" t="s">
        <v>17</v>
      </c>
      <c r="E465" t="s">
        <v>11</v>
      </c>
      <c r="F465">
        <v>1362</v>
      </c>
      <c r="G465">
        <v>16</v>
      </c>
      <c r="H465" s="2">
        <v>45242</v>
      </c>
    </row>
    <row r="466" spans="1:8">
      <c r="A466">
        <v>53</v>
      </c>
      <c r="B466" t="s">
        <v>8</v>
      </c>
      <c r="C466" t="s">
        <v>25</v>
      </c>
      <c r="D466" t="s">
        <v>24</v>
      </c>
      <c r="E466" t="s">
        <v>11</v>
      </c>
      <c r="F466">
        <v>1191</v>
      </c>
      <c r="G466">
        <v>6</v>
      </c>
      <c r="H466" s="2">
        <v>45212</v>
      </c>
    </row>
    <row r="467" spans="1:8">
      <c r="A467">
        <v>16</v>
      </c>
      <c r="B467" t="s">
        <v>8</v>
      </c>
      <c r="C467" t="s">
        <v>15</v>
      </c>
      <c r="D467" t="s">
        <v>17</v>
      </c>
      <c r="E467" t="s">
        <v>11</v>
      </c>
      <c r="F467">
        <v>1373</v>
      </c>
      <c r="G467">
        <v>9</v>
      </c>
      <c r="H467" s="2">
        <v>44989</v>
      </c>
    </row>
    <row r="468" spans="1:8">
      <c r="A468">
        <v>65</v>
      </c>
      <c r="B468" t="s">
        <v>8</v>
      </c>
      <c r="C468" t="s">
        <v>13</v>
      </c>
      <c r="D468" t="s">
        <v>10</v>
      </c>
      <c r="E468" t="s">
        <v>18</v>
      </c>
      <c r="F468">
        <v>902</v>
      </c>
      <c r="G468">
        <v>4</v>
      </c>
      <c r="H468" s="2">
        <v>44992</v>
      </c>
    </row>
    <row r="469" spans="1:8">
      <c r="A469">
        <v>23</v>
      </c>
      <c r="B469" t="s">
        <v>12</v>
      </c>
      <c r="C469" t="s">
        <v>19</v>
      </c>
      <c r="D469" t="s">
        <v>20</v>
      </c>
      <c r="E469" t="s">
        <v>11</v>
      </c>
      <c r="F469">
        <v>427</v>
      </c>
      <c r="G469">
        <v>2</v>
      </c>
      <c r="H469" s="2">
        <v>45068</v>
      </c>
    </row>
    <row r="470" spans="1:8">
      <c r="A470">
        <v>13</v>
      </c>
      <c r="B470" t="s">
        <v>12</v>
      </c>
      <c r="C470" t="s">
        <v>23</v>
      </c>
      <c r="D470" t="s">
        <v>20</v>
      </c>
      <c r="E470" t="s">
        <v>11</v>
      </c>
      <c r="F470">
        <v>548</v>
      </c>
      <c r="G470">
        <v>4</v>
      </c>
      <c r="H470" s="2">
        <v>45048</v>
      </c>
    </row>
    <row r="471" spans="1:8">
      <c r="A471">
        <v>75</v>
      </c>
      <c r="B471" t="s">
        <v>12</v>
      </c>
      <c r="C471" t="s">
        <v>21</v>
      </c>
      <c r="D471" t="s">
        <v>16</v>
      </c>
      <c r="E471" t="s">
        <v>18</v>
      </c>
      <c r="F471">
        <v>727</v>
      </c>
      <c r="G471">
        <v>1</v>
      </c>
      <c r="H471" s="2">
        <v>45225</v>
      </c>
    </row>
    <row r="472" spans="1:8">
      <c r="A472">
        <v>32</v>
      </c>
      <c r="B472" t="s">
        <v>12</v>
      </c>
      <c r="C472" t="s">
        <v>19</v>
      </c>
      <c r="D472" t="s">
        <v>16</v>
      </c>
      <c r="E472" t="s">
        <v>11</v>
      </c>
      <c r="F472">
        <v>764</v>
      </c>
      <c r="G472">
        <v>19</v>
      </c>
      <c r="H472" s="2">
        <v>45378</v>
      </c>
    </row>
    <row r="473" spans="1:8">
      <c r="A473">
        <v>56</v>
      </c>
      <c r="B473" t="s">
        <v>8</v>
      </c>
      <c r="C473" t="s">
        <v>15</v>
      </c>
      <c r="D473" t="s">
        <v>24</v>
      </c>
      <c r="E473" t="s">
        <v>11</v>
      </c>
      <c r="F473">
        <v>920</v>
      </c>
      <c r="G473">
        <v>10</v>
      </c>
      <c r="H473" s="2">
        <v>45562</v>
      </c>
    </row>
    <row r="474" spans="1:8">
      <c r="A474">
        <v>20</v>
      </c>
      <c r="B474" t="s">
        <v>8</v>
      </c>
      <c r="C474" t="s">
        <v>25</v>
      </c>
      <c r="D474" t="s">
        <v>10</v>
      </c>
      <c r="E474" t="s">
        <v>18</v>
      </c>
      <c r="F474">
        <v>1151</v>
      </c>
      <c r="G474">
        <v>15</v>
      </c>
      <c r="H474" s="2">
        <v>45043</v>
      </c>
    </row>
    <row r="475" spans="1:8">
      <c r="A475">
        <v>73</v>
      </c>
      <c r="B475" t="s">
        <v>8</v>
      </c>
      <c r="C475" t="s">
        <v>9</v>
      </c>
      <c r="D475" t="s">
        <v>14</v>
      </c>
      <c r="E475" t="s">
        <v>18</v>
      </c>
      <c r="F475">
        <v>1634</v>
      </c>
      <c r="G475">
        <v>19</v>
      </c>
      <c r="H475" s="2">
        <v>45000</v>
      </c>
    </row>
    <row r="476" spans="1:8">
      <c r="A476">
        <v>16</v>
      </c>
      <c r="B476" t="s">
        <v>8</v>
      </c>
      <c r="C476" t="s">
        <v>15</v>
      </c>
      <c r="D476" t="s">
        <v>17</v>
      </c>
      <c r="E476" t="s">
        <v>11</v>
      </c>
      <c r="F476">
        <v>1326</v>
      </c>
      <c r="G476">
        <v>16</v>
      </c>
      <c r="H476" s="2">
        <v>45238</v>
      </c>
    </row>
    <row r="477" spans="1:8">
      <c r="A477">
        <v>29</v>
      </c>
      <c r="B477" t="s">
        <v>12</v>
      </c>
      <c r="C477" t="s">
        <v>25</v>
      </c>
      <c r="D477" t="s">
        <v>24</v>
      </c>
      <c r="E477" t="s">
        <v>11</v>
      </c>
      <c r="F477">
        <v>912</v>
      </c>
      <c r="G477">
        <v>4</v>
      </c>
      <c r="H477" s="2">
        <v>45329</v>
      </c>
    </row>
    <row r="478" spans="1:8">
      <c r="A478">
        <v>56</v>
      </c>
      <c r="B478" t="s">
        <v>8</v>
      </c>
      <c r="C478" t="s">
        <v>15</v>
      </c>
      <c r="D478" t="s">
        <v>16</v>
      </c>
      <c r="E478" t="s">
        <v>22</v>
      </c>
      <c r="F478">
        <v>748</v>
      </c>
      <c r="G478">
        <v>2</v>
      </c>
      <c r="H478" s="2">
        <v>45214</v>
      </c>
    </row>
    <row r="479" spans="1:8">
      <c r="A479">
        <v>57</v>
      </c>
      <c r="B479" t="s">
        <v>12</v>
      </c>
      <c r="C479" t="s">
        <v>25</v>
      </c>
      <c r="D479" t="s">
        <v>17</v>
      </c>
      <c r="E479" t="s">
        <v>11</v>
      </c>
      <c r="F479">
        <v>1217</v>
      </c>
      <c r="G479">
        <v>13</v>
      </c>
      <c r="H479" s="2">
        <v>45619</v>
      </c>
    </row>
    <row r="480" spans="1:8">
      <c r="A480">
        <v>27</v>
      </c>
      <c r="B480" t="s">
        <v>8</v>
      </c>
      <c r="C480" t="s">
        <v>9</v>
      </c>
      <c r="D480" t="s">
        <v>16</v>
      </c>
      <c r="E480" t="s">
        <v>11</v>
      </c>
      <c r="F480">
        <v>753</v>
      </c>
      <c r="G480">
        <v>1</v>
      </c>
      <c r="H480" s="2">
        <v>45549</v>
      </c>
    </row>
    <row r="481" spans="1:8">
      <c r="A481">
        <v>20</v>
      </c>
      <c r="B481" t="s">
        <v>12</v>
      </c>
      <c r="C481" t="s">
        <v>13</v>
      </c>
      <c r="D481" t="s">
        <v>17</v>
      </c>
      <c r="E481" t="s">
        <v>18</v>
      </c>
      <c r="F481">
        <v>1237</v>
      </c>
      <c r="G481">
        <v>17</v>
      </c>
      <c r="H481" s="2">
        <v>45390</v>
      </c>
    </row>
    <row r="482" spans="1:8">
      <c r="A482">
        <v>61</v>
      </c>
      <c r="B482" t="s">
        <v>12</v>
      </c>
      <c r="C482" t="s">
        <v>15</v>
      </c>
      <c r="D482" t="s">
        <v>14</v>
      </c>
      <c r="E482" t="s">
        <v>11</v>
      </c>
      <c r="F482">
        <v>1452</v>
      </c>
      <c r="G482">
        <v>13</v>
      </c>
      <c r="H482" s="2">
        <v>45363</v>
      </c>
    </row>
    <row r="483" spans="1:8">
      <c r="A483">
        <v>43</v>
      </c>
      <c r="B483" t="s">
        <v>12</v>
      </c>
      <c r="C483" t="s">
        <v>26</v>
      </c>
      <c r="D483" t="s">
        <v>24</v>
      </c>
      <c r="E483" t="s">
        <v>11</v>
      </c>
      <c r="F483">
        <v>943</v>
      </c>
      <c r="G483">
        <v>4</v>
      </c>
      <c r="H483" s="2">
        <v>45486</v>
      </c>
    </row>
    <row r="484" spans="1:8">
      <c r="A484">
        <v>57</v>
      </c>
      <c r="B484" t="s">
        <v>8</v>
      </c>
      <c r="C484" t="s">
        <v>25</v>
      </c>
      <c r="D484" t="s">
        <v>17</v>
      </c>
      <c r="E484" t="s">
        <v>11</v>
      </c>
      <c r="F484">
        <v>1152</v>
      </c>
      <c r="G484">
        <v>7</v>
      </c>
      <c r="H484" s="2">
        <v>45149</v>
      </c>
    </row>
    <row r="485" spans="1:8">
      <c r="A485">
        <v>46</v>
      </c>
      <c r="B485" t="s">
        <v>12</v>
      </c>
      <c r="C485" t="s">
        <v>15</v>
      </c>
      <c r="D485" t="s">
        <v>10</v>
      </c>
      <c r="E485" t="s">
        <v>18</v>
      </c>
      <c r="F485">
        <v>973</v>
      </c>
      <c r="G485">
        <v>17</v>
      </c>
      <c r="H485" s="2">
        <v>45247</v>
      </c>
    </row>
    <row r="486" spans="1:8">
      <c r="A486">
        <v>62</v>
      </c>
      <c r="B486" t="s">
        <v>12</v>
      </c>
      <c r="C486" t="s">
        <v>19</v>
      </c>
      <c r="D486" t="s">
        <v>20</v>
      </c>
      <c r="E486" t="s">
        <v>11</v>
      </c>
      <c r="F486">
        <v>445</v>
      </c>
      <c r="G486">
        <v>9</v>
      </c>
      <c r="H486" s="2">
        <v>45339</v>
      </c>
    </row>
    <row r="487" spans="1:8">
      <c r="A487">
        <v>43</v>
      </c>
      <c r="B487" t="s">
        <v>12</v>
      </c>
      <c r="C487" t="s">
        <v>26</v>
      </c>
      <c r="D487" t="s">
        <v>10</v>
      </c>
      <c r="E487" t="s">
        <v>11</v>
      </c>
      <c r="F487">
        <v>912</v>
      </c>
      <c r="G487">
        <v>4</v>
      </c>
      <c r="H487" s="2">
        <v>45131</v>
      </c>
    </row>
    <row r="488" spans="1:8">
      <c r="A488">
        <v>18</v>
      </c>
      <c r="B488" t="s">
        <v>8</v>
      </c>
      <c r="C488" t="s">
        <v>9</v>
      </c>
      <c r="D488" t="s">
        <v>10</v>
      </c>
      <c r="E488" t="s">
        <v>11</v>
      </c>
      <c r="F488">
        <v>1064</v>
      </c>
      <c r="G488">
        <v>19</v>
      </c>
      <c r="H488" s="2">
        <v>45630</v>
      </c>
    </row>
    <row r="489" spans="1:8">
      <c r="A489">
        <v>9</v>
      </c>
      <c r="B489" t="s">
        <v>8</v>
      </c>
      <c r="C489" t="s">
        <v>15</v>
      </c>
      <c r="D489" t="s">
        <v>20</v>
      </c>
      <c r="E489" t="s">
        <v>11</v>
      </c>
      <c r="F489">
        <v>501</v>
      </c>
      <c r="G489">
        <v>1</v>
      </c>
      <c r="H489" s="2">
        <v>45433</v>
      </c>
    </row>
    <row r="490" spans="1:8">
      <c r="A490">
        <v>39</v>
      </c>
      <c r="B490" t="s">
        <v>8</v>
      </c>
      <c r="C490" t="s">
        <v>9</v>
      </c>
      <c r="D490" t="s">
        <v>10</v>
      </c>
      <c r="E490" t="s">
        <v>11</v>
      </c>
      <c r="F490">
        <v>1179</v>
      </c>
      <c r="G490">
        <v>10</v>
      </c>
      <c r="H490" s="2">
        <v>45238</v>
      </c>
    </row>
    <row r="491" spans="1:8">
      <c r="A491">
        <v>79</v>
      </c>
      <c r="B491" t="s">
        <v>12</v>
      </c>
      <c r="C491" t="s">
        <v>9</v>
      </c>
      <c r="D491" t="s">
        <v>17</v>
      </c>
      <c r="E491" t="s">
        <v>18</v>
      </c>
      <c r="F491">
        <v>1357</v>
      </c>
      <c r="G491">
        <v>4</v>
      </c>
      <c r="H491" s="2">
        <v>45051</v>
      </c>
    </row>
    <row r="492" spans="1:8">
      <c r="A492">
        <v>22</v>
      </c>
      <c r="B492" t="s">
        <v>8</v>
      </c>
      <c r="C492" t="s">
        <v>23</v>
      </c>
      <c r="D492" t="s">
        <v>17</v>
      </c>
      <c r="E492" t="s">
        <v>11</v>
      </c>
      <c r="F492">
        <v>1237</v>
      </c>
      <c r="G492">
        <v>9</v>
      </c>
      <c r="H492" s="2">
        <v>45011</v>
      </c>
    </row>
    <row r="493" spans="1:8">
      <c r="A493">
        <v>13</v>
      </c>
      <c r="B493" t="s">
        <v>12</v>
      </c>
      <c r="C493" t="s">
        <v>23</v>
      </c>
      <c r="D493" t="s">
        <v>17</v>
      </c>
      <c r="E493" t="s">
        <v>11</v>
      </c>
      <c r="F493">
        <v>1262</v>
      </c>
      <c r="G493">
        <v>13</v>
      </c>
      <c r="H493" s="2">
        <v>45062</v>
      </c>
    </row>
    <row r="494" spans="1:8">
      <c r="A494">
        <v>78</v>
      </c>
      <c r="B494" t="s">
        <v>8</v>
      </c>
      <c r="C494" t="s">
        <v>9</v>
      </c>
      <c r="D494" t="s">
        <v>20</v>
      </c>
      <c r="E494" t="s">
        <v>18</v>
      </c>
      <c r="F494">
        <v>510</v>
      </c>
      <c r="G494">
        <v>14</v>
      </c>
      <c r="H494" s="2">
        <v>45264</v>
      </c>
    </row>
    <row r="495" spans="1:8">
      <c r="A495">
        <v>62</v>
      </c>
      <c r="B495" t="s">
        <v>8</v>
      </c>
      <c r="C495" t="s">
        <v>15</v>
      </c>
      <c r="D495" t="s">
        <v>10</v>
      </c>
      <c r="E495" t="s">
        <v>11</v>
      </c>
      <c r="F495">
        <v>1001</v>
      </c>
      <c r="G495">
        <v>10</v>
      </c>
      <c r="H495" s="2">
        <v>45344</v>
      </c>
    </row>
    <row r="496" spans="1:8">
      <c r="A496">
        <v>21</v>
      </c>
      <c r="B496" t="s">
        <v>12</v>
      </c>
      <c r="C496" t="s">
        <v>19</v>
      </c>
      <c r="D496" t="s">
        <v>20</v>
      </c>
      <c r="E496" t="s">
        <v>22</v>
      </c>
      <c r="F496">
        <v>416</v>
      </c>
      <c r="G496">
        <v>6</v>
      </c>
      <c r="H496" s="2">
        <v>45031</v>
      </c>
    </row>
    <row r="497" spans="1:8">
      <c r="A497">
        <v>11</v>
      </c>
      <c r="B497" t="s">
        <v>12</v>
      </c>
      <c r="C497" t="s">
        <v>9</v>
      </c>
      <c r="D497" t="s">
        <v>17</v>
      </c>
      <c r="E497" t="s">
        <v>11</v>
      </c>
      <c r="F497">
        <v>1367</v>
      </c>
      <c r="G497">
        <v>16</v>
      </c>
      <c r="H497" s="2">
        <v>45089</v>
      </c>
    </row>
    <row r="498" spans="1:8">
      <c r="A498">
        <v>50</v>
      </c>
      <c r="B498" t="s">
        <v>12</v>
      </c>
      <c r="C498" t="s">
        <v>15</v>
      </c>
      <c r="D498" t="s">
        <v>10</v>
      </c>
      <c r="E498" t="s">
        <v>11</v>
      </c>
      <c r="F498">
        <v>1081</v>
      </c>
      <c r="G498">
        <v>6</v>
      </c>
      <c r="H498" s="2">
        <v>44931</v>
      </c>
    </row>
    <row r="499" spans="1:8">
      <c r="A499">
        <v>17</v>
      </c>
      <c r="B499" t="s">
        <v>12</v>
      </c>
      <c r="C499" t="s">
        <v>21</v>
      </c>
      <c r="D499" t="s">
        <v>10</v>
      </c>
      <c r="E499" t="s">
        <v>11</v>
      </c>
      <c r="F499">
        <v>923</v>
      </c>
      <c r="G499">
        <v>17</v>
      </c>
      <c r="H499" s="2">
        <v>45588</v>
      </c>
    </row>
    <row r="500" spans="1:8">
      <c r="A500">
        <v>44</v>
      </c>
      <c r="B500" t="s">
        <v>12</v>
      </c>
      <c r="C500" t="s">
        <v>23</v>
      </c>
      <c r="D500" t="s">
        <v>16</v>
      </c>
      <c r="E500" t="s">
        <v>22</v>
      </c>
      <c r="F500">
        <v>728</v>
      </c>
      <c r="G500">
        <v>10</v>
      </c>
      <c r="H500" s="2">
        <v>45032</v>
      </c>
    </row>
    <row r="501" spans="1:8">
      <c r="A501">
        <v>46</v>
      </c>
      <c r="B501" t="s">
        <v>8</v>
      </c>
      <c r="C501" t="s">
        <v>23</v>
      </c>
      <c r="D501" t="s">
        <v>16</v>
      </c>
      <c r="E501" t="s">
        <v>11</v>
      </c>
      <c r="F501">
        <v>870</v>
      </c>
      <c r="G501">
        <v>18</v>
      </c>
      <c r="H501" s="2">
        <v>45457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316C6-AE23-4448-A45E-1AA67C50F69D}">
  <dimension ref="A1:J12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5" width="12.42578125" bestFit="1" customWidth="1"/>
    <col min="6" max="6" width="13.7109375" bestFit="1" customWidth="1"/>
    <col min="7" max="7" width="17" bestFit="1" customWidth="1"/>
    <col min="8" max="8" width="20.5703125" bestFit="1" customWidth="1"/>
    <col min="9" max="9" width="17" bestFit="1" customWidth="1"/>
    <col min="10" max="10" width="16.7109375" bestFit="1" customWidth="1"/>
  </cols>
  <sheetData>
    <row r="1" spans="1:10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>
      <c r="A2">
        <v>2023</v>
      </c>
      <c r="B2" t="s">
        <v>37</v>
      </c>
      <c r="G2" s="7">
        <v>568</v>
      </c>
      <c r="H2" s="8">
        <v>9.0158730158730158</v>
      </c>
      <c r="I2" s="7">
        <v>20</v>
      </c>
      <c r="J2" s="7">
        <v>1</v>
      </c>
    </row>
    <row r="3" spans="1:10">
      <c r="B3" t="s">
        <v>38</v>
      </c>
      <c r="G3" s="7">
        <v>708</v>
      </c>
      <c r="H3" s="8">
        <v>10.727272727272727</v>
      </c>
      <c r="I3" s="7">
        <v>20</v>
      </c>
      <c r="J3" s="7">
        <v>1</v>
      </c>
    </row>
    <row r="4" spans="1:10">
      <c r="B4" t="s">
        <v>39</v>
      </c>
      <c r="G4" s="7">
        <v>481</v>
      </c>
      <c r="H4" s="8">
        <v>10.456521739130435</v>
      </c>
      <c r="I4" s="7">
        <v>20</v>
      </c>
      <c r="J4" s="7">
        <v>1</v>
      </c>
    </row>
    <row r="5" spans="1:10">
      <c r="B5" t="s">
        <v>40</v>
      </c>
      <c r="G5" s="7">
        <v>742</v>
      </c>
      <c r="H5" s="8">
        <v>10.6</v>
      </c>
      <c r="I5" s="7">
        <v>20</v>
      </c>
      <c r="J5" s="7">
        <v>1</v>
      </c>
    </row>
    <row r="6" spans="1:10">
      <c r="A6" t="s">
        <v>41</v>
      </c>
      <c r="G6" s="7">
        <v>2499</v>
      </c>
      <c r="H6" s="8">
        <v>10.199999999999999</v>
      </c>
      <c r="I6" s="7">
        <v>20</v>
      </c>
      <c r="J6" s="7">
        <v>1</v>
      </c>
    </row>
    <row r="7" spans="1:10">
      <c r="A7">
        <v>2024</v>
      </c>
      <c r="B7" t="s">
        <v>37</v>
      </c>
      <c r="G7" s="7">
        <v>835</v>
      </c>
      <c r="H7" s="8">
        <v>12.651515151515152</v>
      </c>
      <c r="I7" s="7">
        <v>20</v>
      </c>
      <c r="J7" s="7">
        <v>1</v>
      </c>
    </row>
    <row r="8" spans="1:10">
      <c r="B8" t="s">
        <v>38</v>
      </c>
      <c r="G8" s="7">
        <v>577</v>
      </c>
      <c r="H8" s="8">
        <v>10.49090909090909</v>
      </c>
      <c r="I8" s="7">
        <v>20</v>
      </c>
      <c r="J8" s="7">
        <v>1</v>
      </c>
    </row>
    <row r="9" spans="1:10">
      <c r="B9" t="s">
        <v>39</v>
      </c>
      <c r="G9" s="7">
        <v>582</v>
      </c>
      <c r="H9" s="8">
        <v>8.8181818181818183</v>
      </c>
      <c r="I9" s="7">
        <v>20</v>
      </c>
      <c r="J9" s="7">
        <v>1</v>
      </c>
    </row>
    <row r="10" spans="1:10">
      <c r="B10" t="s">
        <v>40</v>
      </c>
      <c r="G10" s="7">
        <v>757</v>
      </c>
      <c r="H10" s="8">
        <v>11.132352941176471</v>
      </c>
      <c r="I10" s="7">
        <v>20</v>
      </c>
      <c r="J10" s="7">
        <v>1</v>
      </c>
    </row>
    <row r="11" spans="1:10">
      <c r="A11" t="s">
        <v>42</v>
      </c>
      <c r="G11" s="7">
        <v>2751</v>
      </c>
      <c r="H11" s="8">
        <v>10.788235294117648</v>
      </c>
      <c r="I11" s="7">
        <v>20</v>
      </c>
      <c r="J11" s="7">
        <v>1</v>
      </c>
    </row>
    <row r="12" spans="1:10">
      <c r="A12" t="s">
        <v>43</v>
      </c>
      <c r="G12" s="7">
        <v>5250</v>
      </c>
      <c r="H12" s="8">
        <v>10.5</v>
      </c>
      <c r="I12" s="7">
        <v>20</v>
      </c>
      <c r="J12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B028-777D-4917-9E67-7C8879679B43}">
  <dimension ref="A1:J317"/>
  <sheetViews>
    <sheetView workbookViewId="0">
      <pane ySplit="2" topLeftCell="A3" activePane="bottomLeft" state="frozen"/>
      <selection pane="bottomLeft" activeCell="F12" sqref="F12"/>
    </sheetView>
  </sheetViews>
  <sheetFormatPr defaultRowHeight="15"/>
  <cols>
    <col min="1" max="1" width="27.7109375" bestFit="1" customWidth="1"/>
    <col min="2" max="5" width="12.42578125" bestFit="1" customWidth="1"/>
    <col min="6" max="6" width="13.7109375" bestFit="1" customWidth="1"/>
    <col min="7" max="7" width="22.5703125" bestFit="1" customWidth="1"/>
    <col min="8" max="8" width="9.7109375" bestFit="1" customWidth="1"/>
    <col min="9" max="9" width="9.140625" bestFit="1" customWidth="1"/>
    <col min="10" max="10" width="11.7109375" bestFit="1" customWidth="1"/>
  </cols>
  <sheetData>
    <row r="1" spans="1:10">
      <c r="A1" s="6" t="s">
        <v>44</v>
      </c>
      <c r="G1" s="6" t="s">
        <v>45</v>
      </c>
    </row>
    <row r="2" spans="1:10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t="s">
        <v>11</v>
      </c>
      <c r="H2" t="s">
        <v>18</v>
      </c>
      <c r="I2" t="s">
        <v>22</v>
      </c>
      <c r="J2" t="s">
        <v>43</v>
      </c>
    </row>
    <row r="3" spans="1:10">
      <c r="A3">
        <v>2023</v>
      </c>
      <c r="B3" t="s">
        <v>37</v>
      </c>
      <c r="C3" t="s">
        <v>46</v>
      </c>
      <c r="D3" t="s">
        <v>47</v>
      </c>
      <c r="E3" t="s">
        <v>15</v>
      </c>
      <c r="G3" s="7">
        <v>7</v>
      </c>
      <c r="H3" s="7">
        <v>0</v>
      </c>
      <c r="I3" s="7">
        <v>1</v>
      </c>
      <c r="J3" s="7">
        <v>8</v>
      </c>
    </row>
    <row r="4" spans="1:10">
      <c r="E4" t="s">
        <v>26</v>
      </c>
      <c r="G4" s="7">
        <v>2</v>
      </c>
      <c r="H4" s="7">
        <v>0</v>
      </c>
      <c r="I4" s="7">
        <v>0</v>
      </c>
      <c r="J4" s="7">
        <v>2</v>
      </c>
    </row>
    <row r="5" spans="1:10">
      <c r="E5" t="s">
        <v>19</v>
      </c>
      <c r="G5" s="7">
        <v>1</v>
      </c>
      <c r="H5" s="7">
        <v>1</v>
      </c>
      <c r="I5" s="7">
        <v>0</v>
      </c>
      <c r="J5" s="7">
        <v>2</v>
      </c>
    </row>
    <row r="6" spans="1:10">
      <c r="E6" t="s">
        <v>9</v>
      </c>
      <c r="G6" s="7">
        <v>2</v>
      </c>
      <c r="H6" s="7">
        <v>0</v>
      </c>
      <c r="I6" s="7">
        <v>0</v>
      </c>
      <c r="J6" s="7">
        <v>2</v>
      </c>
    </row>
    <row r="7" spans="1:10">
      <c r="E7" t="s">
        <v>23</v>
      </c>
      <c r="G7" s="7">
        <v>1</v>
      </c>
      <c r="H7" s="7">
        <v>1</v>
      </c>
      <c r="I7" s="7">
        <v>0</v>
      </c>
      <c r="J7" s="7">
        <v>2</v>
      </c>
    </row>
    <row r="8" spans="1:10">
      <c r="E8" t="s">
        <v>25</v>
      </c>
      <c r="G8" s="7">
        <v>1</v>
      </c>
      <c r="H8" s="7">
        <v>0</v>
      </c>
      <c r="I8" s="7">
        <v>0</v>
      </c>
      <c r="J8" s="7">
        <v>1</v>
      </c>
    </row>
    <row r="9" spans="1:10">
      <c r="D9" t="s">
        <v>48</v>
      </c>
      <c r="G9" s="7">
        <v>14</v>
      </c>
      <c r="H9" s="7">
        <v>2</v>
      </c>
      <c r="I9" s="7">
        <v>1</v>
      </c>
      <c r="J9" s="7">
        <v>17</v>
      </c>
    </row>
    <row r="10" spans="1:10">
      <c r="D10" t="s">
        <v>49</v>
      </c>
      <c r="E10" t="s">
        <v>15</v>
      </c>
      <c r="G10" s="7">
        <v>3</v>
      </c>
      <c r="H10" s="7">
        <v>0</v>
      </c>
      <c r="I10" s="7">
        <v>0</v>
      </c>
      <c r="J10" s="7">
        <v>3</v>
      </c>
    </row>
    <row r="11" spans="1:10">
      <c r="E11" t="s">
        <v>19</v>
      </c>
      <c r="G11" s="7">
        <v>2</v>
      </c>
      <c r="H11" s="7">
        <v>0</v>
      </c>
      <c r="I11" s="7">
        <v>0</v>
      </c>
      <c r="J11" s="7">
        <v>2</v>
      </c>
    </row>
    <row r="12" spans="1:10">
      <c r="E12" t="s">
        <v>13</v>
      </c>
      <c r="G12" s="7">
        <v>0</v>
      </c>
      <c r="H12" s="7">
        <v>1</v>
      </c>
      <c r="I12" s="7">
        <v>0</v>
      </c>
      <c r="J12" s="7">
        <v>1</v>
      </c>
    </row>
    <row r="13" spans="1:10">
      <c r="D13" t="s">
        <v>50</v>
      </c>
      <c r="G13" s="7">
        <v>5</v>
      </c>
      <c r="H13" s="7">
        <v>1</v>
      </c>
      <c r="I13" s="7">
        <v>0</v>
      </c>
      <c r="J13" s="7">
        <v>6</v>
      </c>
    </row>
    <row r="14" spans="1:10">
      <c r="C14" t="s">
        <v>51</v>
      </c>
      <c r="G14" s="7">
        <v>19</v>
      </c>
      <c r="H14" s="7">
        <v>3</v>
      </c>
      <c r="I14" s="7">
        <v>1</v>
      </c>
      <c r="J14" s="7">
        <v>23</v>
      </c>
    </row>
    <row r="15" spans="1:10">
      <c r="C15" t="s">
        <v>52</v>
      </c>
      <c r="D15" t="s">
        <v>47</v>
      </c>
      <c r="E15" t="s">
        <v>15</v>
      </c>
      <c r="G15" s="7">
        <v>4</v>
      </c>
      <c r="H15" s="7">
        <v>0</v>
      </c>
      <c r="I15" s="7">
        <v>0</v>
      </c>
      <c r="J15" s="7">
        <v>4</v>
      </c>
    </row>
    <row r="16" spans="1:10">
      <c r="E16" t="s">
        <v>9</v>
      </c>
      <c r="G16" s="7">
        <v>3</v>
      </c>
      <c r="H16" s="7">
        <v>0</v>
      </c>
      <c r="I16" s="7">
        <v>0</v>
      </c>
      <c r="J16" s="7">
        <v>3</v>
      </c>
    </row>
    <row r="17" spans="3:10">
      <c r="E17" t="s">
        <v>23</v>
      </c>
      <c r="G17" s="7">
        <v>1</v>
      </c>
      <c r="H17" s="7">
        <v>1</v>
      </c>
      <c r="I17" s="7">
        <v>0</v>
      </c>
      <c r="J17" s="7">
        <v>2</v>
      </c>
    </row>
    <row r="18" spans="3:10">
      <c r="E18" t="s">
        <v>13</v>
      </c>
      <c r="G18" s="7">
        <v>1</v>
      </c>
      <c r="H18" s="7">
        <v>1</v>
      </c>
      <c r="I18" s="7">
        <v>0</v>
      </c>
      <c r="J18" s="7">
        <v>2</v>
      </c>
    </row>
    <row r="19" spans="3:10">
      <c r="E19" t="s">
        <v>21</v>
      </c>
      <c r="G19" s="7">
        <v>0</v>
      </c>
      <c r="H19" s="7">
        <v>0</v>
      </c>
      <c r="I19" s="7">
        <v>1</v>
      </c>
      <c r="J19" s="7">
        <v>1</v>
      </c>
    </row>
    <row r="20" spans="3:10">
      <c r="D20" t="s">
        <v>48</v>
      </c>
      <c r="G20" s="7">
        <v>9</v>
      </c>
      <c r="H20" s="7">
        <v>2</v>
      </c>
      <c r="I20" s="7">
        <v>1</v>
      </c>
      <c r="J20" s="7">
        <v>12</v>
      </c>
    </row>
    <row r="21" spans="3:10">
      <c r="D21" t="s">
        <v>49</v>
      </c>
      <c r="E21" t="s">
        <v>9</v>
      </c>
      <c r="G21" s="7">
        <v>1</v>
      </c>
      <c r="H21" s="7">
        <v>0</v>
      </c>
      <c r="I21" s="7">
        <v>0</v>
      </c>
      <c r="J21" s="7">
        <v>1</v>
      </c>
    </row>
    <row r="22" spans="3:10">
      <c r="E22" t="s">
        <v>25</v>
      </c>
      <c r="G22" s="7">
        <v>0</v>
      </c>
      <c r="H22" s="7">
        <v>1</v>
      </c>
      <c r="I22" s="7">
        <v>0</v>
      </c>
      <c r="J22" s="7">
        <v>1</v>
      </c>
    </row>
    <row r="23" spans="3:10">
      <c r="E23" t="s">
        <v>19</v>
      </c>
      <c r="G23" s="7">
        <v>0</v>
      </c>
      <c r="H23" s="7">
        <v>0</v>
      </c>
      <c r="I23" s="7">
        <v>1</v>
      </c>
      <c r="J23" s="7">
        <v>1</v>
      </c>
    </row>
    <row r="24" spans="3:10">
      <c r="D24" t="s">
        <v>50</v>
      </c>
      <c r="G24" s="7">
        <v>1</v>
      </c>
      <c r="H24" s="7">
        <v>1</v>
      </c>
      <c r="I24" s="7">
        <v>1</v>
      </c>
      <c r="J24" s="7">
        <v>3</v>
      </c>
    </row>
    <row r="25" spans="3:10">
      <c r="C25" t="s">
        <v>53</v>
      </c>
      <c r="G25" s="7">
        <v>10</v>
      </c>
      <c r="H25" s="7">
        <v>3</v>
      </c>
      <c r="I25" s="7">
        <v>2</v>
      </c>
      <c r="J25" s="7">
        <v>15</v>
      </c>
    </row>
    <row r="26" spans="3:10">
      <c r="C26" t="s">
        <v>54</v>
      </c>
      <c r="D26" t="s">
        <v>47</v>
      </c>
      <c r="E26" t="s">
        <v>9</v>
      </c>
      <c r="G26" s="7">
        <v>3</v>
      </c>
      <c r="H26" s="7">
        <v>2</v>
      </c>
      <c r="I26" s="7">
        <v>1</v>
      </c>
      <c r="J26" s="7">
        <v>6</v>
      </c>
    </row>
    <row r="27" spans="3:10">
      <c r="E27" t="s">
        <v>23</v>
      </c>
      <c r="G27" s="7">
        <v>3</v>
      </c>
      <c r="H27" s="7">
        <v>1</v>
      </c>
      <c r="I27" s="7">
        <v>0</v>
      </c>
      <c r="J27" s="7">
        <v>4</v>
      </c>
    </row>
    <row r="28" spans="3:10">
      <c r="E28" t="s">
        <v>15</v>
      </c>
      <c r="G28" s="7">
        <v>2</v>
      </c>
      <c r="H28" s="7">
        <v>2</v>
      </c>
      <c r="I28" s="7">
        <v>0</v>
      </c>
      <c r="J28" s="7">
        <v>4</v>
      </c>
    </row>
    <row r="29" spans="3:10">
      <c r="E29" t="s">
        <v>13</v>
      </c>
      <c r="G29" s="7">
        <v>0</v>
      </c>
      <c r="H29" s="7">
        <v>1</v>
      </c>
      <c r="I29" s="7">
        <v>0</v>
      </c>
      <c r="J29" s="7">
        <v>1</v>
      </c>
    </row>
    <row r="30" spans="3:10">
      <c r="E30" t="s">
        <v>25</v>
      </c>
      <c r="G30" s="7">
        <v>1</v>
      </c>
      <c r="H30" s="7">
        <v>0</v>
      </c>
      <c r="I30" s="7">
        <v>0</v>
      </c>
      <c r="J30" s="7">
        <v>1</v>
      </c>
    </row>
    <row r="31" spans="3:10">
      <c r="E31" t="s">
        <v>26</v>
      </c>
      <c r="G31" s="7">
        <v>1</v>
      </c>
      <c r="H31" s="7">
        <v>0</v>
      </c>
      <c r="I31" s="7">
        <v>0</v>
      </c>
      <c r="J31" s="7">
        <v>1</v>
      </c>
    </row>
    <row r="32" spans="3:10">
      <c r="D32" t="s">
        <v>48</v>
      </c>
      <c r="G32" s="7">
        <v>10</v>
      </c>
      <c r="H32" s="7">
        <v>6</v>
      </c>
      <c r="I32" s="7">
        <v>1</v>
      </c>
      <c r="J32" s="7">
        <v>17</v>
      </c>
    </row>
    <row r="33" spans="2:10">
      <c r="D33" t="s">
        <v>49</v>
      </c>
      <c r="E33" t="s">
        <v>19</v>
      </c>
      <c r="G33" s="7">
        <v>1</v>
      </c>
      <c r="H33" s="7">
        <v>1</v>
      </c>
      <c r="I33" s="7">
        <v>0</v>
      </c>
      <c r="J33" s="7">
        <v>2</v>
      </c>
    </row>
    <row r="34" spans="2:10">
      <c r="E34" t="s">
        <v>9</v>
      </c>
      <c r="G34" s="7">
        <v>2</v>
      </c>
      <c r="H34" s="7">
        <v>0</v>
      </c>
      <c r="I34" s="7">
        <v>0</v>
      </c>
      <c r="J34" s="7">
        <v>2</v>
      </c>
    </row>
    <row r="35" spans="2:10">
      <c r="E35" t="s">
        <v>15</v>
      </c>
      <c r="G35" s="7">
        <v>1</v>
      </c>
      <c r="H35" s="7">
        <v>0</v>
      </c>
      <c r="I35" s="7">
        <v>1</v>
      </c>
      <c r="J35" s="7">
        <v>2</v>
      </c>
    </row>
    <row r="36" spans="2:10">
      <c r="E36" t="s">
        <v>21</v>
      </c>
      <c r="G36" s="7">
        <v>1</v>
      </c>
      <c r="H36" s="7">
        <v>0</v>
      </c>
      <c r="I36" s="7">
        <v>0</v>
      </c>
      <c r="J36" s="7">
        <v>1</v>
      </c>
    </row>
    <row r="37" spans="2:10">
      <c r="E37" t="s">
        <v>23</v>
      </c>
      <c r="G37" s="7">
        <v>1</v>
      </c>
      <c r="H37" s="7">
        <v>0</v>
      </c>
      <c r="I37" s="7">
        <v>0</v>
      </c>
      <c r="J37" s="7">
        <v>1</v>
      </c>
    </row>
    <row r="38" spans="2:10">
      <c r="D38" t="s">
        <v>50</v>
      </c>
      <c r="G38" s="7">
        <v>6</v>
      </c>
      <c r="H38" s="7">
        <v>1</v>
      </c>
      <c r="I38" s="7">
        <v>1</v>
      </c>
      <c r="J38" s="7">
        <v>8</v>
      </c>
    </row>
    <row r="39" spans="2:10">
      <c r="C39" t="s">
        <v>55</v>
      </c>
      <c r="G39" s="7">
        <v>16</v>
      </c>
      <c r="H39" s="7">
        <v>7</v>
      </c>
      <c r="I39" s="7">
        <v>2</v>
      </c>
      <c r="J39" s="7">
        <v>25</v>
      </c>
    </row>
    <row r="40" spans="2:10">
      <c r="B40" t="s">
        <v>56</v>
      </c>
      <c r="G40" s="7">
        <v>45</v>
      </c>
      <c r="H40" s="7">
        <v>13</v>
      </c>
      <c r="I40" s="7">
        <v>5</v>
      </c>
      <c r="J40" s="7">
        <v>63</v>
      </c>
    </row>
    <row r="41" spans="2:10">
      <c r="B41" t="s">
        <v>38</v>
      </c>
      <c r="C41" t="s">
        <v>57</v>
      </c>
      <c r="D41" t="s">
        <v>47</v>
      </c>
      <c r="E41" t="s">
        <v>9</v>
      </c>
      <c r="G41" s="7">
        <v>2</v>
      </c>
      <c r="H41" s="7">
        <v>1</v>
      </c>
      <c r="I41" s="7">
        <v>1</v>
      </c>
      <c r="J41" s="7">
        <v>4</v>
      </c>
    </row>
    <row r="42" spans="2:10">
      <c r="E42" t="s">
        <v>26</v>
      </c>
      <c r="G42" s="7">
        <v>1</v>
      </c>
      <c r="H42" s="7">
        <v>1</v>
      </c>
      <c r="I42" s="7">
        <v>0</v>
      </c>
      <c r="J42" s="7">
        <v>2</v>
      </c>
    </row>
    <row r="43" spans="2:10">
      <c r="E43" t="s">
        <v>19</v>
      </c>
      <c r="G43" s="7">
        <v>2</v>
      </c>
      <c r="H43" s="7">
        <v>0</v>
      </c>
      <c r="I43" s="7">
        <v>0</v>
      </c>
      <c r="J43" s="7">
        <v>2</v>
      </c>
    </row>
    <row r="44" spans="2:10">
      <c r="E44" t="s">
        <v>15</v>
      </c>
      <c r="G44" s="7">
        <v>1</v>
      </c>
      <c r="H44" s="7">
        <v>1</v>
      </c>
      <c r="I44" s="7">
        <v>0</v>
      </c>
      <c r="J44" s="7">
        <v>2</v>
      </c>
    </row>
    <row r="45" spans="2:10">
      <c r="E45" t="s">
        <v>25</v>
      </c>
      <c r="G45" s="7">
        <v>0</v>
      </c>
      <c r="H45" s="7">
        <v>2</v>
      </c>
      <c r="I45" s="7">
        <v>0</v>
      </c>
      <c r="J45" s="7">
        <v>2</v>
      </c>
    </row>
    <row r="46" spans="2:10">
      <c r="E46" t="s">
        <v>23</v>
      </c>
      <c r="G46" s="7">
        <v>0</v>
      </c>
      <c r="H46" s="7">
        <v>1</v>
      </c>
      <c r="I46" s="7">
        <v>1</v>
      </c>
      <c r="J46" s="7">
        <v>2</v>
      </c>
    </row>
    <row r="47" spans="2:10">
      <c r="D47" t="s">
        <v>48</v>
      </c>
      <c r="G47" s="7">
        <v>6</v>
      </c>
      <c r="H47" s="7">
        <v>6</v>
      </c>
      <c r="I47" s="7">
        <v>2</v>
      </c>
      <c r="J47" s="7">
        <v>14</v>
      </c>
    </row>
    <row r="48" spans="2:10">
      <c r="D48" t="s">
        <v>49</v>
      </c>
      <c r="E48" t="s">
        <v>19</v>
      </c>
      <c r="G48" s="7">
        <v>0</v>
      </c>
      <c r="H48" s="7">
        <v>0</v>
      </c>
      <c r="I48" s="7">
        <v>1</v>
      </c>
      <c r="J48" s="7">
        <v>1</v>
      </c>
    </row>
    <row r="49" spans="3:10">
      <c r="E49" t="s">
        <v>15</v>
      </c>
      <c r="G49" s="7">
        <v>1</v>
      </c>
      <c r="H49" s="7">
        <v>0</v>
      </c>
      <c r="I49" s="7">
        <v>0</v>
      </c>
      <c r="J49" s="7">
        <v>1</v>
      </c>
    </row>
    <row r="50" spans="3:10">
      <c r="D50" t="s">
        <v>50</v>
      </c>
      <c r="G50" s="7">
        <v>1</v>
      </c>
      <c r="H50" s="7">
        <v>0</v>
      </c>
      <c r="I50" s="7">
        <v>1</v>
      </c>
      <c r="J50" s="7">
        <v>2</v>
      </c>
    </row>
    <row r="51" spans="3:10">
      <c r="C51" t="s">
        <v>58</v>
      </c>
      <c r="G51" s="7">
        <v>7</v>
      </c>
      <c r="H51" s="7">
        <v>6</v>
      </c>
      <c r="I51" s="7">
        <v>3</v>
      </c>
      <c r="J51" s="7">
        <v>16</v>
      </c>
    </row>
    <row r="52" spans="3:10">
      <c r="C52" t="s">
        <v>59</v>
      </c>
      <c r="D52" t="s">
        <v>47</v>
      </c>
      <c r="E52" t="s">
        <v>9</v>
      </c>
      <c r="G52" s="7">
        <v>4</v>
      </c>
      <c r="H52" s="7">
        <v>0</v>
      </c>
      <c r="I52" s="7">
        <v>0</v>
      </c>
      <c r="J52" s="7">
        <v>4</v>
      </c>
    </row>
    <row r="53" spans="3:10">
      <c r="E53" t="s">
        <v>15</v>
      </c>
      <c r="G53" s="7">
        <v>2</v>
      </c>
      <c r="H53" s="7">
        <v>1</v>
      </c>
      <c r="I53" s="7">
        <v>1</v>
      </c>
      <c r="J53" s="7">
        <v>4</v>
      </c>
    </row>
    <row r="54" spans="3:10">
      <c r="E54" t="s">
        <v>23</v>
      </c>
      <c r="G54" s="7">
        <v>3</v>
      </c>
      <c r="H54" s="7">
        <v>0</v>
      </c>
      <c r="I54" s="7">
        <v>0</v>
      </c>
      <c r="J54" s="7">
        <v>3</v>
      </c>
    </row>
    <row r="55" spans="3:10">
      <c r="E55" t="s">
        <v>19</v>
      </c>
      <c r="G55" s="7">
        <v>1</v>
      </c>
      <c r="H55" s="7">
        <v>1</v>
      </c>
      <c r="I55" s="7">
        <v>0</v>
      </c>
      <c r="J55" s="7">
        <v>2</v>
      </c>
    </row>
    <row r="56" spans="3:10">
      <c r="E56" t="s">
        <v>25</v>
      </c>
      <c r="G56" s="7">
        <v>0</v>
      </c>
      <c r="H56" s="7">
        <v>0</v>
      </c>
      <c r="I56" s="7">
        <v>1</v>
      </c>
      <c r="J56" s="7">
        <v>1</v>
      </c>
    </row>
    <row r="57" spans="3:10">
      <c r="E57" t="s">
        <v>26</v>
      </c>
      <c r="G57" s="7">
        <v>0</v>
      </c>
      <c r="H57" s="7">
        <v>1</v>
      </c>
      <c r="I57" s="7">
        <v>0</v>
      </c>
      <c r="J57" s="7">
        <v>1</v>
      </c>
    </row>
    <row r="58" spans="3:10">
      <c r="E58" t="s">
        <v>21</v>
      </c>
      <c r="G58" s="7">
        <v>0</v>
      </c>
      <c r="H58" s="7">
        <v>1</v>
      </c>
      <c r="I58" s="7">
        <v>0</v>
      </c>
      <c r="J58" s="7">
        <v>1</v>
      </c>
    </row>
    <row r="59" spans="3:10">
      <c r="E59" t="s">
        <v>13</v>
      </c>
      <c r="G59" s="7">
        <v>0</v>
      </c>
      <c r="H59" s="7">
        <v>1</v>
      </c>
      <c r="I59" s="7">
        <v>0</v>
      </c>
      <c r="J59" s="7">
        <v>1</v>
      </c>
    </row>
    <row r="60" spans="3:10">
      <c r="D60" t="s">
        <v>48</v>
      </c>
      <c r="G60" s="7">
        <v>10</v>
      </c>
      <c r="H60" s="7">
        <v>5</v>
      </c>
      <c r="I60" s="7">
        <v>2</v>
      </c>
      <c r="J60" s="7">
        <v>17</v>
      </c>
    </row>
    <row r="61" spans="3:10">
      <c r="D61" t="s">
        <v>49</v>
      </c>
      <c r="E61" t="s">
        <v>9</v>
      </c>
      <c r="G61" s="7">
        <v>2</v>
      </c>
      <c r="H61" s="7">
        <v>1</v>
      </c>
      <c r="I61" s="7">
        <v>0</v>
      </c>
      <c r="J61" s="7">
        <v>3</v>
      </c>
    </row>
    <row r="62" spans="3:10">
      <c r="E62" t="s">
        <v>19</v>
      </c>
      <c r="G62" s="7">
        <v>1</v>
      </c>
      <c r="H62" s="7">
        <v>0</v>
      </c>
      <c r="I62" s="7">
        <v>1</v>
      </c>
      <c r="J62" s="7">
        <v>2</v>
      </c>
    </row>
    <row r="63" spans="3:10">
      <c r="E63" t="s">
        <v>21</v>
      </c>
      <c r="G63" s="7">
        <v>1</v>
      </c>
      <c r="H63" s="7">
        <v>0</v>
      </c>
      <c r="I63" s="7">
        <v>0</v>
      </c>
      <c r="J63" s="7">
        <v>1</v>
      </c>
    </row>
    <row r="64" spans="3:10">
      <c r="E64" t="s">
        <v>15</v>
      </c>
      <c r="G64" s="7">
        <v>0</v>
      </c>
      <c r="H64" s="7">
        <v>0</v>
      </c>
      <c r="I64" s="7">
        <v>1</v>
      </c>
      <c r="J64" s="7">
        <v>1</v>
      </c>
    </row>
    <row r="65" spans="3:10">
      <c r="E65" t="s">
        <v>25</v>
      </c>
      <c r="G65" s="7">
        <v>0</v>
      </c>
      <c r="H65" s="7">
        <v>1</v>
      </c>
      <c r="I65" s="7">
        <v>0</v>
      </c>
      <c r="J65" s="7">
        <v>1</v>
      </c>
    </row>
    <row r="66" spans="3:10">
      <c r="E66" t="s">
        <v>23</v>
      </c>
      <c r="G66" s="7">
        <v>1</v>
      </c>
      <c r="H66" s="7">
        <v>0</v>
      </c>
      <c r="I66" s="7">
        <v>0</v>
      </c>
      <c r="J66" s="7">
        <v>1</v>
      </c>
    </row>
    <row r="67" spans="3:10">
      <c r="D67" t="s">
        <v>50</v>
      </c>
      <c r="G67" s="7">
        <v>5</v>
      </c>
      <c r="H67" s="7">
        <v>2</v>
      </c>
      <c r="I67" s="7">
        <v>2</v>
      </c>
      <c r="J67" s="7">
        <v>9</v>
      </c>
    </row>
    <row r="68" spans="3:10">
      <c r="C68" t="s">
        <v>60</v>
      </c>
      <c r="G68" s="7">
        <v>15</v>
      </c>
      <c r="H68" s="7">
        <v>7</v>
      </c>
      <c r="I68" s="7">
        <v>4</v>
      </c>
      <c r="J68" s="7">
        <v>26</v>
      </c>
    </row>
    <row r="69" spans="3:10">
      <c r="C69" t="s">
        <v>61</v>
      </c>
      <c r="D69" t="s">
        <v>47</v>
      </c>
      <c r="E69" t="s">
        <v>15</v>
      </c>
      <c r="G69" s="7">
        <v>4</v>
      </c>
      <c r="H69" s="7">
        <v>1</v>
      </c>
      <c r="I69" s="7">
        <v>1</v>
      </c>
      <c r="J69" s="7">
        <v>6</v>
      </c>
    </row>
    <row r="70" spans="3:10">
      <c r="E70" t="s">
        <v>23</v>
      </c>
      <c r="G70" s="7">
        <v>2</v>
      </c>
      <c r="H70" s="7">
        <v>2</v>
      </c>
      <c r="I70" s="7">
        <v>0</v>
      </c>
      <c r="J70" s="7">
        <v>4</v>
      </c>
    </row>
    <row r="71" spans="3:10">
      <c r="E71" t="s">
        <v>9</v>
      </c>
      <c r="G71" s="7">
        <v>3</v>
      </c>
      <c r="H71" s="7">
        <v>0</v>
      </c>
      <c r="I71" s="7">
        <v>0</v>
      </c>
      <c r="J71" s="7">
        <v>3</v>
      </c>
    </row>
    <row r="72" spans="3:10">
      <c r="E72" t="s">
        <v>21</v>
      </c>
      <c r="G72" s="7">
        <v>2</v>
      </c>
      <c r="H72" s="7">
        <v>0</v>
      </c>
      <c r="I72" s="7">
        <v>0</v>
      </c>
      <c r="J72" s="7">
        <v>2</v>
      </c>
    </row>
    <row r="73" spans="3:10">
      <c r="E73" t="s">
        <v>25</v>
      </c>
      <c r="G73" s="7">
        <v>1</v>
      </c>
      <c r="H73" s="7">
        <v>0</v>
      </c>
      <c r="I73" s="7">
        <v>0</v>
      </c>
      <c r="J73" s="7">
        <v>1</v>
      </c>
    </row>
    <row r="74" spans="3:10">
      <c r="E74" t="s">
        <v>19</v>
      </c>
      <c r="G74" s="7">
        <v>0</v>
      </c>
      <c r="H74" s="7">
        <v>1</v>
      </c>
      <c r="I74" s="7">
        <v>0</v>
      </c>
      <c r="J74" s="7">
        <v>1</v>
      </c>
    </row>
    <row r="75" spans="3:10">
      <c r="D75" t="s">
        <v>48</v>
      </c>
      <c r="G75" s="7">
        <v>12</v>
      </c>
      <c r="H75" s="7">
        <v>4</v>
      </c>
      <c r="I75" s="7">
        <v>1</v>
      </c>
      <c r="J75" s="7">
        <v>17</v>
      </c>
    </row>
    <row r="76" spans="3:10">
      <c r="D76" t="s">
        <v>49</v>
      </c>
      <c r="E76" t="s">
        <v>15</v>
      </c>
      <c r="G76" s="7">
        <v>3</v>
      </c>
      <c r="H76" s="7">
        <v>0</v>
      </c>
      <c r="I76" s="7">
        <v>0</v>
      </c>
      <c r="J76" s="7">
        <v>3</v>
      </c>
    </row>
    <row r="77" spans="3:10">
      <c r="E77" t="s">
        <v>9</v>
      </c>
      <c r="G77" s="7">
        <v>1</v>
      </c>
      <c r="H77" s="7">
        <v>1</v>
      </c>
      <c r="I77" s="7">
        <v>0</v>
      </c>
      <c r="J77" s="7">
        <v>2</v>
      </c>
    </row>
    <row r="78" spans="3:10">
      <c r="E78" t="s">
        <v>26</v>
      </c>
      <c r="G78" s="7">
        <v>1</v>
      </c>
      <c r="H78" s="7">
        <v>0</v>
      </c>
      <c r="I78" s="7">
        <v>0</v>
      </c>
      <c r="J78" s="7">
        <v>1</v>
      </c>
    </row>
    <row r="79" spans="3:10">
      <c r="E79" t="s">
        <v>19</v>
      </c>
      <c r="G79" s="7">
        <v>1</v>
      </c>
      <c r="H79" s="7">
        <v>0</v>
      </c>
      <c r="I79" s="7">
        <v>0</v>
      </c>
      <c r="J79" s="7">
        <v>1</v>
      </c>
    </row>
    <row r="80" spans="3:10">
      <c r="D80" t="s">
        <v>50</v>
      </c>
      <c r="G80" s="7">
        <v>6</v>
      </c>
      <c r="H80" s="7">
        <v>1</v>
      </c>
      <c r="I80" s="7">
        <v>0</v>
      </c>
      <c r="J80" s="7">
        <v>7</v>
      </c>
    </row>
    <row r="81" spans="2:10">
      <c r="C81" t="s">
        <v>62</v>
      </c>
      <c r="G81" s="7">
        <v>18</v>
      </c>
      <c r="H81" s="7">
        <v>5</v>
      </c>
      <c r="I81" s="7">
        <v>1</v>
      </c>
      <c r="J81" s="7">
        <v>24</v>
      </c>
    </row>
    <row r="82" spans="2:10">
      <c r="B82" t="s">
        <v>63</v>
      </c>
      <c r="G82" s="7">
        <v>40</v>
      </c>
      <c r="H82" s="7">
        <v>18</v>
      </c>
      <c r="I82" s="7">
        <v>8</v>
      </c>
      <c r="J82" s="7">
        <v>66</v>
      </c>
    </row>
    <row r="83" spans="2:10">
      <c r="B83" t="s">
        <v>39</v>
      </c>
      <c r="C83" t="s">
        <v>64</v>
      </c>
      <c r="D83" t="s">
        <v>47</v>
      </c>
      <c r="E83" t="s">
        <v>15</v>
      </c>
      <c r="G83" s="7">
        <v>3</v>
      </c>
      <c r="H83" s="7">
        <v>1</v>
      </c>
      <c r="I83" s="7">
        <v>0</v>
      </c>
      <c r="J83" s="7">
        <v>4</v>
      </c>
    </row>
    <row r="84" spans="2:10">
      <c r="E84" t="s">
        <v>9</v>
      </c>
      <c r="G84" s="7">
        <v>3</v>
      </c>
      <c r="H84" s="7">
        <v>0</v>
      </c>
      <c r="I84" s="7">
        <v>1</v>
      </c>
      <c r="J84" s="7">
        <v>4</v>
      </c>
    </row>
    <row r="85" spans="2:10">
      <c r="E85" t="s">
        <v>23</v>
      </c>
      <c r="G85" s="7">
        <v>4</v>
      </c>
      <c r="H85" s="7">
        <v>0</v>
      </c>
      <c r="I85" s="7">
        <v>0</v>
      </c>
      <c r="J85" s="7">
        <v>4</v>
      </c>
    </row>
    <row r="86" spans="2:10">
      <c r="E86" t="s">
        <v>26</v>
      </c>
      <c r="G86" s="7">
        <v>1</v>
      </c>
      <c r="H86" s="7">
        <v>0</v>
      </c>
      <c r="I86" s="7">
        <v>0</v>
      </c>
      <c r="J86" s="7">
        <v>1</v>
      </c>
    </row>
    <row r="87" spans="2:10">
      <c r="E87" t="s">
        <v>19</v>
      </c>
      <c r="G87" s="7">
        <v>1</v>
      </c>
      <c r="H87" s="7">
        <v>0</v>
      </c>
      <c r="I87" s="7">
        <v>0</v>
      </c>
      <c r="J87" s="7">
        <v>1</v>
      </c>
    </row>
    <row r="88" spans="2:10">
      <c r="D88" t="s">
        <v>48</v>
      </c>
      <c r="G88" s="7">
        <v>12</v>
      </c>
      <c r="H88" s="7">
        <v>1</v>
      </c>
      <c r="I88" s="7">
        <v>1</v>
      </c>
      <c r="J88" s="7">
        <v>14</v>
      </c>
    </row>
    <row r="89" spans="2:10">
      <c r="D89" t="s">
        <v>49</v>
      </c>
      <c r="E89" t="s">
        <v>15</v>
      </c>
      <c r="G89" s="7">
        <v>0</v>
      </c>
      <c r="H89" s="7">
        <v>0</v>
      </c>
      <c r="I89" s="7">
        <v>1</v>
      </c>
      <c r="J89" s="7">
        <v>1</v>
      </c>
    </row>
    <row r="90" spans="2:10">
      <c r="E90" t="s">
        <v>9</v>
      </c>
      <c r="G90" s="7">
        <v>1</v>
      </c>
      <c r="H90" s="7">
        <v>0</v>
      </c>
      <c r="I90" s="7">
        <v>0</v>
      </c>
      <c r="J90" s="7">
        <v>1</v>
      </c>
    </row>
    <row r="91" spans="2:10">
      <c r="D91" t="s">
        <v>50</v>
      </c>
      <c r="G91" s="7">
        <v>1</v>
      </c>
      <c r="H91" s="7">
        <v>0</v>
      </c>
      <c r="I91" s="7">
        <v>1</v>
      </c>
      <c r="J91" s="7">
        <v>2</v>
      </c>
    </row>
    <row r="92" spans="2:10">
      <c r="C92" t="s">
        <v>65</v>
      </c>
      <c r="G92" s="7">
        <v>13</v>
      </c>
      <c r="H92" s="7">
        <v>1</v>
      </c>
      <c r="I92" s="7">
        <v>2</v>
      </c>
      <c r="J92" s="7">
        <v>16</v>
      </c>
    </row>
    <row r="93" spans="2:10">
      <c r="C93" t="s">
        <v>66</v>
      </c>
      <c r="D93" t="s">
        <v>47</v>
      </c>
      <c r="E93" t="s">
        <v>9</v>
      </c>
      <c r="G93" s="7">
        <v>1</v>
      </c>
      <c r="H93" s="7">
        <v>0</v>
      </c>
      <c r="I93" s="7">
        <v>2</v>
      </c>
      <c r="J93" s="7">
        <v>3</v>
      </c>
    </row>
    <row r="94" spans="2:10">
      <c r="E94" t="s">
        <v>15</v>
      </c>
      <c r="G94" s="7">
        <v>2</v>
      </c>
      <c r="H94" s="7">
        <v>1</v>
      </c>
      <c r="I94" s="7">
        <v>0</v>
      </c>
      <c r="J94" s="7">
        <v>3</v>
      </c>
    </row>
    <row r="95" spans="2:10">
      <c r="E95" t="s">
        <v>21</v>
      </c>
      <c r="G95" s="7">
        <v>0</v>
      </c>
      <c r="H95" s="7">
        <v>1</v>
      </c>
      <c r="I95" s="7">
        <v>1</v>
      </c>
      <c r="J95" s="7">
        <v>2</v>
      </c>
    </row>
    <row r="96" spans="2:10">
      <c r="E96" t="s">
        <v>25</v>
      </c>
      <c r="G96" s="7">
        <v>0</v>
      </c>
      <c r="H96" s="7">
        <v>1</v>
      </c>
      <c r="I96" s="7">
        <v>0</v>
      </c>
      <c r="J96" s="7">
        <v>1</v>
      </c>
    </row>
    <row r="97" spans="3:10">
      <c r="E97" t="s">
        <v>13</v>
      </c>
      <c r="G97" s="7">
        <v>0</v>
      </c>
      <c r="H97" s="7">
        <v>0</v>
      </c>
      <c r="I97" s="7">
        <v>1</v>
      </c>
      <c r="J97" s="7">
        <v>1</v>
      </c>
    </row>
    <row r="98" spans="3:10">
      <c r="E98" t="s">
        <v>23</v>
      </c>
      <c r="G98" s="7">
        <v>1</v>
      </c>
      <c r="H98" s="7">
        <v>0</v>
      </c>
      <c r="I98" s="7">
        <v>0</v>
      </c>
      <c r="J98" s="7">
        <v>1</v>
      </c>
    </row>
    <row r="99" spans="3:10">
      <c r="D99" t="s">
        <v>48</v>
      </c>
      <c r="G99" s="7">
        <v>4</v>
      </c>
      <c r="H99" s="7">
        <v>3</v>
      </c>
      <c r="I99" s="7">
        <v>4</v>
      </c>
      <c r="J99" s="7">
        <v>11</v>
      </c>
    </row>
    <row r="100" spans="3:10">
      <c r="D100" t="s">
        <v>49</v>
      </c>
      <c r="E100" t="s">
        <v>25</v>
      </c>
      <c r="G100" s="7">
        <v>2</v>
      </c>
      <c r="H100" s="7">
        <v>0</v>
      </c>
      <c r="I100" s="7">
        <v>0</v>
      </c>
      <c r="J100" s="7">
        <v>2</v>
      </c>
    </row>
    <row r="101" spans="3:10">
      <c r="E101" t="s">
        <v>15</v>
      </c>
      <c r="G101" s="7">
        <v>2</v>
      </c>
      <c r="H101" s="7">
        <v>0</v>
      </c>
      <c r="I101" s="7">
        <v>0</v>
      </c>
      <c r="J101" s="7">
        <v>2</v>
      </c>
    </row>
    <row r="102" spans="3:10">
      <c r="D102" t="s">
        <v>50</v>
      </c>
      <c r="G102" s="7">
        <v>4</v>
      </c>
      <c r="H102" s="7">
        <v>0</v>
      </c>
      <c r="I102" s="7">
        <v>0</v>
      </c>
      <c r="J102" s="7">
        <v>4</v>
      </c>
    </row>
    <row r="103" spans="3:10">
      <c r="C103" t="s">
        <v>67</v>
      </c>
      <c r="G103" s="7">
        <v>8</v>
      </c>
      <c r="H103" s="7">
        <v>3</v>
      </c>
      <c r="I103" s="7">
        <v>4</v>
      </c>
      <c r="J103" s="7">
        <v>15</v>
      </c>
    </row>
    <row r="104" spans="3:10">
      <c r="C104" t="s">
        <v>68</v>
      </c>
      <c r="D104" t="s">
        <v>47</v>
      </c>
      <c r="E104" t="s">
        <v>9</v>
      </c>
      <c r="G104" s="7">
        <v>3</v>
      </c>
      <c r="H104" s="7">
        <v>0</v>
      </c>
      <c r="I104" s="7">
        <v>3</v>
      </c>
      <c r="J104" s="7">
        <v>6</v>
      </c>
    </row>
    <row r="105" spans="3:10">
      <c r="E105" t="s">
        <v>19</v>
      </c>
      <c r="G105" s="7">
        <v>1</v>
      </c>
      <c r="H105" s="7">
        <v>0</v>
      </c>
      <c r="I105" s="7">
        <v>0</v>
      </c>
      <c r="J105" s="7">
        <v>1</v>
      </c>
    </row>
    <row r="106" spans="3:10">
      <c r="E106" t="s">
        <v>21</v>
      </c>
      <c r="G106" s="7">
        <v>0</v>
      </c>
      <c r="H106" s="7">
        <v>1</v>
      </c>
      <c r="I106" s="7">
        <v>0</v>
      </c>
      <c r="J106" s="7">
        <v>1</v>
      </c>
    </row>
    <row r="107" spans="3:10">
      <c r="E107" t="s">
        <v>25</v>
      </c>
      <c r="G107" s="7">
        <v>0</v>
      </c>
      <c r="H107" s="7">
        <v>1</v>
      </c>
      <c r="I107" s="7">
        <v>0</v>
      </c>
      <c r="J107" s="7">
        <v>1</v>
      </c>
    </row>
    <row r="108" spans="3:10">
      <c r="E108" t="s">
        <v>13</v>
      </c>
      <c r="G108" s="7">
        <v>0</v>
      </c>
      <c r="H108" s="7">
        <v>1</v>
      </c>
      <c r="I108" s="7">
        <v>0</v>
      </c>
      <c r="J108" s="7">
        <v>1</v>
      </c>
    </row>
    <row r="109" spans="3:10">
      <c r="E109" t="s">
        <v>15</v>
      </c>
      <c r="G109" s="7">
        <v>0</v>
      </c>
      <c r="H109" s="7">
        <v>0</v>
      </c>
      <c r="I109" s="7">
        <v>1</v>
      </c>
      <c r="J109" s="7">
        <v>1</v>
      </c>
    </row>
    <row r="110" spans="3:10">
      <c r="D110" t="s">
        <v>48</v>
      </c>
      <c r="G110" s="7">
        <v>4</v>
      </c>
      <c r="H110" s="7">
        <v>3</v>
      </c>
      <c r="I110" s="7">
        <v>4</v>
      </c>
      <c r="J110" s="7">
        <v>11</v>
      </c>
    </row>
    <row r="111" spans="3:10">
      <c r="D111" t="s">
        <v>49</v>
      </c>
      <c r="E111" t="s">
        <v>9</v>
      </c>
      <c r="G111" s="7">
        <v>2</v>
      </c>
      <c r="H111" s="7">
        <v>0</v>
      </c>
      <c r="I111" s="7">
        <v>0</v>
      </c>
      <c r="J111" s="7">
        <v>2</v>
      </c>
    </row>
    <row r="112" spans="3:10">
      <c r="E112" t="s">
        <v>25</v>
      </c>
      <c r="G112" s="7">
        <v>1</v>
      </c>
      <c r="H112" s="7">
        <v>0</v>
      </c>
      <c r="I112" s="7">
        <v>0</v>
      </c>
      <c r="J112" s="7">
        <v>1</v>
      </c>
    </row>
    <row r="113" spans="2:10">
      <c r="E113" t="s">
        <v>19</v>
      </c>
      <c r="G113" s="7">
        <v>0</v>
      </c>
      <c r="H113" s="7">
        <v>0</v>
      </c>
      <c r="I113" s="7">
        <v>1</v>
      </c>
      <c r="J113" s="7">
        <v>1</v>
      </c>
    </row>
    <row r="114" spans="2:10">
      <c r="D114" t="s">
        <v>50</v>
      </c>
      <c r="G114" s="7">
        <v>3</v>
      </c>
      <c r="H114" s="7">
        <v>0</v>
      </c>
      <c r="I114" s="7">
        <v>1</v>
      </c>
      <c r="J114" s="7">
        <v>4</v>
      </c>
    </row>
    <row r="115" spans="2:10">
      <c r="C115" t="s">
        <v>69</v>
      </c>
      <c r="G115" s="7">
        <v>7</v>
      </c>
      <c r="H115" s="7">
        <v>3</v>
      </c>
      <c r="I115" s="7">
        <v>5</v>
      </c>
      <c r="J115" s="7">
        <v>15</v>
      </c>
    </row>
    <row r="116" spans="2:10">
      <c r="B116" t="s">
        <v>70</v>
      </c>
      <c r="G116" s="7">
        <v>28</v>
      </c>
      <c r="H116" s="7">
        <v>7</v>
      </c>
      <c r="I116" s="7">
        <v>11</v>
      </c>
      <c r="J116" s="7">
        <v>46</v>
      </c>
    </row>
    <row r="117" spans="2:10">
      <c r="B117" t="s">
        <v>40</v>
      </c>
      <c r="C117" t="s">
        <v>71</v>
      </c>
      <c r="D117" t="s">
        <v>47</v>
      </c>
      <c r="E117" t="s">
        <v>21</v>
      </c>
      <c r="G117" s="7">
        <v>3</v>
      </c>
      <c r="H117" s="7">
        <v>2</v>
      </c>
      <c r="I117" s="7">
        <v>0</v>
      </c>
      <c r="J117" s="7">
        <v>5</v>
      </c>
    </row>
    <row r="118" spans="2:10">
      <c r="E118" t="s">
        <v>15</v>
      </c>
      <c r="G118" s="7">
        <v>1</v>
      </c>
      <c r="H118" s="7">
        <v>3</v>
      </c>
      <c r="I118" s="7">
        <v>1</v>
      </c>
      <c r="J118" s="7">
        <v>5</v>
      </c>
    </row>
    <row r="119" spans="2:10">
      <c r="E119" t="s">
        <v>13</v>
      </c>
      <c r="G119" s="7">
        <v>0</v>
      </c>
      <c r="H119" s="7">
        <v>2</v>
      </c>
      <c r="I119" s="7">
        <v>0</v>
      </c>
      <c r="J119" s="7">
        <v>2</v>
      </c>
    </row>
    <row r="120" spans="2:10">
      <c r="E120" t="s">
        <v>25</v>
      </c>
      <c r="G120" s="7">
        <v>1</v>
      </c>
      <c r="H120" s="7">
        <v>0</v>
      </c>
      <c r="I120" s="7">
        <v>0</v>
      </c>
      <c r="J120" s="7">
        <v>1</v>
      </c>
    </row>
    <row r="121" spans="2:10">
      <c r="E121" t="s">
        <v>19</v>
      </c>
      <c r="G121" s="7">
        <v>1</v>
      </c>
      <c r="H121" s="7">
        <v>0</v>
      </c>
      <c r="I121" s="7">
        <v>0</v>
      </c>
      <c r="J121" s="7">
        <v>1</v>
      </c>
    </row>
    <row r="122" spans="2:10">
      <c r="E122" t="s">
        <v>9</v>
      </c>
      <c r="G122" s="7">
        <v>1</v>
      </c>
      <c r="H122" s="7">
        <v>0</v>
      </c>
      <c r="I122" s="7">
        <v>0</v>
      </c>
      <c r="J122" s="7">
        <v>1</v>
      </c>
    </row>
    <row r="123" spans="2:10">
      <c r="E123" t="s">
        <v>23</v>
      </c>
      <c r="G123" s="7">
        <v>0</v>
      </c>
      <c r="H123" s="7">
        <v>1</v>
      </c>
      <c r="I123" s="7">
        <v>0</v>
      </c>
      <c r="J123" s="7">
        <v>1</v>
      </c>
    </row>
    <row r="124" spans="2:10">
      <c r="D124" t="s">
        <v>48</v>
      </c>
      <c r="G124" s="7">
        <v>7</v>
      </c>
      <c r="H124" s="7">
        <v>8</v>
      </c>
      <c r="I124" s="7">
        <v>1</v>
      </c>
      <c r="J124" s="7">
        <v>16</v>
      </c>
    </row>
    <row r="125" spans="2:10">
      <c r="D125" t="s">
        <v>49</v>
      </c>
      <c r="E125" t="s">
        <v>9</v>
      </c>
      <c r="G125" s="7">
        <v>3</v>
      </c>
      <c r="H125" s="7">
        <v>0</v>
      </c>
      <c r="I125" s="7">
        <v>0</v>
      </c>
      <c r="J125" s="7">
        <v>3</v>
      </c>
    </row>
    <row r="126" spans="2:10">
      <c r="E126" t="s">
        <v>25</v>
      </c>
      <c r="G126" s="7">
        <v>2</v>
      </c>
      <c r="H126" s="7">
        <v>0</v>
      </c>
      <c r="I126" s="7">
        <v>0</v>
      </c>
      <c r="J126" s="7">
        <v>2</v>
      </c>
    </row>
    <row r="127" spans="2:10">
      <c r="E127" t="s">
        <v>19</v>
      </c>
      <c r="G127" s="7">
        <v>0</v>
      </c>
      <c r="H127" s="7">
        <v>1</v>
      </c>
      <c r="I127" s="7">
        <v>0</v>
      </c>
      <c r="J127" s="7">
        <v>1</v>
      </c>
    </row>
    <row r="128" spans="2:10">
      <c r="E128" t="s">
        <v>15</v>
      </c>
      <c r="G128" s="7">
        <v>1</v>
      </c>
      <c r="H128" s="7">
        <v>0</v>
      </c>
      <c r="I128" s="7">
        <v>0</v>
      </c>
      <c r="J128" s="7">
        <v>1</v>
      </c>
    </row>
    <row r="129" spans="3:10">
      <c r="D129" t="s">
        <v>50</v>
      </c>
      <c r="G129" s="7">
        <v>6</v>
      </c>
      <c r="H129" s="7">
        <v>1</v>
      </c>
      <c r="I129" s="7">
        <v>0</v>
      </c>
      <c r="J129" s="7">
        <v>7</v>
      </c>
    </row>
    <row r="130" spans="3:10">
      <c r="C130" t="s">
        <v>72</v>
      </c>
      <c r="G130" s="7">
        <v>13</v>
      </c>
      <c r="H130" s="7">
        <v>9</v>
      </c>
      <c r="I130" s="7">
        <v>1</v>
      </c>
      <c r="J130" s="7">
        <v>23</v>
      </c>
    </row>
    <row r="131" spans="3:10">
      <c r="C131" t="s">
        <v>73</v>
      </c>
      <c r="D131" t="s">
        <v>47</v>
      </c>
      <c r="E131" t="s">
        <v>9</v>
      </c>
      <c r="G131" s="7">
        <v>5</v>
      </c>
      <c r="H131" s="7">
        <v>0</v>
      </c>
      <c r="I131" s="7">
        <v>0</v>
      </c>
      <c r="J131" s="7">
        <v>5</v>
      </c>
    </row>
    <row r="132" spans="3:10">
      <c r="E132" t="s">
        <v>15</v>
      </c>
      <c r="G132" s="7">
        <v>2</v>
      </c>
      <c r="H132" s="7">
        <v>0</v>
      </c>
      <c r="I132" s="7">
        <v>2</v>
      </c>
      <c r="J132" s="7">
        <v>4</v>
      </c>
    </row>
    <row r="133" spans="3:10">
      <c r="E133" t="s">
        <v>23</v>
      </c>
      <c r="G133" s="7">
        <v>4</v>
      </c>
      <c r="H133" s="7">
        <v>0</v>
      </c>
      <c r="I133" s="7">
        <v>0</v>
      </c>
      <c r="J133" s="7">
        <v>4</v>
      </c>
    </row>
    <row r="134" spans="3:10">
      <c r="E134" t="s">
        <v>19</v>
      </c>
      <c r="G134" s="7">
        <v>1</v>
      </c>
      <c r="H134" s="7">
        <v>1</v>
      </c>
      <c r="I134" s="7">
        <v>1</v>
      </c>
      <c r="J134" s="7">
        <v>3</v>
      </c>
    </row>
    <row r="135" spans="3:10">
      <c r="E135" t="s">
        <v>21</v>
      </c>
      <c r="G135" s="7">
        <v>1</v>
      </c>
      <c r="H135" s="7">
        <v>1</v>
      </c>
      <c r="I135" s="7">
        <v>0</v>
      </c>
      <c r="J135" s="7">
        <v>2</v>
      </c>
    </row>
    <row r="136" spans="3:10">
      <c r="E136" t="s">
        <v>26</v>
      </c>
      <c r="G136" s="7">
        <v>1</v>
      </c>
      <c r="H136" s="7">
        <v>0</v>
      </c>
      <c r="I136" s="7">
        <v>0</v>
      </c>
      <c r="J136" s="7">
        <v>1</v>
      </c>
    </row>
    <row r="137" spans="3:10">
      <c r="E137" t="s">
        <v>25</v>
      </c>
      <c r="G137" s="7">
        <v>0</v>
      </c>
      <c r="H137" s="7">
        <v>0</v>
      </c>
      <c r="I137" s="7">
        <v>1</v>
      </c>
      <c r="J137" s="7">
        <v>1</v>
      </c>
    </row>
    <row r="138" spans="3:10">
      <c r="E138" t="s">
        <v>13</v>
      </c>
      <c r="G138" s="7">
        <v>1</v>
      </c>
      <c r="H138" s="7">
        <v>0</v>
      </c>
      <c r="I138" s="7">
        <v>0</v>
      </c>
      <c r="J138" s="7">
        <v>1</v>
      </c>
    </row>
    <row r="139" spans="3:10">
      <c r="D139" t="s">
        <v>48</v>
      </c>
      <c r="G139" s="7">
        <v>15</v>
      </c>
      <c r="H139" s="7">
        <v>2</v>
      </c>
      <c r="I139" s="7">
        <v>4</v>
      </c>
      <c r="J139" s="7">
        <v>21</v>
      </c>
    </row>
    <row r="140" spans="3:10">
      <c r="D140" t="s">
        <v>49</v>
      </c>
      <c r="E140" t="s">
        <v>9</v>
      </c>
      <c r="G140" s="7">
        <v>3</v>
      </c>
      <c r="H140" s="7">
        <v>0</v>
      </c>
      <c r="I140" s="7">
        <v>0</v>
      </c>
      <c r="J140" s="7">
        <v>3</v>
      </c>
    </row>
    <row r="141" spans="3:10">
      <c r="E141" t="s">
        <v>15</v>
      </c>
      <c r="G141" s="7">
        <v>1</v>
      </c>
      <c r="H141" s="7">
        <v>1</v>
      </c>
      <c r="I141" s="7">
        <v>1</v>
      </c>
      <c r="J141" s="7">
        <v>3</v>
      </c>
    </row>
    <row r="142" spans="3:10">
      <c r="E142" t="s">
        <v>19</v>
      </c>
      <c r="G142" s="7">
        <v>1</v>
      </c>
      <c r="H142" s="7">
        <v>0</v>
      </c>
      <c r="I142" s="7">
        <v>0</v>
      </c>
      <c r="J142" s="7">
        <v>1</v>
      </c>
    </row>
    <row r="143" spans="3:10">
      <c r="E143" t="s">
        <v>23</v>
      </c>
      <c r="G143" s="7">
        <v>0</v>
      </c>
      <c r="H143" s="7">
        <v>1</v>
      </c>
      <c r="I143" s="7">
        <v>0</v>
      </c>
      <c r="J143" s="7">
        <v>1</v>
      </c>
    </row>
    <row r="144" spans="3:10">
      <c r="D144" t="s">
        <v>50</v>
      </c>
      <c r="G144" s="7">
        <v>5</v>
      </c>
      <c r="H144" s="7">
        <v>2</v>
      </c>
      <c r="I144" s="7">
        <v>1</v>
      </c>
      <c r="J144" s="7">
        <v>8</v>
      </c>
    </row>
    <row r="145" spans="1:10">
      <c r="C145" t="s">
        <v>74</v>
      </c>
      <c r="G145" s="7">
        <v>20</v>
      </c>
      <c r="H145" s="7">
        <v>4</v>
      </c>
      <c r="I145" s="7">
        <v>5</v>
      </c>
      <c r="J145" s="7">
        <v>29</v>
      </c>
    </row>
    <row r="146" spans="1:10">
      <c r="C146" t="s">
        <v>75</v>
      </c>
      <c r="D146" t="s">
        <v>47</v>
      </c>
      <c r="E146" t="s">
        <v>15</v>
      </c>
      <c r="G146" s="7">
        <v>1</v>
      </c>
      <c r="H146" s="7">
        <v>2</v>
      </c>
      <c r="I146" s="7">
        <v>2</v>
      </c>
      <c r="J146" s="7">
        <v>5</v>
      </c>
    </row>
    <row r="147" spans="1:10">
      <c r="E147" t="s">
        <v>25</v>
      </c>
      <c r="G147" s="7">
        <v>4</v>
      </c>
      <c r="H147" s="7">
        <v>0</v>
      </c>
      <c r="I147" s="7">
        <v>0</v>
      </c>
      <c r="J147" s="7">
        <v>4</v>
      </c>
    </row>
    <row r="148" spans="1:10">
      <c r="E148" t="s">
        <v>9</v>
      </c>
      <c r="G148" s="7">
        <v>1</v>
      </c>
      <c r="H148" s="7">
        <v>1</v>
      </c>
      <c r="I148" s="7">
        <v>0</v>
      </c>
      <c r="J148" s="7">
        <v>2</v>
      </c>
    </row>
    <row r="149" spans="1:10">
      <c r="E149" t="s">
        <v>26</v>
      </c>
      <c r="G149" s="7">
        <v>0</v>
      </c>
      <c r="H149" s="7">
        <v>1</v>
      </c>
      <c r="I149" s="7">
        <v>0</v>
      </c>
      <c r="J149" s="7">
        <v>1</v>
      </c>
    </row>
    <row r="150" spans="1:10">
      <c r="E150" t="s">
        <v>19</v>
      </c>
      <c r="G150" s="7">
        <v>1</v>
      </c>
      <c r="H150" s="7">
        <v>0</v>
      </c>
      <c r="I150" s="7">
        <v>0</v>
      </c>
      <c r="J150" s="7">
        <v>1</v>
      </c>
    </row>
    <row r="151" spans="1:10">
      <c r="E151" t="s">
        <v>23</v>
      </c>
      <c r="G151" s="7">
        <v>1</v>
      </c>
      <c r="H151" s="7">
        <v>0</v>
      </c>
      <c r="I151" s="7">
        <v>0</v>
      </c>
      <c r="J151" s="7">
        <v>1</v>
      </c>
    </row>
    <row r="152" spans="1:10">
      <c r="D152" t="s">
        <v>48</v>
      </c>
      <c r="G152" s="7">
        <v>8</v>
      </c>
      <c r="H152" s="7">
        <v>4</v>
      </c>
      <c r="I152" s="7">
        <v>2</v>
      </c>
      <c r="J152" s="7">
        <v>14</v>
      </c>
    </row>
    <row r="153" spans="1:10">
      <c r="D153" t="s">
        <v>49</v>
      </c>
      <c r="E153" t="s">
        <v>9</v>
      </c>
      <c r="G153" s="7">
        <v>2</v>
      </c>
      <c r="H153" s="7">
        <v>0</v>
      </c>
      <c r="I153" s="7">
        <v>0</v>
      </c>
      <c r="J153" s="7">
        <v>2</v>
      </c>
    </row>
    <row r="154" spans="1:10">
      <c r="E154" t="s">
        <v>19</v>
      </c>
      <c r="G154" s="7">
        <v>1</v>
      </c>
      <c r="H154" s="7">
        <v>0</v>
      </c>
      <c r="I154" s="7">
        <v>0</v>
      </c>
      <c r="J154" s="7">
        <v>1</v>
      </c>
    </row>
    <row r="155" spans="1:10">
      <c r="E155" t="s">
        <v>15</v>
      </c>
      <c r="G155" s="7">
        <v>1</v>
      </c>
      <c r="H155" s="7">
        <v>0</v>
      </c>
      <c r="I155" s="7">
        <v>0</v>
      </c>
      <c r="J155" s="7">
        <v>1</v>
      </c>
    </row>
    <row r="156" spans="1:10">
      <c r="D156" t="s">
        <v>50</v>
      </c>
      <c r="G156" s="7">
        <v>4</v>
      </c>
      <c r="H156" s="7">
        <v>0</v>
      </c>
      <c r="I156" s="7">
        <v>0</v>
      </c>
      <c r="J156" s="7">
        <v>4</v>
      </c>
    </row>
    <row r="157" spans="1:10">
      <c r="C157" t="s">
        <v>76</v>
      </c>
      <c r="G157" s="7">
        <v>12</v>
      </c>
      <c r="H157" s="7">
        <v>4</v>
      </c>
      <c r="I157" s="7">
        <v>2</v>
      </c>
      <c r="J157" s="7">
        <v>18</v>
      </c>
    </row>
    <row r="158" spans="1:10">
      <c r="B158" t="s">
        <v>77</v>
      </c>
      <c r="G158" s="7">
        <v>45</v>
      </c>
      <c r="H158" s="7">
        <v>17</v>
      </c>
      <c r="I158" s="7">
        <v>8</v>
      </c>
      <c r="J158" s="7">
        <v>70</v>
      </c>
    </row>
    <row r="159" spans="1:10">
      <c r="A159" t="s">
        <v>41</v>
      </c>
      <c r="G159" s="7">
        <v>158</v>
      </c>
      <c r="H159" s="7">
        <v>55</v>
      </c>
      <c r="I159" s="7">
        <v>32</v>
      </c>
      <c r="J159" s="7">
        <v>245</v>
      </c>
    </row>
    <row r="160" spans="1:10">
      <c r="A160">
        <v>2024</v>
      </c>
      <c r="B160" t="s">
        <v>37</v>
      </c>
      <c r="C160" t="s">
        <v>46</v>
      </c>
      <c r="D160" t="s">
        <v>47</v>
      </c>
      <c r="E160" t="s">
        <v>15</v>
      </c>
      <c r="G160" s="7">
        <v>5</v>
      </c>
      <c r="H160" s="7">
        <v>0</v>
      </c>
      <c r="I160" s="7">
        <v>0</v>
      </c>
      <c r="J160" s="7">
        <v>5</v>
      </c>
    </row>
    <row r="161" spans="3:10">
      <c r="E161" t="s">
        <v>9</v>
      </c>
      <c r="G161" s="7">
        <v>3</v>
      </c>
      <c r="H161" s="7">
        <v>0</v>
      </c>
      <c r="I161" s="7">
        <v>1</v>
      </c>
      <c r="J161" s="7">
        <v>4</v>
      </c>
    </row>
    <row r="162" spans="3:10">
      <c r="E162" t="s">
        <v>19</v>
      </c>
      <c r="G162" s="7">
        <v>1</v>
      </c>
      <c r="H162" s="7">
        <v>1</v>
      </c>
      <c r="I162" s="7">
        <v>0</v>
      </c>
      <c r="J162" s="7">
        <v>2</v>
      </c>
    </row>
    <row r="163" spans="3:10">
      <c r="E163" t="s">
        <v>23</v>
      </c>
      <c r="G163" s="7">
        <v>0</v>
      </c>
      <c r="H163" s="7">
        <v>0</v>
      </c>
      <c r="I163" s="7">
        <v>1</v>
      </c>
      <c r="J163" s="7">
        <v>1</v>
      </c>
    </row>
    <row r="164" spans="3:10">
      <c r="E164" t="s">
        <v>13</v>
      </c>
      <c r="G164" s="7">
        <v>1</v>
      </c>
      <c r="H164" s="7">
        <v>0</v>
      </c>
      <c r="I164" s="7">
        <v>0</v>
      </c>
      <c r="J164" s="7">
        <v>1</v>
      </c>
    </row>
    <row r="165" spans="3:10">
      <c r="D165" t="s">
        <v>48</v>
      </c>
      <c r="G165" s="7">
        <v>10</v>
      </c>
      <c r="H165" s="7">
        <v>1</v>
      </c>
      <c r="I165" s="7">
        <v>2</v>
      </c>
      <c r="J165" s="7">
        <v>13</v>
      </c>
    </row>
    <row r="166" spans="3:10">
      <c r="D166" t="s">
        <v>49</v>
      </c>
      <c r="E166" t="s">
        <v>15</v>
      </c>
      <c r="G166" s="7">
        <v>2</v>
      </c>
      <c r="H166" s="7">
        <v>1</v>
      </c>
      <c r="I166" s="7">
        <v>1</v>
      </c>
      <c r="J166" s="7">
        <v>4</v>
      </c>
    </row>
    <row r="167" spans="3:10">
      <c r="E167" t="s">
        <v>25</v>
      </c>
      <c r="G167" s="7">
        <v>1</v>
      </c>
      <c r="H167" s="7">
        <v>0</v>
      </c>
      <c r="I167" s="7">
        <v>0</v>
      </c>
      <c r="J167" s="7">
        <v>1</v>
      </c>
    </row>
    <row r="168" spans="3:10">
      <c r="E168" t="s">
        <v>19</v>
      </c>
      <c r="G168" s="7">
        <v>1</v>
      </c>
      <c r="H168" s="7">
        <v>0</v>
      </c>
      <c r="I168" s="7">
        <v>0</v>
      </c>
      <c r="J168" s="7">
        <v>1</v>
      </c>
    </row>
    <row r="169" spans="3:10">
      <c r="E169" t="s">
        <v>9</v>
      </c>
      <c r="G169" s="7">
        <v>1</v>
      </c>
      <c r="H169" s="7">
        <v>0</v>
      </c>
      <c r="I169" s="7">
        <v>0</v>
      </c>
      <c r="J169" s="7">
        <v>1</v>
      </c>
    </row>
    <row r="170" spans="3:10">
      <c r="E170" t="s">
        <v>13</v>
      </c>
      <c r="G170" s="7">
        <v>1</v>
      </c>
      <c r="H170" s="7">
        <v>0</v>
      </c>
      <c r="I170" s="7">
        <v>0</v>
      </c>
      <c r="J170" s="7">
        <v>1</v>
      </c>
    </row>
    <row r="171" spans="3:10">
      <c r="D171" t="s">
        <v>50</v>
      </c>
      <c r="G171" s="7">
        <v>6</v>
      </c>
      <c r="H171" s="7">
        <v>1</v>
      </c>
      <c r="I171" s="7">
        <v>1</v>
      </c>
      <c r="J171" s="7">
        <v>8</v>
      </c>
    </row>
    <row r="172" spans="3:10">
      <c r="C172" t="s">
        <v>51</v>
      </c>
      <c r="G172" s="7">
        <v>16</v>
      </c>
      <c r="H172" s="7">
        <v>2</v>
      </c>
      <c r="I172" s="7">
        <v>3</v>
      </c>
      <c r="J172" s="7">
        <v>21</v>
      </c>
    </row>
    <row r="173" spans="3:10">
      <c r="C173" t="s">
        <v>52</v>
      </c>
      <c r="D173" t="s">
        <v>47</v>
      </c>
      <c r="E173" t="s">
        <v>15</v>
      </c>
      <c r="G173" s="7">
        <v>4</v>
      </c>
      <c r="H173" s="7">
        <v>1</v>
      </c>
      <c r="I173" s="7">
        <v>1</v>
      </c>
      <c r="J173" s="7">
        <v>6</v>
      </c>
    </row>
    <row r="174" spans="3:10">
      <c r="E174" t="s">
        <v>9</v>
      </c>
      <c r="G174" s="7">
        <v>2</v>
      </c>
      <c r="H174" s="7">
        <v>1</v>
      </c>
      <c r="I174" s="7">
        <v>0</v>
      </c>
      <c r="J174" s="7">
        <v>3</v>
      </c>
    </row>
    <row r="175" spans="3:10">
      <c r="E175" t="s">
        <v>25</v>
      </c>
      <c r="G175" s="7">
        <v>2</v>
      </c>
      <c r="H175" s="7">
        <v>0</v>
      </c>
      <c r="I175" s="7">
        <v>0</v>
      </c>
      <c r="J175" s="7">
        <v>2</v>
      </c>
    </row>
    <row r="176" spans="3:10">
      <c r="E176" t="s">
        <v>13</v>
      </c>
      <c r="G176" s="7">
        <v>2</v>
      </c>
      <c r="H176" s="7">
        <v>0</v>
      </c>
      <c r="I176" s="7">
        <v>0</v>
      </c>
      <c r="J176" s="7">
        <v>2</v>
      </c>
    </row>
    <row r="177" spans="3:10">
      <c r="E177" t="s">
        <v>19</v>
      </c>
      <c r="G177" s="7">
        <v>1</v>
      </c>
      <c r="H177" s="7">
        <v>0</v>
      </c>
      <c r="I177" s="7">
        <v>0</v>
      </c>
      <c r="J177" s="7">
        <v>1</v>
      </c>
    </row>
    <row r="178" spans="3:10">
      <c r="E178" t="s">
        <v>23</v>
      </c>
      <c r="G178" s="7">
        <v>0</v>
      </c>
      <c r="H178" s="7">
        <v>0</v>
      </c>
      <c r="I178" s="7">
        <v>1</v>
      </c>
      <c r="J178" s="7">
        <v>1</v>
      </c>
    </row>
    <row r="179" spans="3:10">
      <c r="D179" t="s">
        <v>48</v>
      </c>
      <c r="G179" s="7">
        <v>11</v>
      </c>
      <c r="H179" s="7">
        <v>2</v>
      </c>
      <c r="I179" s="7">
        <v>2</v>
      </c>
      <c r="J179" s="7">
        <v>15</v>
      </c>
    </row>
    <row r="180" spans="3:10">
      <c r="D180" t="s">
        <v>49</v>
      </c>
      <c r="E180" t="s">
        <v>15</v>
      </c>
      <c r="G180" s="7">
        <v>2</v>
      </c>
      <c r="H180" s="7">
        <v>1</v>
      </c>
      <c r="I180" s="7">
        <v>1</v>
      </c>
      <c r="J180" s="7">
        <v>4</v>
      </c>
    </row>
    <row r="181" spans="3:10">
      <c r="E181" t="s">
        <v>19</v>
      </c>
      <c r="G181" s="7">
        <v>1</v>
      </c>
      <c r="H181" s="7">
        <v>0</v>
      </c>
      <c r="I181" s="7">
        <v>0</v>
      </c>
      <c r="J181" s="7">
        <v>1</v>
      </c>
    </row>
    <row r="182" spans="3:10">
      <c r="E182" t="s">
        <v>26</v>
      </c>
      <c r="G182" s="7">
        <v>1</v>
      </c>
      <c r="H182" s="7">
        <v>0</v>
      </c>
      <c r="I182" s="7">
        <v>0</v>
      </c>
      <c r="J182" s="7">
        <v>1</v>
      </c>
    </row>
    <row r="183" spans="3:10">
      <c r="E183" t="s">
        <v>21</v>
      </c>
      <c r="G183" s="7">
        <v>1</v>
      </c>
      <c r="H183" s="7">
        <v>0</v>
      </c>
      <c r="I183" s="7">
        <v>0</v>
      </c>
      <c r="J183" s="7">
        <v>1</v>
      </c>
    </row>
    <row r="184" spans="3:10">
      <c r="D184" t="s">
        <v>50</v>
      </c>
      <c r="G184" s="7">
        <v>5</v>
      </c>
      <c r="H184" s="7">
        <v>1</v>
      </c>
      <c r="I184" s="7">
        <v>1</v>
      </c>
      <c r="J184" s="7">
        <v>7</v>
      </c>
    </row>
    <row r="185" spans="3:10">
      <c r="C185" t="s">
        <v>53</v>
      </c>
      <c r="G185" s="7">
        <v>16</v>
      </c>
      <c r="H185" s="7">
        <v>3</v>
      </c>
      <c r="I185" s="7">
        <v>3</v>
      </c>
      <c r="J185" s="7">
        <v>22</v>
      </c>
    </row>
    <row r="186" spans="3:10">
      <c r="C186" t="s">
        <v>54</v>
      </c>
      <c r="D186" t="s">
        <v>47</v>
      </c>
      <c r="E186" t="s">
        <v>19</v>
      </c>
      <c r="G186" s="7">
        <v>4</v>
      </c>
      <c r="H186" s="7">
        <v>2</v>
      </c>
      <c r="I186" s="7">
        <v>0</v>
      </c>
      <c r="J186" s="7">
        <v>6</v>
      </c>
    </row>
    <row r="187" spans="3:10">
      <c r="E187" t="s">
        <v>15</v>
      </c>
      <c r="G187" s="7">
        <v>5</v>
      </c>
      <c r="H187" s="7">
        <v>0</v>
      </c>
      <c r="I187" s="7">
        <v>0</v>
      </c>
      <c r="J187" s="7">
        <v>5</v>
      </c>
    </row>
    <row r="188" spans="3:10">
      <c r="E188" t="s">
        <v>9</v>
      </c>
      <c r="G188" s="7">
        <v>2</v>
      </c>
      <c r="H188" s="7">
        <v>1</v>
      </c>
      <c r="I188" s="7">
        <v>1</v>
      </c>
      <c r="J188" s="7">
        <v>4</v>
      </c>
    </row>
    <row r="189" spans="3:10">
      <c r="E189" t="s">
        <v>25</v>
      </c>
      <c r="G189" s="7">
        <v>0</v>
      </c>
      <c r="H189" s="7">
        <v>0</v>
      </c>
      <c r="I189" s="7">
        <v>1</v>
      </c>
      <c r="J189" s="7">
        <v>1</v>
      </c>
    </row>
    <row r="190" spans="3:10">
      <c r="E190" t="s">
        <v>21</v>
      </c>
      <c r="G190" s="7">
        <v>1</v>
      </c>
      <c r="H190" s="7">
        <v>0</v>
      </c>
      <c r="I190" s="7">
        <v>0</v>
      </c>
      <c r="J190" s="7">
        <v>1</v>
      </c>
    </row>
    <row r="191" spans="3:10">
      <c r="E191" t="s">
        <v>23</v>
      </c>
      <c r="G191" s="7">
        <v>1</v>
      </c>
      <c r="H191" s="7">
        <v>0</v>
      </c>
      <c r="I191" s="7">
        <v>0</v>
      </c>
      <c r="J191" s="7">
        <v>1</v>
      </c>
    </row>
    <row r="192" spans="3:10">
      <c r="D192" t="s">
        <v>48</v>
      </c>
      <c r="G192" s="7">
        <v>13</v>
      </c>
      <c r="H192" s="7">
        <v>3</v>
      </c>
      <c r="I192" s="7">
        <v>2</v>
      </c>
      <c r="J192" s="7">
        <v>18</v>
      </c>
    </row>
    <row r="193" spans="2:10">
      <c r="D193" t="s">
        <v>49</v>
      </c>
      <c r="E193" t="s">
        <v>23</v>
      </c>
      <c r="G193" s="7">
        <v>1</v>
      </c>
      <c r="H193" s="7">
        <v>1</v>
      </c>
      <c r="I193" s="7">
        <v>0</v>
      </c>
      <c r="J193" s="7">
        <v>2</v>
      </c>
    </row>
    <row r="194" spans="2:10">
      <c r="E194" t="s">
        <v>15</v>
      </c>
      <c r="G194" s="7">
        <v>1</v>
      </c>
      <c r="H194" s="7">
        <v>0</v>
      </c>
      <c r="I194" s="7">
        <v>0</v>
      </c>
      <c r="J194" s="7">
        <v>1</v>
      </c>
    </row>
    <row r="195" spans="2:10">
      <c r="E195" t="s">
        <v>13</v>
      </c>
      <c r="G195" s="7">
        <v>1</v>
      </c>
      <c r="H195" s="7">
        <v>0</v>
      </c>
      <c r="I195" s="7">
        <v>0</v>
      </c>
      <c r="J195" s="7">
        <v>1</v>
      </c>
    </row>
    <row r="196" spans="2:10">
      <c r="E196" t="s">
        <v>9</v>
      </c>
      <c r="G196" s="7">
        <v>1</v>
      </c>
      <c r="H196" s="7">
        <v>0</v>
      </c>
      <c r="I196" s="7">
        <v>0</v>
      </c>
      <c r="J196" s="7">
        <v>1</v>
      </c>
    </row>
    <row r="197" spans="2:10">
      <c r="D197" t="s">
        <v>50</v>
      </c>
      <c r="G197" s="7">
        <v>4</v>
      </c>
      <c r="H197" s="7">
        <v>1</v>
      </c>
      <c r="I197" s="7">
        <v>0</v>
      </c>
      <c r="J197" s="7">
        <v>5</v>
      </c>
    </row>
    <row r="198" spans="2:10">
      <c r="C198" t="s">
        <v>55</v>
      </c>
      <c r="G198" s="7">
        <v>17</v>
      </c>
      <c r="H198" s="7">
        <v>4</v>
      </c>
      <c r="I198" s="7">
        <v>2</v>
      </c>
      <c r="J198" s="7">
        <v>23</v>
      </c>
    </row>
    <row r="199" spans="2:10">
      <c r="B199" t="s">
        <v>56</v>
      </c>
      <c r="G199" s="7">
        <v>49</v>
      </c>
      <c r="H199" s="7">
        <v>9</v>
      </c>
      <c r="I199" s="7">
        <v>8</v>
      </c>
      <c r="J199" s="7">
        <v>66</v>
      </c>
    </row>
    <row r="200" spans="2:10">
      <c r="B200" t="s">
        <v>38</v>
      </c>
      <c r="C200" t="s">
        <v>57</v>
      </c>
      <c r="D200" t="s">
        <v>47</v>
      </c>
      <c r="E200" t="s">
        <v>15</v>
      </c>
      <c r="G200" s="7">
        <v>2</v>
      </c>
      <c r="H200" s="7">
        <v>1</v>
      </c>
      <c r="I200" s="7">
        <v>1</v>
      </c>
      <c r="J200" s="7">
        <v>4</v>
      </c>
    </row>
    <row r="201" spans="2:10">
      <c r="E201" t="s">
        <v>9</v>
      </c>
      <c r="G201" s="7">
        <v>3</v>
      </c>
      <c r="H201" s="7">
        <v>0</v>
      </c>
      <c r="I201" s="7">
        <v>0</v>
      </c>
      <c r="J201" s="7">
        <v>3</v>
      </c>
    </row>
    <row r="202" spans="2:10">
      <c r="E202" t="s">
        <v>25</v>
      </c>
      <c r="G202" s="7">
        <v>2</v>
      </c>
      <c r="H202" s="7">
        <v>0</v>
      </c>
      <c r="I202" s="7">
        <v>0</v>
      </c>
      <c r="J202" s="7">
        <v>2</v>
      </c>
    </row>
    <row r="203" spans="2:10">
      <c r="E203" t="s">
        <v>19</v>
      </c>
      <c r="G203" s="7">
        <v>0</v>
      </c>
      <c r="H203" s="7">
        <v>1</v>
      </c>
      <c r="I203" s="7">
        <v>0</v>
      </c>
      <c r="J203" s="7">
        <v>1</v>
      </c>
    </row>
    <row r="204" spans="2:10">
      <c r="E204" t="s">
        <v>13</v>
      </c>
      <c r="G204" s="7">
        <v>0</v>
      </c>
      <c r="H204" s="7">
        <v>1</v>
      </c>
      <c r="I204" s="7">
        <v>0</v>
      </c>
      <c r="J204" s="7">
        <v>1</v>
      </c>
    </row>
    <row r="205" spans="2:10">
      <c r="E205" t="s">
        <v>23</v>
      </c>
      <c r="G205" s="7">
        <v>1</v>
      </c>
      <c r="H205" s="7">
        <v>0</v>
      </c>
      <c r="I205" s="7">
        <v>0</v>
      </c>
      <c r="J205" s="7">
        <v>1</v>
      </c>
    </row>
    <row r="206" spans="2:10">
      <c r="D206" t="s">
        <v>48</v>
      </c>
      <c r="G206" s="7">
        <v>8</v>
      </c>
      <c r="H206" s="7">
        <v>3</v>
      </c>
      <c r="I206" s="7">
        <v>1</v>
      </c>
      <c r="J206" s="7">
        <v>12</v>
      </c>
    </row>
    <row r="207" spans="2:10">
      <c r="D207" t="s">
        <v>49</v>
      </c>
      <c r="E207" t="s">
        <v>15</v>
      </c>
      <c r="G207" s="7">
        <v>1</v>
      </c>
      <c r="H207" s="7">
        <v>1</v>
      </c>
      <c r="I207" s="7">
        <v>0</v>
      </c>
      <c r="J207" s="7">
        <v>2</v>
      </c>
    </row>
    <row r="208" spans="2:10">
      <c r="E208" t="s">
        <v>25</v>
      </c>
      <c r="G208" s="7">
        <v>1</v>
      </c>
      <c r="H208" s="7">
        <v>0</v>
      </c>
      <c r="I208" s="7">
        <v>0</v>
      </c>
      <c r="J208" s="7">
        <v>1</v>
      </c>
    </row>
    <row r="209" spans="3:10">
      <c r="E209" t="s">
        <v>21</v>
      </c>
      <c r="G209" s="7">
        <v>0</v>
      </c>
      <c r="H209" s="7">
        <v>1</v>
      </c>
      <c r="I209" s="7">
        <v>0</v>
      </c>
      <c r="J209" s="7">
        <v>1</v>
      </c>
    </row>
    <row r="210" spans="3:10">
      <c r="E210" t="s">
        <v>9</v>
      </c>
      <c r="G210" s="7">
        <v>1</v>
      </c>
      <c r="H210" s="7">
        <v>0</v>
      </c>
      <c r="I210" s="7">
        <v>0</v>
      </c>
      <c r="J210" s="7">
        <v>1</v>
      </c>
    </row>
    <row r="211" spans="3:10">
      <c r="E211" t="s">
        <v>23</v>
      </c>
      <c r="G211" s="7">
        <v>1</v>
      </c>
      <c r="H211" s="7">
        <v>0</v>
      </c>
      <c r="I211" s="7">
        <v>0</v>
      </c>
      <c r="J211" s="7">
        <v>1</v>
      </c>
    </row>
    <row r="212" spans="3:10">
      <c r="D212" t="s">
        <v>50</v>
      </c>
      <c r="G212" s="7">
        <v>4</v>
      </c>
      <c r="H212" s="7">
        <v>2</v>
      </c>
      <c r="I212" s="7">
        <v>0</v>
      </c>
      <c r="J212" s="7">
        <v>6</v>
      </c>
    </row>
    <row r="213" spans="3:10">
      <c r="C213" t="s">
        <v>58</v>
      </c>
      <c r="G213" s="7">
        <v>12</v>
      </c>
      <c r="H213" s="7">
        <v>5</v>
      </c>
      <c r="I213" s="7">
        <v>1</v>
      </c>
      <c r="J213" s="7">
        <v>18</v>
      </c>
    </row>
    <row r="214" spans="3:10">
      <c r="C214" t="s">
        <v>59</v>
      </c>
      <c r="D214" t="s">
        <v>47</v>
      </c>
      <c r="E214" t="s">
        <v>15</v>
      </c>
      <c r="G214" s="7">
        <v>3</v>
      </c>
      <c r="H214" s="7">
        <v>1</v>
      </c>
      <c r="I214" s="7">
        <v>1</v>
      </c>
      <c r="J214" s="7">
        <v>5</v>
      </c>
    </row>
    <row r="215" spans="3:10">
      <c r="E215" t="s">
        <v>9</v>
      </c>
      <c r="G215" s="7">
        <v>1</v>
      </c>
      <c r="H215" s="7">
        <v>0</v>
      </c>
      <c r="I215" s="7">
        <v>1</v>
      </c>
      <c r="J215" s="7">
        <v>2</v>
      </c>
    </row>
    <row r="216" spans="3:10">
      <c r="E216" t="s">
        <v>19</v>
      </c>
      <c r="G216" s="7">
        <v>2</v>
      </c>
      <c r="H216" s="7">
        <v>0</v>
      </c>
      <c r="I216" s="7">
        <v>0</v>
      </c>
      <c r="J216" s="7">
        <v>2</v>
      </c>
    </row>
    <row r="217" spans="3:10">
      <c r="E217" t="s">
        <v>25</v>
      </c>
      <c r="G217" s="7">
        <v>1</v>
      </c>
      <c r="H217" s="7">
        <v>0</v>
      </c>
      <c r="I217" s="7">
        <v>0</v>
      </c>
      <c r="J217" s="7">
        <v>1</v>
      </c>
    </row>
    <row r="218" spans="3:10">
      <c r="D218" t="s">
        <v>48</v>
      </c>
      <c r="G218" s="7">
        <v>7</v>
      </c>
      <c r="H218" s="7">
        <v>1</v>
      </c>
      <c r="I218" s="7">
        <v>2</v>
      </c>
      <c r="J218" s="7">
        <v>10</v>
      </c>
    </row>
    <row r="219" spans="3:10">
      <c r="D219" t="s">
        <v>49</v>
      </c>
      <c r="E219" t="s">
        <v>15</v>
      </c>
      <c r="G219" s="7">
        <v>2</v>
      </c>
      <c r="H219" s="7">
        <v>0</v>
      </c>
      <c r="I219" s="7">
        <v>0</v>
      </c>
      <c r="J219" s="7">
        <v>2</v>
      </c>
    </row>
    <row r="220" spans="3:10">
      <c r="E220" t="s">
        <v>13</v>
      </c>
      <c r="G220" s="7">
        <v>1</v>
      </c>
      <c r="H220" s="7">
        <v>0</v>
      </c>
      <c r="I220" s="7">
        <v>0</v>
      </c>
      <c r="J220" s="7">
        <v>1</v>
      </c>
    </row>
    <row r="221" spans="3:10">
      <c r="E221" t="s">
        <v>9</v>
      </c>
      <c r="G221" s="7">
        <v>1</v>
      </c>
      <c r="H221" s="7">
        <v>0</v>
      </c>
      <c r="I221" s="7">
        <v>0</v>
      </c>
      <c r="J221" s="7">
        <v>1</v>
      </c>
    </row>
    <row r="222" spans="3:10">
      <c r="D222" t="s">
        <v>50</v>
      </c>
      <c r="G222" s="7">
        <v>4</v>
      </c>
      <c r="H222" s="7">
        <v>0</v>
      </c>
      <c r="I222" s="7">
        <v>0</v>
      </c>
      <c r="J222" s="7">
        <v>4</v>
      </c>
    </row>
    <row r="223" spans="3:10">
      <c r="C223" t="s">
        <v>60</v>
      </c>
      <c r="G223" s="7">
        <v>11</v>
      </c>
      <c r="H223" s="7">
        <v>1</v>
      </c>
      <c r="I223" s="7">
        <v>2</v>
      </c>
      <c r="J223" s="7">
        <v>14</v>
      </c>
    </row>
    <row r="224" spans="3:10">
      <c r="C224" t="s">
        <v>61</v>
      </c>
      <c r="D224" t="s">
        <v>47</v>
      </c>
      <c r="E224" t="s">
        <v>15</v>
      </c>
      <c r="G224" s="7">
        <v>4</v>
      </c>
      <c r="H224" s="7">
        <v>1</v>
      </c>
      <c r="I224" s="7">
        <v>0</v>
      </c>
      <c r="J224" s="7">
        <v>5</v>
      </c>
    </row>
    <row r="225" spans="2:10">
      <c r="E225" t="s">
        <v>26</v>
      </c>
      <c r="G225" s="7">
        <v>2</v>
      </c>
      <c r="H225" s="7">
        <v>1</v>
      </c>
      <c r="I225" s="7">
        <v>0</v>
      </c>
      <c r="J225" s="7">
        <v>3</v>
      </c>
    </row>
    <row r="226" spans="2:10">
      <c r="E226" t="s">
        <v>21</v>
      </c>
      <c r="G226" s="7">
        <v>3</v>
      </c>
      <c r="H226" s="7">
        <v>0</v>
      </c>
      <c r="I226" s="7">
        <v>0</v>
      </c>
      <c r="J226" s="7">
        <v>3</v>
      </c>
    </row>
    <row r="227" spans="2:10">
      <c r="E227" t="s">
        <v>9</v>
      </c>
      <c r="G227" s="7">
        <v>2</v>
      </c>
      <c r="H227" s="7">
        <v>0</v>
      </c>
      <c r="I227" s="7">
        <v>1</v>
      </c>
      <c r="J227" s="7">
        <v>3</v>
      </c>
    </row>
    <row r="228" spans="2:10">
      <c r="E228" t="s">
        <v>23</v>
      </c>
      <c r="G228" s="7">
        <v>2</v>
      </c>
      <c r="H228" s="7">
        <v>0</v>
      </c>
      <c r="I228" s="7">
        <v>0</v>
      </c>
      <c r="J228" s="7">
        <v>2</v>
      </c>
    </row>
    <row r="229" spans="2:10">
      <c r="D229" t="s">
        <v>48</v>
      </c>
      <c r="G229" s="7">
        <v>13</v>
      </c>
      <c r="H229" s="7">
        <v>2</v>
      </c>
      <c r="I229" s="7">
        <v>1</v>
      </c>
      <c r="J229" s="7">
        <v>16</v>
      </c>
    </row>
    <row r="230" spans="2:10">
      <c r="D230" t="s">
        <v>49</v>
      </c>
      <c r="E230" t="s">
        <v>19</v>
      </c>
      <c r="G230" s="7">
        <v>1</v>
      </c>
      <c r="H230" s="7">
        <v>0</v>
      </c>
      <c r="I230" s="7">
        <v>1</v>
      </c>
      <c r="J230" s="7">
        <v>2</v>
      </c>
    </row>
    <row r="231" spans="2:10">
      <c r="E231" t="s">
        <v>25</v>
      </c>
      <c r="G231" s="7">
        <v>1</v>
      </c>
      <c r="H231" s="7">
        <v>0</v>
      </c>
      <c r="I231" s="7">
        <v>0</v>
      </c>
      <c r="J231" s="7">
        <v>1</v>
      </c>
    </row>
    <row r="232" spans="2:10">
      <c r="E232" t="s">
        <v>23</v>
      </c>
      <c r="G232" s="7">
        <v>1</v>
      </c>
      <c r="H232" s="7">
        <v>0</v>
      </c>
      <c r="I232" s="7">
        <v>0</v>
      </c>
      <c r="J232" s="7">
        <v>1</v>
      </c>
    </row>
    <row r="233" spans="2:10">
      <c r="E233" t="s">
        <v>9</v>
      </c>
      <c r="G233" s="7">
        <v>0</v>
      </c>
      <c r="H233" s="7">
        <v>0</v>
      </c>
      <c r="I233" s="7">
        <v>1</v>
      </c>
      <c r="J233" s="7">
        <v>1</v>
      </c>
    </row>
    <row r="234" spans="2:10">
      <c r="E234" t="s">
        <v>13</v>
      </c>
      <c r="G234" s="7">
        <v>1</v>
      </c>
      <c r="H234" s="7">
        <v>0</v>
      </c>
      <c r="I234" s="7">
        <v>0</v>
      </c>
      <c r="J234" s="7">
        <v>1</v>
      </c>
    </row>
    <row r="235" spans="2:10">
      <c r="E235" t="s">
        <v>15</v>
      </c>
      <c r="G235" s="7">
        <v>1</v>
      </c>
      <c r="H235" s="7">
        <v>0</v>
      </c>
      <c r="I235" s="7">
        <v>0</v>
      </c>
      <c r="J235" s="7">
        <v>1</v>
      </c>
    </row>
    <row r="236" spans="2:10">
      <c r="D236" t="s">
        <v>50</v>
      </c>
      <c r="G236" s="7">
        <v>5</v>
      </c>
      <c r="H236" s="7">
        <v>0</v>
      </c>
      <c r="I236" s="7">
        <v>2</v>
      </c>
      <c r="J236" s="7">
        <v>7</v>
      </c>
    </row>
    <row r="237" spans="2:10">
      <c r="C237" t="s">
        <v>62</v>
      </c>
      <c r="G237" s="7">
        <v>18</v>
      </c>
      <c r="H237" s="7">
        <v>2</v>
      </c>
      <c r="I237" s="7">
        <v>3</v>
      </c>
      <c r="J237" s="7">
        <v>23</v>
      </c>
    </row>
    <row r="238" spans="2:10">
      <c r="B238" t="s">
        <v>63</v>
      </c>
      <c r="G238" s="7">
        <v>41</v>
      </c>
      <c r="H238" s="7">
        <v>8</v>
      </c>
      <c r="I238" s="7">
        <v>6</v>
      </c>
      <c r="J238" s="7">
        <v>55</v>
      </c>
    </row>
    <row r="239" spans="2:10">
      <c r="B239" t="s">
        <v>39</v>
      </c>
      <c r="C239" t="s">
        <v>64</v>
      </c>
      <c r="D239" t="s">
        <v>47</v>
      </c>
      <c r="E239" t="s">
        <v>9</v>
      </c>
      <c r="G239" s="7">
        <v>4</v>
      </c>
      <c r="H239" s="7">
        <v>1</v>
      </c>
      <c r="I239" s="7">
        <v>1</v>
      </c>
      <c r="J239" s="7">
        <v>6</v>
      </c>
    </row>
    <row r="240" spans="2:10">
      <c r="E240" t="s">
        <v>15</v>
      </c>
      <c r="G240" s="7">
        <v>2</v>
      </c>
      <c r="H240" s="7">
        <v>3</v>
      </c>
      <c r="I240" s="7">
        <v>1</v>
      </c>
      <c r="J240" s="7">
        <v>6</v>
      </c>
    </row>
    <row r="241" spans="3:10">
      <c r="E241" t="s">
        <v>19</v>
      </c>
      <c r="G241" s="7">
        <v>1</v>
      </c>
      <c r="H241" s="7">
        <v>1</v>
      </c>
      <c r="I241" s="7">
        <v>1</v>
      </c>
      <c r="J241" s="7">
        <v>3</v>
      </c>
    </row>
    <row r="242" spans="3:10">
      <c r="E242" t="s">
        <v>25</v>
      </c>
      <c r="G242" s="7">
        <v>1</v>
      </c>
      <c r="H242" s="7">
        <v>1</v>
      </c>
      <c r="I242" s="7">
        <v>0</v>
      </c>
      <c r="J242" s="7">
        <v>2</v>
      </c>
    </row>
    <row r="243" spans="3:10">
      <c r="E243" t="s">
        <v>23</v>
      </c>
      <c r="G243" s="7">
        <v>2</v>
      </c>
      <c r="H243" s="7">
        <v>0</v>
      </c>
      <c r="I243" s="7">
        <v>0</v>
      </c>
      <c r="J243" s="7">
        <v>2</v>
      </c>
    </row>
    <row r="244" spans="3:10">
      <c r="D244" t="s">
        <v>48</v>
      </c>
      <c r="G244" s="7">
        <v>10</v>
      </c>
      <c r="H244" s="7">
        <v>6</v>
      </c>
      <c r="I244" s="7">
        <v>3</v>
      </c>
      <c r="J244" s="7">
        <v>19</v>
      </c>
    </row>
    <row r="245" spans="3:10">
      <c r="D245" t="s">
        <v>49</v>
      </c>
      <c r="E245" t="s">
        <v>15</v>
      </c>
      <c r="G245" s="7">
        <v>1</v>
      </c>
      <c r="H245" s="7">
        <v>0</v>
      </c>
      <c r="I245" s="7">
        <v>1</v>
      </c>
      <c r="J245" s="7">
        <v>2</v>
      </c>
    </row>
    <row r="246" spans="3:10">
      <c r="E246" t="s">
        <v>26</v>
      </c>
      <c r="G246" s="7">
        <v>1</v>
      </c>
      <c r="H246" s="7">
        <v>0</v>
      </c>
      <c r="I246" s="7">
        <v>0</v>
      </c>
      <c r="J246" s="7">
        <v>1</v>
      </c>
    </row>
    <row r="247" spans="3:10">
      <c r="D247" t="s">
        <v>50</v>
      </c>
      <c r="G247" s="7">
        <v>2</v>
      </c>
      <c r="H247" s="7">
        <v>0</v>
      </c>
      <c r="I247" s="7">
        <v>1</v>
      </c>
      <c r="J247" s="7">
        <v>3</v>
      </c>
    </row>
    <row r="248" spans="3:10">
      <c r="C248" t="s">
        <v>65</v>
      </c>
      <c r="G248" s="7">
        <v>12</v>
      </c>
      <c r="H248" s="7">
        <v>6</v>
      </c>
      <c r="I248" s="7">
        <v>4</v>
      </c>
      <c r="J248" s="7">
        <v>22</v>
      </c>
    </row>
    <row r="249" spans="3:10">
      <c r="C249" t="s">
        <v>66</v>
      </c>
      <c r="D249" t="s">
        <v>47</v>
      </c>
      <c r="E249" t="s">
        <v>23</v>
      </c>
      <c r="G249" s="7">
        <v>2</v>
      </c>
      <c r="H249" s="7">
        <v>2</v>
      </c>
      <c r="I249" s="7">
        <v>1</v>
      </c>
      <c r="J249" s="7">
        <v>5</v>
      </c>
    </row>
    <row r="250" spans="3:10">
      <c r="E250" t="s">
        <v>19</v>
      </c>
      <c r="G250" s="7">
        <v>2</v>
      </c>
      <c r="H250" s="7">
        <v>1</v>
      </c>
      <c r="I250" s="7">
        <v>0</v>
      </c>
      <c r="J250" s="7">
        <v>3</v>
      </c>
    </row>
    <row r="251" spans="3:10">
      <c r="E251" t="s">
        <v>9</v>
      </c>
      <c r="G251" s="7">
        <v>2</v>
      </c>
      <c r="H251" s="7">
        <v>1</v>
      </c>
      <c r="I251" s="7">
        <v>0</v>
      </c>
      <c r="J251" s="7">
        <v>3</v>
      </c>
    </row>
    <row r="252" spans="3:10">
      <c r="E252" t="s">
        <v>15</v>
      </c>
      <c r="G252" s="7">
        <v>2</v>
      </c>
      <c r="H252" s="7">
        <v>1</v>
      </c>
      <c r="I252" s="7">
        <v>0</v>
      </c>
      <c r="J252" s="7">
        <v>3</v>
      </c>
    </row>
    <row r="253" spans="3:10">
      <c r="D253" t="s">
        <v>48</v>
      </c>
      <c r="G253" s="7">
        <v>8</v>
      </c>
      <c r="H253" s="7">
        <v>5</v>
      </c>
      <c r="I253" s="7">
        <v>1</v>
      </c>
      <c r="J253" s="7">
        <v>14</v>
      </c>
    </row>
    <row r="254" spans="3:10">
      <c r="D254" t="s">
        <v>49</v>
      </c>
      <c r="E254" t="s">
        <v>15</v>
      </c>
      <c r="G254" s="7">
        <v>2</v>
      </c>
      <c r="H254" s="7">
        <v>2</v>
      </c>
      <c r="I254" s="7">
        <v>0</v>
      </c>
      <c r="J254" s="7">
        <v>4</v>
      </c>
    </row>
    <row r="255" spans="3:10">
      <c r="E255" t="s">
        <v>25</v>
      </c>
      <c r="G255" s="7">
        <v>1</v>
      </c>
      <c r="H255" s="7">
        <v>0</v>
      </c>
      <c r="I255" s="7">
        <v>0</v>
      </c>
      <c r="J255" s="7">
        <v>1</v>
      </c>
    </row>
    <row r="256" spans="3:10">
      <c r="E256" t="s">
        <v>19</v>
      </c>
      <c r="G256" s="7">
        <v>1</v>
      </c>
      <c r="H256" s="7">
        <v>0</v>
      </c>
      <c r="I256" s="7">
        <v>0</v>
      </c>
      <c r="J256" s="7">
        <v>1</v>
      </c>
    </row>
    <row r="257" spans="3:10">
      <c r="E257" t="s">
        <v>9</v>
      </c>
      <c r="G257" s="7">
        <v>1</v>
      </c>
      <c r="H257" s="7">
        <v>0</v>
      </c>
      <c r="I257" s="7">
        <v>0</v>
      </c>
      <c r="J257" s="7">
        <v>1</v>
      </c>
    </row>
    <row r="258" spans="3:10">
      <c r="E258" t="s">
        <v>23</v>
      </c>
      <c r="G258" s="7">
        <v>1</v>
      </c>
      <c r="H258" s="7">
        <v>0</v>
      </c>
      <c r="I258" s="7">
        <v>0</v>
      </c>
      <c r="J258" s="7">
        <v>1</v>
      </c>
    </row>
    <row r="259" spans="3:10">
      <c r="D259" t="s">
        <v>50</v>
      </c>
      <c r="G259" s="7">
        <v>6</v>
      </c>
      <c r="H259" s="7">
        <v>2</v>
      </c>
      <c r="I259" s="7">
        <v>0</v>
      </c>
      <c r="J259" s="7">
        <v>8</v>
      </c>
    </row>
    <row r="260" spans="3:10">
      <c r="C260" t="s">
        <v>67</v>
      </c>
      <c r="G260" s="7">
        <v>14</v>
      </c>
      <c r="H260" s="7">
        <v>7</v>
      </c>
      <c r="I260" s="7">
        <v>1</v>
      </c>
      <c r="J260" s="7">
        <v>22</v>
      </c>
    </row>
    <row r="261" spans="3:10">
      <c r="C261" t="s">
        <v>68</v>
      </c>
      <c r="D261" t="s">
        <v>47</v>
      </c>
      <c r="E261" t="s">
        <v>15</v>
      </c>
      <c r="G261" s="7">
        <v>3</v>
      </c>
      <c r="H261" s="7">
        <v>1</v>
      </c>
      <c r="I261" s="7">
        <v>1</v>
      </c>
      <c r="J261" s="7">
        <v>5</v>
      </c>
    </row>
    <row r="262" spans="3:10">
      <c r="E262" t="s">
        <v>9</v>
      </c>
      <c r="G262" s="7">
        <v>2</v>
      </c>
      <c r="H262" s="7">
        <v>0</v>
      </c>
      <c r="I262" s="7">
        <v>1</v>
      </c>
      <c r="J262" s="7">
        <v>3</v>
      </c>
    </row>
    <row r="263" spans="3:10">
      <c r="E263" t="s">
        <v>19</v>
      </c>
      <c r="G263" s="7">
        <v>2</v>
      </c>
      <c r="H263" s="7">
        <v>0</v>
      </c>
      <c r="I263" s="7">
        <v>0</v>
      </c>
      <c r="J263" s="7">
        <v>2</v>
      </c>
    </row>
    <row r="264" spans="3:10">
      <c r="E264" t="s">
        <v>23</v>
      </c>
      <c r="G264" s="7">
        <v>0</v>
      </c>
      <c r="H264" s="7">
        <v>2</v>
      </c>
      <c r="I264" s="7">
        <v>0</v>
      </c>
      <c r="J264" s="7">
        <v>2</v>
      </c>
    </row>
    <row r="265" spans="3:10">
      <c r="E265" t="s">
        <v>25</v>
      </c>
      <c r="G265" s="7">
        <v>0</v>
      </c>
      <c r="H265" s="7">
        <v>0</v>
      </c>
      <c r="I265" s="7">
        <v>1</v>
      </c>
      <c r="J265" s="7">
        <v>1</v>
      </c>
    </row>
    <row r="266" spans="3:10">
      <c r="E266" t="s">
        <v>13</v>
      </c>
      <c r="G266" s="7">
        <v>1</v>
      </c>
      <c r="H266" s="7">
        <v>0</v>
      </c>
      <c r="I266" s="7">
        <v>0</v>
      </c>
      <c r="J266" s="7">
        <v>1</v>
      </c>
    </row>
    <row r="267" spans="3:10">
      <c r="D267" t="s">
        <v>48</v>
      </c>
      <c r="G267" s="7">
        <v>8</v>
      </c>
      <c r="H267" s="7">
        <v>3</v>
      </c>
      <c r="I267" s="7">
        <v>3</v>
      </c>
      <c r="J267" s="7">
        <v>14</v>
      </c>
    </row>
    <row r="268" spans="3:10">
      <c r="D268" t="s">
        <v>49</v>
      </c>
      <c r="E268" t="s">
        <v>23</v>
      </c>
      <c r="G268" s="7">
        <v>3</v>
      </c>
      <c r="H268" s="7">
        <v>0</v>
      </c>
      <c r="I268" s="7">
        <v>0</v>
      </c>
      <c r="J268" s="7">
        <v>3</v>
      </c>
    </row>
    <row r="269" spans="3:10">
      <c r="E269" t="s">
        <v>9</v>
      </c>
      <c r="G269" s="7">
        <v>2</v>
      </c>
      <c r="H269" s="7">
        <v>0</v>
      </c>
      <c r="I269" s="7">
        <v>0</v>
      </c>
      <c r="J269" s="7">
        <v>2</v>
      </c>
    </row>
    <row r="270" spans="3:10">
      <c r="E270" t="s">
        <v>15</v>
      </c>
      <c r="G270" s="7">
        <v>1</v>
      </c>
      <c r="H270" s="7">
        <v>1</v>
      </c>
      <c r="I270" s="7">
        <v>0</v>
      </c>
      <c r="J270" s="7">
        <v>2</v>
      </c>
    </row>
    <row r="271" spans="3:10">
      <c r="E271" t="s">
        <v>19</v>
      </c>
      <c r="G271" s="7">
        <v>1</v>
      </c>
      <c r="H271" s="7">
        <v>0</v>
      </c>
      <c r="I271" s="7">
        <v>0</v>
      </c>
      <c r="J271" s="7">
        <v>1</v>
      </c>
    </row>
    <row r="272" spans="3:10">
      <c r="D272" t="s">
        <v>50</v>
      </c>
      <c r="G272" s="7">
        <v>7</v>
      </c>
      <c r="H272" s="7">
        <v>1</v>
      </c>
      <c r="I272" s="7">
        <v>0</v>
      </c>
      <c r="J272" s="7">
        <v>8</v>
      </c>
    </row>
    <row r="273" spans="2:10">
      <c r="C273" t="s">
        <v>69</v>
      </c>
      <c r="G273" s="7">
        <v>15</v>
      </c>
      <c r="H273" s="7">
        <v>4</v>
      </c>
      <c r="I273" s="7">
        <v>3</v>
      </c>
      <c r="J273" s="7">
        <v>22</v>
      </c>
    </row>
    <row r="274" spans="2:10">
      <c r="B274" t="s">
        <v>70</v>
      </c>
      <c r="G274" s="7">
        <v>41</v>
      </c>
      <c r="H274" s="7">
        <v>17</v>
      </c>
      <c r="I274" s="7">
        <v>8</v>
      </c>
      <c r="J274" s="7">
        <v>66</v>
      </c>
    </row>
    <row r="275" spans="2:10">
      <c r="B275" t="s">
        <v>40</v>
      </c>
      <c r="C275" t="s">
        <v>71</v>
      </c>
      <c r="D275" t="s">
        <v>47</v>
      </c>
      <c r="E275" t="s">
        <v>15</v>
      </c>
      <c r="G275" s="7">
        <v>3</v>
      </c>
      <c r="H275" s="7">
        <v>2</v>
      </c>
      <c r="I275" s="7">
        <v>1</v>
      </c>
      <c r="J275" s="7">
        <v>6</v>
      </c>
    </row>
    <row r="276" spans="2:10">
      <c r="E276" t="s">
        <v>21</v>
      </c>
      <c r="G276" s="7">
        <v>1</v>
      </c>
      <c r="H276" s="7">
        <v>1</v>
      </c>
      <c r="I276" s="7">
        <v>0</v>
      </c>
      <c r="J276" s="7">
        <v>2</v>
      </c>
    </row>
    <row r="277" spans="2:10">
      <c r="E277" t="s">
        <v>9</v>
      </c>
      <c r="G277" s="7">
        <v>2</v>
      </c>
      <c r="H277" s="7">
        <v>0</v>
      </c>
      <c r="I277" s="7">
        <v>0</v>
      </c>
      <c r="J277" s="7">
        <v>2</v>
      </c>
    </row>
    <row r="278" spans="2:10">
      <c r="E278" t="s">
        <v>26</v>
      </c>
      <c r="G278" s="7">
        <v>2</v>
      </c>
      <c r="H278" s="7">
        <v>0</v>
      </c>
      <c r="I278" s="7">
        <v>0</v>
      </c>
      <c r="J278" s="7">
        <v>2</v>
      </c>
    </row>
    <row r="279" spans="2:10">
      <c r="E279" t="s">
        <v>25</v>
      </c>
      <c r="G279" s="7">
        <v>2</v>
      </c>
      <c r="H279" s="7">
        <v>0</v>
      </c>
      <c r="I279" s="7">
        <v>0</v>
      </c>
      <c r="J279" s="7">
        <v>2</v>
      </c>
    </row>
    <row r="280" spans="2:10">
      <c r="E280" t="s">
        <v>19</v>
      </c>
      <c r="G280" s="7">
        <v>1</v>
      </c>
      <c r="H280" s="7">
        <v>0</v>
      </c>
      <c r="I280" s="7">
        <v>0</v>
      </c>
      <c r="J280" s="7">
        <v>1</v>
      </c>
    </row>
    <row r="281" spans="2:10">
      <c r="E281" t="s">
        <v>13</v>
      </c>
      <c r="G281" s="7">
        <v>1</v>
      </c>
      <c r="H281" s="7">
        <v>0</v>
      </c>
      <c r="I281" s="7">
        <v>0</v>
      </c>
      <c r="J281" s="7">
        <v>1</v>
      </c>
    </row>
    <row r="282" spans="2:10">
      <c r="E282" t="s">
        <v>23</v>
      </c>
      <c r="G282" s="7">
        <v>1</v>
      </c>
      <c r="H282" s="7">
        <v>0</v>
      </c>
      <c r="I282" s="7">
        <v>0</v>
      </c>
      <c r="J282" s="7">
        <v>1</v>
      </c>
    </row>
    <row r="283" spans="2:10">
      <c r="D283" t="s">
        <v>48</v>
      </c>
      <c r="G283" s="7">
        <v>13</v>
      </c>
      <c r="H283" s="7">
        <v>3</v>
      </c>
      <c r="I283" s="7">
        <v>1</v>
      </c>
      <c r="J283" s="7">
        <v>17</v>
      </c>
    </row>
    <row r="284" spans="2:10">
      <c r="D284" t="s">
        <v>49</v>
      </c>
      <c r="E284" t="s">
        <v>15</v>
      </c>
      <c r="G284" s="7">
        <v>4</v>
      </c>
      <c r="H284" s="7">
        <v>0</v>
      </c>
      <c r="I284" s="7">
        <v>1</v>
      </c>
      <c r="J284" s="7">
        <v>5</v>
      </c>
    </row>
    <row r="285" spans="2:10">
      <c r="E285" t="s">
        <v>25</v>
      </c>
      <c r="G285" s="7">
        <v>1</v>
      </c>
      <c r="H285" s="7">
        <v>0</v>
      </c>
      <c r="I285" s="7">
        <v>0</v>
      </c>
      <c r="J285" s="7">
        <v>1</v>
      </c>
    </row>
    <row r="286" spans="2:10">
      <c r="E286" t="s">
        <v>19</v>
      </c>
      <c r="G286" s="7">
        <v>1</v>
      </c>
      <c r="H286" s="7">
        <v>0</v>
      </c>
      <c r="I286" s="7">
        <v>0</v>
      </c>
      <c r="J286" s="7">
        <v>1</v>
      </c>
    </row>
    <row r="287" spans="2:10">
      <c r="D287" t="s">
        <v>50</v>
      </c>
      <c r="G287" s="7">
        <v>6</v>
      </c>
      <c r="H287" s="7">
        <v>0</v>
      </c>
      <c r="I287" s="7">
        <v>1</v>
      </c>
      <c r="J287" s="7">
        <v>7</v>
      </c>
    </row>
    <row r="288" spans="2:10">
      <c r="C288" t="s">
        <v>72</v>
      </c>
      <c r="G288" s="7">
        <v>19</v>
      </c>
      <c r="H288" s="7">
        <v>3</v>
      </c>
      <c r="I288" s="7">
        <v>2</v>
      </c>
      <c r="J288" s="7">
        <v>24</v>
      </c>
    </row>
    <row r="289" spans="3:10">
      <c r="C289" t="s">
        <v>73</v>
      </c>
      <c r="D289" t="s">
        <v>47</v>
      </c>
      <c r="E289" t="s">
        <v>25</v>
      </c>
      <c r="G289" s="7">
        <v>3</v>
      </c>
      <c r="H289" s="7">
        <v>0</v>
      </c>
      <c r="I289" s="7">
        <v>0</v>
      </c>
      <c r="J289" s="7">
        <v>3</v>
      </c>
    </row>
    <row r="290" spans="3:10">
      <c r="E290" t="s">
        <v>19</v>
      </c>
      <c r="G290" s="7">
        <v>1</v>
      </c>
      <c r="H290" s="7">
        <v>2</v>
      </c>
      <c r="I290" s="7">
        <v>0</v>
      </c>
      <c r="J290" s="7">
        <v>3</v>
      </c>
    </row>
    <row r="291" spans="3:10">
      <c r="E291" t="s">
        <v>23</v>
      </c>
      <c r="G291" s="7">
        <v>2</v>
      </c>
      <c r="H291" s="7">
        <v>1</v>
      </c>
      <c r="I291" s="7">
        <v>0</v>
      </c>
      <c r="J291" s="7">
        <v>3</v>
      </c>
    </row>
    <row r="292" spans="3:10">
      <c r="E292" t="s">
        <v>15</v>
      </c>
      <c r="G292" s="7">
        <v>1</v>
      </c>
      <c r="H292" s="7">
        <v>2</v>
      </c>
      <c r="I292" s="7">
        <v>0</v>
      </c>
      <c r="J292" s="7">
        <v>3</v>
      </c>
    </row>
    <row r="293" spans="3:10">
      <c r="E293" t="s">
        <v>9</v>
      </c>
      <c r="G293" s="7">
        <v>2</v>
      </c>
      <c r="H293" s="7">
        <v>0</v>
      </c>
      <c r="I293" s="7">
        <v>0</v>
      </c>
      <c r="J293" s="7">
        <v>2</v>
      </c>
    </row>
    <row r="294" spans="3:10">
      <c r="E294" t="s">
        <v>13</v>
      </c>
      <c r="G294" s="7">
        <v>1</v>
      </c>
      <c r="H294" s="7">
        <v>0</v>
      </c>
      <c r="I294" s="7">
        <v>0</v>
      </c>
      <c r="J294" s="7">
        <v>1</v>
      </c>
    </row>
    <row r="295" spans="3:10">
      <c r="D295" t="s">
        <v>48</v>
      </c>
      <c r="G295" s="7">
        <v>10</v>
      </c>
      <c r="H295" s="7">
        <v>5</v>
      </c>
      <c r="I295" s="7">
        <v>0</v>
      </c>
      <c r="J295" s="7">
        <v>15</v>
      </c>
    </row>
    <row r="296" spans="3:10">
      <c r="D296" t="s">
        <v>49</v>
      </c>
      <c r="E296" t="s">
        <v>25</v>
      </c>
      <c r="G296" s="7">
        <v>2</v>
      </c>
      <c r="H296" s="7">
        <v>0</v>
      </c>
      <c r="I296" s="7">
        <v>0</v>
      </c>
      <c r="J296" s="7">
        <v>2</v>
      </c>
    </row>
    <row r="297" spans="3:10">
      <c r="E297" t="s">
        <v>19</v>
      </c>
      <c r="G297" s="7">
        <v>2</v>
      </c>
      <c r="H297" s="7">
        <v>0</v>
      </c>
      <c r="I297" s="7">
        <v>0</v>
      </c>
      <c r="J297" s="7">
        <v>2</v>
      </c>
    </row>
    <row r="298" spans="3:10">
      <c r="E298" t="s">
        <v>21</v>
      </c>
      <c r="G298" s="7">
        <v>1</v>
      </c>
      <c r="H298" s="7">
        <v>0</v>
      </c>
      <c r="I298" s="7">
        <v>0</v>
      </c>
      <c r="J298" s="7">
        <v>1</v>
      </c>
    </row>
    <row r="299" spans="3:10">
      <c r="E299" t="s">
        <v>15</v>
      </c>
      <c r="G299" s="7">
        <v>1</v>
      </c>
      <c r="H299" s="7">
        <v>0</v>
      </c>
      <c r="I299" s="7">
        <v>0</v>
      </c>
      <c r="J299" s="7">
        <v>1</v>
      </c>
    </row>
    <row r="300" spans="3:10">
      <c r="E300" t="s">
        <v>9</v>
      </c>
      <c r="G300" s="7">
        <v>0</v>
      </c>
      <c r="H300" s="7">
        <v>1</v>
      </c>
      <c r="I300" s="7">
        <v>0</v>
      </c>
      <c r="J300" s="7">
        <v>1</v>
      </c>
    </row>
    <row r="301" spans="3:10">
      <c r="E301" t="s">
        <v>23</v>
      </c>
      <c r="G301" s="7">
        <v>1</v>
      </c>
      <c r="H301" s="7">
        <v>0</v>
      </c>
      <c r="I301" s="7">
        <v>0</v>
      </c>
      <c r="J301" s="7">
        <v>1</v>
      </c>
    </row>
    <row r="302" spans="3:10">
      <c r="D302" t="s">
        <v>50</v>
      </c>
      <c r="G302" s="7">
        <v>7</v>
      </c>
      <c r="H302" s="7">
        <v>1</v>
      </c>
      <c r="I302" s="7">
        <v>0</v>
      </c>
      <c r="J302" s="7">
        <v>8</v>
      </c>
    </row>
    <row r="303" spans="3:10">
      <c r="C303" t="s">
        <v>74</v>
      </c>
      <c r="G303" s="7">
        <v>17</v>
      </c>
      <c r="H303" s="7">
        <v>6</v>
      </c>
      <c r="I303" s="7">
        <v>0</v>
      </c>
      <c r="J303" s="7">
        <v>23</v>
      </c>
    </row>
    <row r="304" spans="3:10">
      <c r="C304" t="s">
        <v>75</v>
      </c>
      <c r="D304" t="s">
        <v>47</v>
      </c>
      <c r="E304" t="s">
        <v>15</v>
      </c>
      <c r="G304" s="7">
        <v>6</v>
      </c>
      <c r="H304" s="7">
        <v>2</v>
      </c>
      <c r="I304" s="7">
        <v>0</v>
      </c>
      <c r="J304" s="7">
        <v>8</v>
      </c>
    </row>
    <row r="305" spans="1:10">
      <c r="E305" t="s">
        <v>9</v>
      </c>
      <c r="G305" s="7">
        <v>5</v>
      </c>
      <c r="H305" s="7">
        <v>1</v>
      </c>
      <c r="I305" s="7">
        <v>0</v>
      </c>
      <c r="J305" s="7">
        <v>6</v>
      </c>
    </row>
    <row r="306" spans="1:10">
      <c r="E306" t="s">
        <v>26</v>
      </c>
      <c r="G306" s="7">
        <v>2</v>
      </c>
      <c r="H306" s="7">
        <v>0</v>
      </c>
      <c r="I306" s="7">
        <v>0</v>
      </c>
      <c r="J306" s="7">
        <v>2</v>
      </c>
    </row>
    <row r="307" spans="1:10">
      <c r="E307" t="s">
        <v>25</v>
      </c>
      <c r="G307" s="7">
        <v>1</v>
      </c>
      <c r="H307" s="7">
        <v>0</v>
      </c>
      <c r="I307" s="7">
        <v>0</v>
      </c>
      <c r="J307" s="7">
        <v>1</v>
      </c>
    </row>
    <row r="308" spans="1:10">
      <c r="E308" t="s">
        <v>13</v>
      </c>
      <c r="G308" s="7">
        <v>1</v>
      </c>
      <c r="H308" s="7">
        <v>0</v>
      </c>
      <c r="I308" s="7">
        <v>0</v>
      </c>
      <c r="J308" s="7">
        <v>1</v>
      </c>
    </row>
    <row r="309" spans="1:10">
      <c r="E309" t="s">
        <v>23</v>
      </c>
      <c r="G309" s="7">
        <v>1</v>
      </c>
      <c r="H309" s="7">
        <v>0</v>
      </c>
      <c r="I309" s="7">
        <v>0</v>
      </c>
      <c r="J309" s="7">
        <v>1</v>
      </c>
    </row>
    <row r="310" spans="1:10">
      <c r="D310" t="s">
        <v>48</v>
      </c>
      <c r="G310" s="7">
        <v>16</v>
      </c>
      <c r="H310" s="7">
        <v>3</v>
      </c>
      <c r="I310" s="7">
        <v>0</v>
      </c>
      <c r="J310" s="7">
        <v>19</v>
      </c>
    </row>
    <row r="311" spans="1:10">
      <c r="D311" t="s">
        <v>49</v>
      </c>
      <c r="E311" t="s">
        <v>26</v>
      </c>
      <c r="G311" s="7">
        <v>1</v>
      </c>
      <c r="H311" s="7">
        <v>0</v>
      </c>
      <c r="I311" s="7">
        <v>0</v>
      </c>
      <c r="J311" s="7">
        <v>1</v>
      </c>
    </row>
    <row r="312" spans="1:10">
      <c r="E312" t="s">
        <v>15</v>
      </c>
      <c r="G312" s="7">
        <v>1</v>
      </c>
      <c r="H312" s="7">
        <v>0</v>
      </c>
      <c r="I312" s="7">
        <v>0</v>
      </c>
      <c r="J312" s="7">
        <v>1</v>
      </c>
    </row>
    <row r="313" spans="1:10">
      <c r="D313" t="s">
        <v>50</v>
      </c>
      <c r="G313" s="7">
        <v>2</v>
      </c>
      <c r="H313" s="7">
        <v>0</v>
      </c>
      <c r="I313" s="7">
        <v>0</v>
      </c>
      <c r="J313" s="7">
        <v>2</v>
      </c>
    </row>
    <row r="314" spans="1:10">
      <c r="C314" t="s">
        <v>76</v>
      </c>
      <c r="G314" s="7">
        <v>18</v>
      </c>
      <c r="H314" s="7">
        <v>3</v>
      </c>
      <c r="I314" s="7">
        <v>0</v>
      </c>
      <c r="J314" s="7">
        <v>21</v>
      </c>
    </row>
    <row r="315" spans="1:10">
      <c r="B315" t="s">
        <v>77</v>
      </c>
      <c r="G315" s="7">
        <v>54</v>
      </c>
      <c r="H315" s="7">
        <v>12</v>
      </c>
      <c r="I315" s="7">
        <v>2</v>
      </c>
      <c r="J315" s="7">
        <v>68</v>
      </c>
    </row>
    <row r="316" spans="1:10">
      <c r="A316" t="s">
        <v>42</v>
      </c>
      <c r="G316" s="7">
        <v>185</v>
      </c>
      <c r="H316" s="7">
        <v>46</v>
      </c>
      <c r="I316" s="7">
        <v>24</v>
      </c>
      <c r="J316" s="7">
        <v>255</v>
      </c>
    </row>
    <row r="317" spans="1:10">
      <c r="A317" t="s">
        <v>43</v>
      </c>
      <c r="G317" s="7">
        <v>343</v>
      </c>
      <c r="H317" s="7">
        <v>101</v>
      </c>
      <c r="I317" s="7">
        <v>56</v>
      </c>
      <c r="J317" s="7"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ED8F-F261-41EB-A182-2A2787EB03C3}">
  <dimension ref="A1:D100"/>
  <sheetViews>
    <sheetView topLeftCell="D53" workbookViewId="0">
      <selection activeCell="G41" sqref="G41"/>
    </sheetView>
  </sheetViews>
  <sheetFormatPr defaultRowHeight="15"/>
  <cols>
    <col min="1" max="1" width="18.85546875" bestFit="1" customWidth="1"/>
    <col min="2" max="2" width="12.42578125" bestFit="1" customWidth="1"/>
    <col min="3" max="3" width="18.85546875" bestFit="1" customWidth="1"/>
    <col min="4" max="4" width="20.28515625" bestFit="1" customWidth="1"/>
  </cols>
  <sheetData>
    <row r="1" spans="1:4">
      <c r="A1" s="6" t="s">
        <v>45</v>
      </c>
      <c r="B1" t="s">
        <v>22</v>
      </c>
    </row>
    <row r="3" spans="1:4">
      <c r="A3" s="6" t="s">
        <v>27</v>
      </c>
      <c r="B3" s="6" t="s">
        <v>31</v>
      </c>
      <c r="C3" s="6" t="s">
        <v>32</v>
      </c>
      <c r="D3" t="s">
        <v>78</v>
      </c>
    </row>
    <row r="4" spans="1:4">
      <c r="A4">
        <v>2023</v>
      </c>
      <c r="B4" t="s">
        <v>15</v>
      </c>
      <c r="C4" t="s">
        <v>79</v>
      </c>
      <c r="D4" s="7">
        <v>6</v>
      </c>
    </row>
    <row r="5" spans="1:4">
      <c r="C5" t="s">
        <v>80</v>
      </c>
      <c r="D5" s="7">
        <v>4</v>
      </c>
    </row>
    <row r="6" spans="1:4">
      <c r="C6" t="s">
        <v>81</v>
      </c>
      <c r="D6" s="7">
        <v>2</v>
      </c>
    </row>
    <row r="7" spans="1:4">
      <c r="C7" t="s">
        <v>82</v>
      </c>
      <c r="D7" s="7">
        <v>1</v>
      </c>
    </row>
    <row r="8" spans="1:4">
      <c r="B8" t="s">
        <v>83</v>
      </c>
      <c r="D8" s="7">
        <v>13</v>
      </c>
    </row>
    <row r="9" spans="1:4">
      <c r="B9" t="s">
        <v>9</v>
      </c>
      <c r="C9" t="s">
        <v>79</v>
      </c>
      <c r="D9" s="7">
        <v>4</v>
      </c>
    </row>
    <row r="10" spans="1:4">
      <c r="C10" t="s">
        <v>80</v>
      </c>
      <c r="D10" s="7">
        <v>2</v>
      </c>
    </row>
    <row r="11" spans="1:4">
      <c r="C11" t="s">
        <v>81</v>
      </c>
      <c r="D11" s="7">
        <v>1</v>
      </c>
    </row>
    <row r="12" spans="1:4">
      <c r="C12" t="s">
        <v>82</v>
      </c>
      <c r="D12" s="7">
        <v>1</v>
      </c>
    </row>
    <row r="13" spans="1:4">
      <c r="B13" t="s">
        <v>84</v>
      </c>
      <c r="D13" s="7">
        <v>8</v>
      </c>
    </row>
    <row r="14" spans="1:4">
      <c r="B14" t="s">
        <v>19</v>
      </c>
      <c r="C14" t="s">
        <v>80</v>
      </c>
      <c r="D14" s="7">
        <v>2</v>
      </c>
    </row>
    <row r="15" spans="1:4">
      <c r="C15" t="s">
        <v>82</v>
      </c>
      <c r="D15" s="7">
        <v>1</v>
      </c>
    </row>
    <row r="16" spans="1:4">
      <c r="C16" t="s">
        <v>81</v>
      </c>
      <c r="D16" s="7">
        <v>1</v>
      </c>
    </row>
    <row r="17" spans="1:4">
      <c r="C17" t="s">
        <v>79</v>
      </c>
      <c r="D17" s="7">
        <v>1</v>
      </c>
    </row>
    <row r="18" spans="1:4">
      <c r="B18" t="s">
        <v>85</v>
      </c>
      <c r="D18" s="7">
        <v>5</v>
      </c>
    </row>
    <row r="19" spans="1:4">
      <c r="B19" t="s">
        <v>21</v>
      </c>
      <c r="C19" t="s">
        <v>80</v>
      </c>
      <c r="D19" s="7">
        <v>1</v>
      </c>
    </row>
    <row r="20" spans="1:4">
      <c r="C20" t="s">
        <v>82</v>
      </c>
      <c r="D20" s="7">
        <v>1</v>
      </c>
    </row>
    <row r="21" spans="1:4">
      <c r="B21" t="s">
        <v>86</v>
      </c>
      <c r="D21" s="7">
        <v>2</v>
      </c>
    </row>
    <row r="22" spans="1:4">
      <c r="B22" t="s">
        <v>25</v>
      </c>
      <c r="C22" t="s">
        <v>79</v>
      </c>
      <c r="D22" s="7">
        <v>2</v>
      </c>
    </row>
    <row r="23" spans="1:4">
      <c r="B23" t="s">
        <v>87</v>
      </c>
      <c r="D23" s="7">
        <v>2</v>
      </c>
    </row>
    <row r="24" spans="1:4">
      <c r="B24" t="s">
        <v>13</v>
      </c>
      <c r="C24" t="s">
        <v>82</v>
      </c>
      <c r="D24" s="7">
        <v>1</v>
      </c>
    </row>
    <row r="25" spans="1:4">
      <c r="B25" t="s">
        <v>88</v>
      </c>
      <c r="D25" s="7">
        <v>1</v>
      </c>
    </row>
    <row r="26" spans="1:4">
      <c r="B26" t="s">
        <v>23</v>
      </c>
      <c r="C26" t="s">
        <v>80</v>
      </c>
      <c r="D26" s="7">
        <v>1</v>
      </c>
    </row>
    <row r="27" spans="1:4">
      <c r="B27" t="s">
        <v>89</v>
      </c>
      <c r="D27" s="7">
        <v>1</v>
      </c>
    </row>
    <row r="28" spans="1:4">
      <c r="A28" t="s">
        <v>41</v>
      </c>
      <c r="D28" s="7">
        <v>32</v>
      </c>
    </row>
    <row r="29" spans="1:4">
      <c r="A29">
        <v>2024</v>
      </c>
      <c r="B29" t="s">
        <v>15</v>
      </c>
      <c r="C29" t="s">
        <v>82</v>
      </c>
      <c r="D29" s="7">
        <v>6</v>
      </c>
    </row>
    <row r="30" spans="1:4">
      <c r="C30" t="s">
        <v>79</v>
      </c>
      <c r="D30" s="7">
        <v>3</v>
      </c>
    </row>
    <row r="31" spans="1:4">
      <c r="C31" t="s">
        <v>80</v>
      </c>
      <c r="D31" s="7">
        <v>1</v>
      </c>
    </row>
    <row r="32" spans="1:4">
      <c r="B32" t="s">
        <v>83</v>
      </c>
      <c r="D32" s="7">
        <v>10</v>
      </c>
    </row>
    <row r="33" spans="1:4">
      <c r="B33" t="s">
        <v>9</v>
      </c>
      <c r="C33" t="s">
        <v>82</v>
      </c>
      <c r="D33" s="7">
        <v>3</v>
      </c>
    </row>
    <row r="34" spans="1:4">
      <c r="C34" t="s">
        <v>79</v>
      </c>
      <c r="D34" s="7">
        <v>2</v>
      </c>
    </row>
    <row r="35" spans="1:4">
      <c r="C35" t="s">
        <v>81</v>
      </c>
      <c r="D35" s="7">
        <v>1</v>
      </c>
    </row>
    <row r="36" spans="1:4">
      <c r="C36" t="s">
        <v>80</v>
      </c>
      <c r="D36" s="7">
        <v>1</v>
      </c>
    </row>
    <row r="37" spans="1:4">
      <c r="B37" t="s">
        <v>84</v>
      </c>
      <c r="D37" s="7">
        <v>7</v>
      </c>
    </row>
    <row r="38" spans="1:4">
      <c r="B38" t="s">
        <v>23</v>
      </c>
      <c r="C38" t="s">
        <v>79</v>
      </c>
      <c r="D38" s="7">
        <v>2</v>
      </c>
    </row>
    <row r="39" spans="1:4">
      <c r="C39" t="s">
        <v>80</v>
      </c>
      <c r="D39" s="7">
        <v>1</v>
      </c>
    </row>
    <row r="40" spans="1:4">
      <c r="B40" t="s">
        <v>89</v>
      </c>
      <c r="D40" s="7">
        <v>3</v>
      </c>
    </row>
    <row r="41" spans="1:4">
      <c r="B41" t="s">
        <v>25</v>
      </c>
      <c r="C41" t="s">
        <v>79</v>
      </c>
      <c r="D41" s="7">
        <v>2</v>
      </c>
    </row>
    <row r="42" spans="1:4">
      <c r="B42" t="s">
        <v>87</v>
      </c>
      <c r="D42" s="7">
        <v>2</v>
      </c>
    </row>
    <row r="43" spans="1:4">
      <c r="B43" t="s">
        <v>19</v>
      </c>
      <c r="C43" t="s">
        <v>79</v>
      </c>
      <c r="D43" s="7">
        <v>1</v>
      </c>
    </row>
    <row r="44" spans="1:4">
      <c r="C44" t="s">
        <v>80</v>
      </c>
      <c r="D44" s="7">
        <v>1</v>
      </c>
    </row>
    <row r="45" spans="1:4">
      <c r="B45" t="s">
        <v>85</v>
      </c>
      <c r="D45" s="7">
        <v>2</v>
      </c>
    </row>
    <row r="46" spans="1:4">
      <c r="A46" t="s">
        <v>42</v>
      </c>
      <c r="D46" s="7">
        <v>24</v>
      </c>
    </row>
    <row r="47" spans="1:4">
      <c r="A47" t="s">
        <v>43</v>
      </c>
      <c r="D47" s="7">
        <v>56</v>
      </c>
    </row>
    <row r="50" spans="1:4">
      <c r="A50" s="6" t="s">
        <v>45</v>
      </c>
      <c r="B50" t="s">
        <v>22</v>
      </c>
    </row>
    <row r="52" spans="1:4">
      <c r="A52" s="6" t="s">
        <v>27</v>
      </c>
      <c r="B52" s="6" t="s">
        <v>31</v>
      </c>
      <c r="C52" s="6" t="s">
        <v>90</v>
      </c>
      <c r="D52" t="s">
        <v>78</v>
      </c>
    </row>
    <row r="53" spans="1:4">
      <c r="A53">
        <v>2023</v>
      </c>
      <c r="B53" t="s">
        <v>15</v>
      </c>
      <c r="C53" t="s">
        <v>16</v>
      </c>
      <c r="D53" s="7">
        <v>5</v>
      </c>
    </row>
    <row r="54" spans="1:4">
      <c r="C54" t="s">
        <v>24</v>
      </c>
      <c r="D54" s="7">
        <v>3</v>
      </c>
    </row>
    <row r="55" spans="1:4">
      <c r="C55" t="s">
        <v>17</v>
      </c>
      <c r="D55" s="7">
        <v>2</v>
      </c>
    </row>
    <row r="56" spans="1:4">
      <c r="C56" t="s">
        <v>20</v>
      </c>
      <c r="D56" s="7">
        <v>2</v>
      </c>
    </row>
    <row r="57" spans="1:4">
      <c r="C57" t="s">
        <v>14</v>
      </c>
      <c r="D57" s="7">
        <v>1</v>
      </c>
    </row>
    <row r="58" spans="1:4">
      <c r="B58" t="s">
        <v>83</v>
      </c>
      <c r="D58" s="7">
        <v>13</v>
      </c>
    </row>
    <row r="59" spans="1:4">
      <c r="B59" t="s">
        <v>9</v>
      </c>
      <c r="C59" t="s">
        <v>16</v>
      </c>
      <c r="D59" s="7">
        <v>3</v>
      </c>
    </row>
    <row r="60" spans="1:4">
      <c r="C60" t="s">
        <v>24</v>
      </c>
      <c r="D60" s="7">
        <v>2</v>
      </c>
    </row>
    <row r="61" spans="1:4">
      <c r="C61" t="s">
        <v>20</v>
      </c>
      <c r="D61" s="7">
        <v>2</v>
      </c>
    </row>
    <row r="62" spans="1:4">
      <c r="C62" t="s">
        <v>17</v>
      </c>
      <c r="D62" s="7">
        <v>1</v>
      </c>
    </row>
    <row r="63" spans="1:4">
      <c r="B63" t="s">
        <v>84</v>
      </c>
      <c r="D63" s="7">
        <v>8</v>
      </c>
    </row>
    <row r="64" spans="1:4">
      <c r="B64" t="s">
        <v>19</v>
      </c>
      <c r="C64" t="s">
        <v>16</v>
      </c>
      <c r="D64" s="7">
        <v>2</v>
      </c>
    </row>
    <row r="65" spans="1:4">
      <c r="C65" t="s">
        <v>20</v>
      </c>
      <c r="D65" s="7">
        <v>2</v>
      </c>
    </row>
    <row r="66" spans="1:4">
      <c r="C66" t="s">
        <v>24</v>
      </c>
      <c r="D66" s="7">
        <v>1</v>
      </c>
    </row>
    <row r="67" spans="1:4">
      <c r="B67" t="s">
        <v>85</v>
      </c>
      <c r="D67" s="7">
        <v>5</v>
      </c>
    </row>
    <row r="68" spans="1:4">
      <c r="B68" t="s">
        <v>21</v>
      </c>
      <c r="C68" t="s">
        <v>10</v>
      </c>
      <c r="D68" s="7">
        <v>1</v>
      </c>
    </row>
    <row r="69" spans="1:4">
      <c r="C69" t="s">
        <v>24</v>
      </c>
      <c r="D69" s="7">
        <v>1</v>
      </c>
    </row>
    <row r="70" spans="1:4">
      <c r="B70" t="s">
        <v>86</v>
      </c>
      <c r="D70" s="7">
        <v>2</v>
      </c>
    </row>
    <row r="71" spans="1:4">
      <c r="B71" t="s">
        <v>25</v>
      </c>
      <c r="C71" t="s">
        <v>20</v>
      </c>
      <c r="D71" s="7">
        <v>1</v>
      </c>
    </row>
    <row r="72" spans="1:4">
      <c r="C72" t="s">
        <v>14</v>
      </c>
      <c r="D72" s="7">
        <v>1</v>
      </c>
    </row>
    <row r="73" spans="1:4">
      <c r="B73" t="s">
        <v>87</v>
      </c>
      <c r="D73" s="7">
        <v>2</v>
      </c>
    </row>
    <row r="74" spans="1:4">
      <c r="B74" t="s">
        <v>13</v>
      </c>
      <c r="C74" t="s">
        <v>14</v>
      </c>
      <c r="D74" s="7">
        <v>1</v>
      </c>
    </row>
    <row r="75" spans="1:4">
      <c r="B75" t="s">
        <v>88</v>
      </c>
      <c r="D75" s="7">
        <v>1</v>
      </c>
    </row>
    <row r="76" spans="1:4">
      <c r="B76" t="s">
        <v>23</v>
      </c>
      <c r="C76" t="s">
        <v>16</v>
      </c>
      <c r="D76" s="7">
        <v>1</v>
      </c>
    </row>
    <row r="77" spans="1:4">
      <c r="B77" t="s">
        <v>89</v>
      </c>
      <c r="D77" s="7">
        <v>1</v>
      </c>
    </row>
    <row r="78" spans="1:4">
      <c r="A78" t="s">
        <v>41</v>
      </c>
      <c r="D78" s="7">
        <v>32</v>
      </c>
    </row>
    <row r="79" spans="1:4">
      <c r="A79">
        <v>2024</v>
      </c>
      <c r="B79" t="s">
        <v>15</v>
      </c>
      <c r="C79" t="s">
        <v>14</v>
      </c>
      <c r="D79" s="7">
        <v>3</v>
      </c>
    </row>
    <row r="80" spans="1:4">
      <c r="C80" t="s">
        <v>24</v>
      </c>
      <c r="D80" s="7">
        <v>3</v>
      </c>
    </row>
    <row r="81" spans="2:4">
      <c r="C81" t="s">
        <v>16</v>
      </c>
      <c r="D81" s="7">
        <v>2</v>
      </c>
    </row>
    <row r="82" spans="2:4">
      <c r="C82" t="s">
        <v>17</v>
      </c>
      <c r="D82" s="7">
        <v>2</v>
      </c>
    </row>
    <row r="83" spans="2:4">
      <c r="B83" t="s">
        <v>83</v>
      </c>
      <c r="D83" s="7">
        <v>10</v>
      </c>
    </row>
    <row r="84" spans="2:4">
      <c r="B84" t="s">
        <v>9</v>
      </c>
      <c r="C84" t="s">
        <v>10</v>
      </c>
      <c r="D84" s="7">
        <v>3</v>
      </c>
    </row>
    <row r="85" spans="2:4">
      <c r="C85" t="s">
        <v>20</v>
      </c>
      <c r="D85" s="7">
        <v>2</v>
      </c>
    </row>
    <row r="86" spans="2:4">
      <c r="C86" t="s">
        <v>17</v>
      </c>
      <c r="D86" s="7">
        <v>1</v>
      </c>
    </row>
    <row r="87" spans="2:4">
      <c r="C87" t="s">
        <v>14</v>
      </c>
      <c r="D87" s="7">
        <v>1</v>
      </c>
    </row>
    <row r="88" spans="2:4">
      <c r="B88" t="s">
        <v>84</v>
      </c>
      <c r="D88" s="7">
        <v>7</v>
      </c>
    </row>
    <row r="89" spans="2:4">
      <c r="B89" t="s">
        <v>23</v>
      </c>
      <c r="C89" t="s">
        <v>14</v>
      </c>
      <c r="D89" s="7">
        <v>1</v>
      </c>
    </row>
    <row r="90" spans="2:4">
      <c r="C90" t="s">
        <v>17</v>
      </c>
      <c r="D90" s="7">
        <v>1</v>
      </c>
    </row>
    <row r="91" spans="2:4">
      <c r="C91" t="s">
        <v>24</v>
      </c>
      <c r="D91" s="7">
        <v>1</v>
      </c>
    </row>
    <row r="92" spans="2:4">
      <c r="B92" t="s">
        <v>89</v>
      </c>
      <c r="D92" s="7">
        <v>3</v>
      </c>
    </row>
    <row r="93" spans="2:4">
      <c r="B93" t="s">
        <v>25</v>
      </c>
      <c r="C93" t="s">
        <v>17</v>
      </c>
      <c r="D93" s="7">
        <v>1</v>
      </c>
    </row>
    <row r="94" spans="2:4">
      <c r="C94" t="s">
        <v>24</v>
      </c>
      <c r="D94" s="7">
        <v>1</v>
      </c>
    </row>
    <row r="95" spans="2:4">
      <c r="B95" t="s">
        <v>87</v>
      </c>
      <c r="D95" s="7">
        <v>2</v>
      </c>
    </row>
    <row r="96" spans="2:4">
      <c r="B96" t="s">
        <v>19</v>
      </c>
      <c r="C96" t="s">
        <v>16</v>
      </c>
      <c r="D96" s="7">
        <v>1</v>
      </c>
    </row>
    <row r="97" spans="1:4">
      <c r="C97" t="s">
        <v>14</v>
      </c>
      <c r="D97" s="7">
        <v>1</v>
      </c>
    </row>
    <row r="98" spans="1:4">
      <c r="B98" t="s">
        <v>85</v>
      </c>
      <c r="D98" s="7">
        <v>2</v>
      </c>
    </row>
    <row r="99" spans="1:4">
      <c r="A99" t="s">
        <v>42</v>
      </c>
      <c r="D99" s="7">
        <v>24</v>
      </c>
    </row>
    <row r="100" spans="1:4">
      <c r="A100" t="s">
        <v>43</v>
      </c>
      <c r="D100" s="7">
        <v>56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C4B76-F20C-4607-B680-085B22A4CAFE}">
  <dimension ref="A3:F198"/>
  <sheetViews>
    <sheetView tabSelected="1" topLeftCell="E84" workbookViewId="0">
      <selection activeCell="P86" sqref="P86"/>
    </sheetView>
  </sheetViews>
  <sheetFormatPr defaultRowHeight="15"/>
  <cols>
    <col min="1" max="1" width="18.85546875" bestFit="1" customWidth="1"/>
    <col min="2" max="2" width="12.42578125" bestFit="1" customWidth="1"/>
    <col min="3" max="3" width="19" bestFit="1" customWidth="1"/>
    <col min="4" max="4" width="17" bestFit="1" customWidth="1"/>
    <col min="5" max="5" width="20.5703125" bestFit="1" customWidth="1"/>
  </cols>
  <sheetData>
    <row r="3" spans="1:4">
      <c r="A3" s="6" t="s">
        <v>27</v>
      </c>
      <c r="B3" s="6" t="s">
        <v>31</v>
      </c>
      <c r="C3" s="6" t="s">
        <v>32</v>
      </c>
      <c r="D3" t="s">
        <v>33</v>
      </c>
    </row>
    <row r="4" spans="1:4">
      <c r="A4">
        <v>2023</v>
      </c>
      <c r="B4" t="s">
        <v>15</v>
      </c>
      <c r="C4" t="s">
        <v>80</v>
      </c>
      <c r="D4" s="7">
        <v>225</v>
      </c>
    </row>
    <row r="5" spans="1:4">
      <c r="C5" t="s">
        <v>79</v>
      </c>
      <c r="D5" s="7">
        <v>212</v>
      </c>
    </row>
    <row r="6" spans="1:4">
      <c r="C6" t="s">
        <v>82</v>
      </c>
      <c r="D6" s="7">
        <v>164</v>
      </c>
    </row>
    <row r="7" spans="1:4">
      <c r="C7" t="s">
        <v>81</v>
      </c>
      <c r="D7" s="7">
        <v>113</v>
      </c>
    </row>
    <row r="8" spans="1:4">
      <c r="B8" t="s">
        <v>83</v>
      </c>
      <c r="D8" s="7">
        <v>714</v>
      </c>
    </row>
    <row r="9" spans="1:4">
      <c r="B9" t="s">
        <v>9</v>
      </c>
      <c r="C9" t="s">
        <v>79</v>
      </c>
      <c r="D9" s="7">
        <v>186</v>
      </c>
    </row>
    <row r="10" spans="1:4">
      <c r="C10" t="s">
        <v>80</v>
      </c>
      <c r="D10" s="7">
        <v>181</v>
      </c>
    </row>
    <row r="11" spans="1:4">
      <c r="C11" t="s">
        <v>81</v>
      </c>
      <c r="D11" s="7">
        <v>150</v>
      </c>
    </row>
    <row r="12" spans="1:4">
      <c r="C12" t="s">
        <v>82</v>
      </c>
      <c r="D12" s="7">
        <v>107</v>
      </c>
    </row>
    <row r="13" spans="1:4">
      <c r="B13" t="s">
        <v>84</v>
      </c>
      <c r="D13" s="7">
        <v>624</v>
      </c>
    </row>
    <row r="14" spans="1:4">
      <c r="B14" t="s">
        <v>23</v>
      </c>
      <c r="C14" t="s">
        <v>81</v>
      </c>
      <c r="D14" s="7">
        <v>127</v>
      </c>
    </row>
    <row r="15" spans="1:4">
      <c r="C15" t="s">
        <v>80</v>
      </c>
      <c r="D15" s="7">
        <v>87</v>
      </c>
    </row>
    <row r="16" spans="1:4">
      <c r="C16" t="s">
        <v>82</v>
      </c>
      <c r="D16" s="7">
        <v>67</v>
      </c>
    </row>
    <row r="17" spans="2:6">
      <c r="C17" t="s">
        <v>79</v>
      </c>
      <c r="D17" s="7">
        <v>43</v>
      </c>
    </row>
    <row r="18" spans="2:6">
      <c r="B18" t="s">
        <v>89</v>
      </c>
      <c r="D18" s="7">
        <v>324</v>
      </c>
    </row>
    <row r="19" spans="2:6">
      <c r="B19" t="s">
        <v>19</v>
      </c>
      <c r="C19" t="s">
        <v>80</v>
      </c>
      <c r="D19" s="7">
        <v>103</v>
      </c>
    </row>
    <row r="20" spans="2:6">
      <c r="C20" t="s">
        <v>79</v>
      </c>
      <c r="D20" s="7">
        <v>80</v>
      </c>
    </row>
    <row r="21" spans="2:6">
      <c r="C21" t="s">
        <v>81</v>
      </c>
      <c r="D21" s="7">
        <v>75</v>
      </c>
    </row>
    <row r="22" spans="2:6">
      <c r="C22" t="s">
        <v>82</v>
      </c>
      <c r="D22" s="7">
        <v>25</v>
      </c>
    </row>
    <row r="23" spans="2:6">
      <c r="B23" t="s">
        <v>85</v>
      </c>
      <c r="D23" s="7">
        <v>283</v>
      </c>
    </row>
    <row r="24" spans="2:6">
      <c r="B24" t="s">
        <v>25</v>
      </c>
      <c r="C24" t="s">
        <v>80</v>
      </c>
      <c r="D24" s="7">
        <v>76</v>
      </c>
    </row>
    <row r="25" spans="2:6">
      <c r="C25" t="s">
        <v>81</v>
      </c>
      <c r="D25" s="7">
        <v>64</v>
      </c>
    </row>
    <row r="26" spans="2:6">
      <c r="C26" t="s">
        <v>79</v>
      </c>
      <c r="D26" s="7">
        <v>62</v>
      </c>
    </row>
    <row r="27" spans="2:6">
      <c r="C27" t="s">
        <v>82</v>
      </c>
      <c r="D27" s="7">
        <v>10</v>
      </c>
    </row>
    <row r="28" spans="2:6">
      <c r="B28" t="s">
        <v>87</v>
      </c>
      <c r="D28" s="7">
        <v>212</v>
      </c>
    </row>
    <row r="29" spans="2:6">
      <c r="B29" t="s">
        <v>21</v>
      </c>
      <c r="C29" t="s">
        <v>80</v>
      </c>
      <c r="D29" s="7">
        <v>63</v>
      </c>
    </row>
    <row r="30" spans="2:6">
      <c r="C30" t="s">
        <v>79</v>
      </c>
      <c r="D30" s="7">
        <v>44</v>
      </c>
      <c r="F30" s="9"/>
    </row>
    <row r="31" spans="2:6">
      <c r="C31" t="s">
        <v>82</v>
      </c>
      <c r="D31" s="7">
        <v>43</v>
      </c>
    </row>
    <row r="32" spans="2:6">
      <c r="C32" t="s">
        <v>81</v>
      </c>
      <c r="D32" s="7">
        <v>15</v>
      </c>
    </row>
    <row r="33" spans="1:4">
      <c r="B33" t="s">
        <v>86</v>
      </c>
      <c r="D33" s="7">
        <v>165</v>
      </c>
    </row>
    <row r="34" spans="1:4">
      <c r="B34" t="s">
        <v>26</v>
      </c>
      <c r="C34" t="s">
        <v>80</v>
      </c>
      <c r="D34" s="7">
        <v>41</v>
      </c>
    </row>
    <row r="35" spans="1:4">
      <c r="C35" t="s">
        <v>81</v>
      </c>
      <c r="D35" s="7">
        <v>22</v>
      </c>
    </row>
    <row r="36" spans="1:4">
      <c r="C36" t="s">
        <v>82</v>
      </c>
      <c r="D36" s="7">
        <v>20</v>
      </c>
    </row>
    <row r="37" spans="1:4">
      <c r="C37" t="s">
        <v>79</v>
      </c>
      <c r="D37" s="7">
        <v>11</v>
      </c>
    </row>
    <row r="38" spans="1:4">
      <c r="B38" t="s">
        <v>91</v>
      </c>
      <c r="D38" s="7">
        <v>94</v>
      </c>
    </row>
    <row r="39" spans="1:4">
      <c r="B39" t="s">
        <v>13</v>
      </c>
      <c r="C39" t="s">
        <v>79</v>
      </c>
      <c r="D39" s="7">
        <v>45</v>
      </c>
    </row>
    <row r="40" spans="1:4">
      <c r="C40" t="s">
        <v>80</v>
      </c>
      <c r="D40" s="7">
        <v>27</v>
      </c>
    </row>
    <row r="41" spans="1:4">
      <c r="C41" t="s">
        <v>81</v>
      </c>
      <c r="D41" s="7">
        <v>10</v>
      </c>
    </row>
    <row r="42" spans="1:4">
      <c r="C42" t="s">
        <v>82</v>
      </c>
      <c r="D42" s="7">
        <v>1</v>
      </c>
    </row>
    <row r="43" spans="1:4">
      <c r="B43" t="s">
        <v>88</v>
      </c>
      <c r="D43" s="7">
        <v>83</v>
      </c>
    </row>
    <row r="44" spans="1:4">
      <c r="A44" t="s">
        <v>41</v>
      </c>
      <c r="D44" s="7">
        <v>2499</v>
      </c>
    </row>
    <row r="45" spans="1:4">
      <c r="A45">
        <v>2024</v>
      </c>
      <c r="B45" t="s">
        <v>15</v>
      </c>
      <c r="C45" t="s">
        <v>79</v>
      </c>
      <c r="D45" s="7">
        <v>355</v>
      </c>
    </row>
    <row r="46" spans="1:4">
      <c r="C46" t="s">
        <v>82</v>
      </c>
      <c r="D46" s="7">
        <v>213</v>
      </c>
    </row>
    <row r="47" spans="1:4">
      <c r="C47" t="s">
        <v>80</v>
      </c>
      <c r="D47" s="7">
        <v>203</v>
      </c>
    </row>
    <row r="48" spans="1:4">
      <c r="C48" t="s">
        <v>81</v>
      </c>
      <c r="D48" s="7">
        <v>176</v>
      </c>
    </row>
    <row r="49" spans="2:4">
      <c r="B49" t="s">
        <v>83</v>
      </c>
      <c r="D49" s="7">
        <v>947</v>
      </c>
    </row>
    <row r="50" spans="2:4">
      <c r="B50" t="s">
        <v>9</v>
      </c>
      <c r="C50" t="s">
        <v>81</v>
      </c>
      <c r="D50" s="7">
        <v>148</v>
      </c>
    </row>
    <row r="51" spans="2:4">
      <c r="C51" t="s">
        <v>79</v>
      </c>
      <c r="D51" s="7">
        <v>148</v>
      </c>
    </row>
    <row r="52" spans="2:4">
      <c r="C52" t="s">
        <v>82</v>
      </c>
      <c r="D52" s="7">
        <v>141</v>
      </c>
    </row>
    <row r="53" spans="2:4">
      <c r="C53" t="s">
        <v>80</v>
      </c>
      <c r="D53" s="7">
        <v>101</v>
      </c>
    </row>
    <row r="54" spans="2:4">
      <c r="B54" t="s">
        <v>84</v>
      </c>
      <c r="D54" s="7">
        <v>538</v>
      </c>
    </row>
    <row r="55" spans="2:4">
      <c r="B55" t="s">
        <v>19</v>
      </c>
      <c r="C55" t="s">
        <v>81</v>
      </c>
      <c r="D55" s="7">
        <v>136</v>
      </c>
    </row>
    <row r="56" spans="2:4">
      <c r="C56" t="s">
        <v>80</v>
      </c>
      <c r="D56" s="7">
        <v>101</v>
      </c>
    </row>
    <row r="57" spans="2:4">
      <c r="C57" t="s">
        <v>79</v>
      </c>
      <c r="D57" s="7">
        <v>94</v>
      </c>
    </row>
    <row r="58" spans="2:4">
      <c r="C58" t="s">
        <v>82</v>
      </c>
      <c r="D58" s="7">
        <v>43</v>
      </c>
    </row>
    <row r="59" spans="2:4">
      <c r="B59" t="s">
        <v>85</v>
      </c>
      <c r="D59" s="7">
        <v>374</v>
      </c>
    </row>
    <row r="60" spans="2:4">
      <c r="B60" t="s">
        <v>23</v>
      </c>
      <c r="C60" t="s">
        <v>79</v>
      </c>
      <c r="D60" s="7">
        <v>119</v>
      </c>
    </row>
    <row r="61" spans="2:4">
      <c r="C61" t="s">
        <v>81</v>
      </c>
      <c r="D61" s="7">
        <v>102</v>
      </c>
    </row>
    <row r="62" spans="2:4">
      <c r="C62" t="s">
        <v>80</v>
      </c>
      <c r="D62" s="7">
        <v>90</v>
      </c>
    </row>
    <row r="63" spans="2:4">
      <c r="C63" t="s">
        <v>82</v>
      </c>
      <c r="D63" s="7">
        <v>3</v>
      </c>
    </row>
    <row r="64" spans="2:4">
      <c r="B64" t="s">
        <v>89</v>
      </c>
      <c r="D64" s="7">
        <v>314</v>
      </c>
    </row>
    <row r="65" spans="2:4">
      <c r="B65" t="s">
        <v>25</v>
      </c>
      <c r="C65" t="s">
        <v>79</v>
      </c>
      <c r="D65" s="7">
        <v>175</v>
      </c>
    </row>
    <row r="66" spans="2:4">
      <c r="C66" t="s">
        <v>80</v>
      </c>
      <c r="D66" s="7">
        <v>36</v>
      </c>
    </row>
    <row r="67" spans="2:4">
      <c r="C67" t="s">
        <v>82</v>
      </c>
      <c r="D67" s="7">
        <v>34</v>
      </c>
    </row>
    <row r="68" spans="2:4">
      <c r="C68" t="s">
        <v>81</v>
      </c>
      <c r="D68" s="7">
        <v>31</v>
      </c>
    </row>
    <row r="69" spans="2:4">
      <c r="B69" t="s">
        <v>87</v>
      </c>
      <c r="D69" s="7">
        <v>276</v>
      </c>
    </row>
    <row r="70" spans="2:4">
      <c r="B70" t="s">
        <v>21</v>
      </c>
      <c r="C70" t="s">
        <v>81</v>
      </c>
      <c r="D70" s="7">
        <v>38</v>
      </c>
    </row>
    <row r="71" spans="2:4">
      <c r="C71" t="s">
        <v>82</v>
      </c>
      <c r="D71" s="7">
        <v>35</v>
      </c>
    </row>
    <row r="72" spans="2:4">
      <c r="C72" t="s">
        <v>79</v>
      </c>
      <c r="D72" s="7">
        <v>28</v>
      </c>
    </row>
    <row r="73" spans="2:4">
      <c r="C73" t="s">
        <v>80</v>
      </c>
      <c r="D73" s="7">
        <v>20</v>
      </c>
    </row>
    <row r="74" spans="2:4">
      <c r="B74" t="s">
        <v>86</v>
      </c>
      <c r="D74" s="7">
        <v>121</v>
      </c>
    </row>
    <row r="75" spans="2:4">
      <c r="B75" t="s">
        <v>13</v>
      </c>
      <c r="C75" t="s">
        <v>81</v>
      </c>
      <c r="D75" s="7">
        <v>57</v>
      </c>
    </row>
    <row r="76" spans="2:4">
      <c r="C76" t="s">
        <v>79</v>
      </c>
      <c r="D76" s="7">
        <v>36</v>
      </c>
    </row>
    <row r="77" spans="2:4">
      <c r="C77" t="s">
        <v>80</v>
      </c>
      <c r="D77" s="7">
        <v>28</v>
      </c>
    </row>
    <row r="78" spans="2:4">
      <c r="B78" t="s">
        <v>88</v>
      </c>
      <c r="D78" s="7">
        <v>121</v>
      </c>
    </row>
    <row r="79" spans="2:4">
      <c r="B79" t="s">
        <v>26</v>
      </c>
      <c r="C79" t="s">
        <v>79</v>
      </c>
      <c r="D79" s="7">
        <v>22</v>
      </c>
    </row>
    <row r="80" spans="2:4">
      <c r="C80" t="s">
        <v>80</v>
      </c>
      <c r="D80" s="7">
        <v>20</v>
      </c>
    </row>
    <row r="81" spans="1:4">
      <c r="C81" t="s">
        <v>82</v>
      </c>
      <c r="D81" s="7">
        <v>13</v>
      </c>
    </row>
    <row r="82" spans="1:4">
      <c r="C82" t="s">
        <v>81</v>
      </c>
      <c r="D82" s="7">
        <v>5</v>
      </c>
    </row>
    <row r="83" spans="1:4">
      <c r="B83" t="s">
        <v>91</v>
      </c>
      <c r="D83" s="7">
        <v>60</v>
      </c>
    </row>
    <row r="84" spans="1:4">
      <c r="A84" t="s">
        <v>42</v>
      </c>
      <c r="D84" s="7">
        <v>2751</v>
      </c>
    </row>
    <row r="85" spans="1:4">
      <c r="A85" t="s">
        <v>43</v>
      </c>
      <c r="D85" s="7">
        <v>5250</v>
      </c>
    </row>
    <row r="88" spans="1:4">
      <c r="A88" s="6" t="s">
        <v>27</v>
      </c>
      <c r="B88" s="6" t="s">
        <v>31</v>
      </c>
      <c r="C88" s="6" t="s">
        <v>90</v>
      </c>
      <c r="D88" t="s">
        <v>33</v>
      </c>
    </row>
    <row r="89" spans="1:4">
      <c r="A89">
        <v>2023</v>
      </c>
      <c r="B89" t="s">
        <v>15</v>
      </c>
      <c r="C89" t="s">
        <v>17</v>
      </c>
      <c r="D89" s="7">
        <v>189</v>
      </c>
    </row>
    <row r="90" spans="1:4">
      <c r="C90" t="s">
        <v>16</v>
      </c>
      <c r="D90" s="7">
        <v>139</v>
      </c>
    </row>
    <row r="91" spans="1:4">
      <c r="C91" t="s">
        <v>24</v>
      </c>
      <c r="D91" s="7">
        <v>125</v>
      </c>
    </row>
    <row r="92" spans="1:4">
      <c r="C92" t="s">
        <v>10</v>
      </c>
      <c r="D92" s="7">
        <v>110</v>
      </c>
    </row>
    <row r="93" spans="1:4">
      <c r="C93" t="s">
        <v>20</v>
      </c>
      <c r="D93" s="7">
        <v>89</v>
      </c>
    </row>
    <row r="94" spans="1:4">
      <c r="C94" t="s">
        <v>14</v>
      </c>
      <c r="D94" s="7">
        <v>62</v>
      </c>
    </row>
    <row r="95" spans="1:4">
      <c r="B95" t="s">
        <v>83</v>
      </c>
      <c r="D95" s="7">
        <v>714</v>
      </c>
    </row>
    <row r="96" spans="1:4">
      <c r="B96" t="s">
        <v>9</v>
      </c>
      <c r="C96" t="s">
        <v>24</v>
      </c>
      <c r="D96" s="7">
        <v>179</v>
      </c>
    </row>
    <row r="97" spans="2:4">
      <c r="C97" t="s">
        <v>20</v>
      </c>
      <c r="D97" s="7">
        <v>139</v>
      </c>
    </row>
    <row r="98" spans="2:4">
      <c r="C98" t="s">
        <v>16</v>
      </c>
      <c r="D98" s="7">
        <v>110</v>
      </c>
    </row>
    <row r="99" spans="2:4">
      <c r="C99" t="s">
        <v>10</v>
      </c>
      <c r="D99" s="7">
        <v>87</v>
      </c>
    </row>
    <row r="100" spans="2:4">
      <c r="C100" t="s">
        <v>17</v>
      </c>
      <c r="D100" s="7">
        <v>74</v>
      </c>
    </row>
    <row r="101" spans="2:4">
      <c r="C101" t="s">
        <v>14</v>
      </c>
      <c r="D101" s="7">
        <v>35</v>
      </c>
    </row>
    <row r="102" spans="2:4">
      <c r="B102" t="s">
        <v>84</v>
      </c>
      <c r="D102" s="7">
        <v>624</v>
      </c>
    </row>
    <row r="103" spans="2:4">
      <c r="B103" t="s">
        <v>23</v>
      </c>
      <c r="C103" t="s">
        <v>17</v>
      </c>
      <c r="D103" s="7">
        <v>83</v>
      </c>
    </row>
    <row r="104" spans="2:4">
      <c r="C104" t="s">
        <v>20</v>
      </c>
      <c r="D104" s="7">
        <v>62</v>
      </c>
    </row>
    <row r="105" spans="2:4">
      <c r="C105" t="s">
        <v>16</v>
      </c>
      <c r="D105" s="7">
        <v>55</v>
      </c>
    </row>
    <row r="106" spans="2:4">
      <c r="C106" t="s">
        <v>24</v>
      </c>
      <c r="D106" s="7">
        <v>51</v>
      </c>
    </row>
    <row r="107" spans="2:4">
      <c r="C107" t="s">
        <v>14</v>
      </c>
      <c r="D107" s="7">
        <v>43</v>
      </c>
    </row>
    <row r="108" spans="2:4">
      <c r="C108" t="s">
        <v>10</v>
      </c>
      <c r="D108" s="7">
        <v>30</v>
      </c>
    </row>
    <row r="109" spans="2:4">
      <c r="B109" t="s">
        <v>89</v>
      </c>
      <c r="D109" s="7">
        <v>324</v>
      </c>
    </row>
    <row r="110" spans="2:4">
      <c r="B110" t="s">
        <v>19</v>
      </c>
      <c r="C110" t="s">
        <v>20</v>
      </c>
      <c r="D110" s="7">
        <v>137</v>
      </c>
    </row>
    <row r="111" spans="2:4">
      <c r="C111" t="s">
        <v>14</v>
      </c>
      <c r="D111" s="7">
        <v>39</v>
      </c>
    </row>
    <row r="112" spans="2:4">
      <c r="C112" t="s">
        <v>24</v>
      </c>
      <c r="D112" s="7">
        <v>30</v>
      </c>
    </row>
    <row r="113" spans="2:4">
      <c r="C113" t="s">
        <v>17</v>
      </c>
      <c r="D113" s="7">
        <v>29</v>
      </c>
    </row>
    <row r="114" spans="2:4">
      <c r="C114" t="s">
        <v>10</v>
      </c>
      <c r="D114" s="7">
        <v>26</v>
      </c>
    </row>
    <row r="115" spans="2:4">
      <c r="C115" t="s">
        <v>16</v>
      </c>
      <c r="D115" s="7">
        <v>22</v>
      </c>
    </row>
    <row r="116" spans="2:4">
      <c r="B116" t="s">
        <v>85</v>
      </c>
      <c r="D116" s="7">
        <v>283</v>
      </c>
    </row>
    <row r="117" spans="2:4">
      <c r="B117" t="s">
        <v>25</v>
      </c>
      <c r="C117" t="s">
        <v>10</v>
      </c>
      <c r="D117" s="7">
        <v>53</v>
      </c>
    </row>
    <row r="118" spans="2:4">
      <c r="C118" t="s">
        <v>17</v>
      </c>
      <c r="D118" s="7">
        <v>50</v>
      </c>
    </row>
    <row r="119" spans="2:4">
      <c r="C119" t="s">
        <v>14</v>
      </c>
      <c r="D119" s="7">
        <v>44</v>
      </c>
    </row>
    <row r="120" spans="2:4">
      <c r="C120" t="s">
        <v>20</v>
      </c>
      <c r="D120" s="7">
        <v>38</v>
      </c>
    </row>
    <row r="121" spans="2:4">
      <c r="C121" t="s">
        <v>16</v>
      </c>
      <c r="D121" s="7">
        <v>17</v>
      </c>
    </row>
    <row r="122" spans="2:4">
      <c r="C122" t="s">
        <v>24</v>
      </c>
      <c r="D122" s="7">
        <v>10</v>
      </c>
    </row>
    <row r="123" spans="2:4">
      <c r="B123" t="s">
        <v>87</v>
      </c>
      <c r="D123" s="7">
        <v>212</v>
      </c>
    </row>
    <row r="124" spans="2:4">
      <c r="B124" t="s">
        <v>21</v>
      </c>
      <c r="C124" t="s">
        <v>10</v>
      </c>
      <c r="D124" s="7">
        <v>43</v>
      </c>
    </row>
    <row r="125" spans="2:4">
      <c r="C125" t="s">
        <v>24</v>
      </c>
      <c r="D125" s="7">
        <v>38</v>
      </c>
    </row>
    <row r="126" spans="2:4">
      <c r="C126" t="s">
        <v>17</v>
      </c>
      <c r="D126" s="7">
        <v>37</v>
      </c>
    </row>
    <row r="127" spans="2:4">
      <c r="C127" t="s">
        <v>14</v>
      </c>
      <c r="D127" s="7">
        <v>29</v>
      </c>
    </row>
    <row r="128" spans="2:4">
      <c r="C128" t="s">
        <v>20</v>
      </c>
      <c r="D128" s="7">
        <v>17</v>
      </c>
    </row>
    <row r="129" spans="1:4">
      <c r="C129" t="s">
        <v>16</v>
      </c>
      <c r="D129" s="7">
        <v>1</v>
      </c>
    </row>
    <row r="130" spans="1:4">
      <c r="B130" t="s">
        <v>86</v>
      </c>
      <c r="D130" s="7">
        <v>165</v>
      </c>
    </row>
    <row r="131" spans="1:4">
      <c r="B131" t="s">
        <v>26</v>
      </c>
      <c r="C131" t="s">
        <v>20</v>
      </c>
      <c r="D131" s="7">
        <v>57</v>
      </c>
    </row>
    <row r="132" spans="1:4">
      <c r="C132" t="s">
        <v>17</v>
      </c>
      <c r="D132" s="7">
        <v>15</v>
      </c>
    </row>
    <row r="133" spans="1:4">
      <c r="C133" t="s">
        <v>14</v>
      </c>
      <c r="D133" s="7">
        <v>8</v>
      </c>
    </row>
    <row r="134" spans="1:4">
      <c r="C134" t="s">
        <v>24</v>
      </c>
      <c r="D134" s="7">
        <v>7</v>
      </c>
    </row>
    <row r="135" spans="1:4">
      <c r="C135" t="s">
        <v>10</v>
      </c>
      <c r="D135" s="7">
        <v>7</v>
      </c>
    </row>
    <row r="136" spans="1:4">
      <c r="B136" t="s">
        <v>91</v>
      </c>
      <c r="D136" s="7">
        <v>94</v>
      </c>
    </row>
    <row r="137" spans="1:4">
      <c r="B137" t="s">
        <v>13</v>
      </c>
      <c r="C137" t="s">
        <v>20</v>
      </c>
      <c r="D137" s="7">
        <v>34</v>
      </c>
    </row>
    <row r="138" spans="1:4">
      <c r="C138" t="s">
        <v>16</v>
      </c>
      <c r="D138" s="7">
        <v>24</v>
      </c>
    </row>
    <row r="139" spans="1:4">
      <c r="C139" t="s">
        <v>17</v>
      </c>
      <c r="D139" s="7">
        <v>9</v>
      </c>
    </row>
    <row r="140" spans="1:4">
      <c r="C140" t="s">
        <v>14</v>
      </c>
      <c r="D140" s="7">
        <v>9</v>
      </c>
    </row>
    <row r="141" spans="1:4">
      <c r="C141" t="s">
        <v>10</v>
      </c>
      <c r="D141" s="7">
        <v>4</v>
      </c>
    </row>
    <row r="142" spans="1:4">
      <c r="C142" t="s">
        <v>24</v>
      </c>
      <c r="D142" s="7">
        <v>3</v>
      </c>
    </row>
    <row r="143" spans="1:4">
      <c r="B143" t="s">
        <v>88</v>
      </c>
      <c r="D143" s="7">
        <v>83</v>
      </c>
    </row>
    <row r="144" spans="1:4">
      <c r="A144" t="s">
        <v>41</v>
      </c>
      <c r="D144" s="7">
        <v>2499</v>
      </c>
    </row>
    <row r="145" spans="1:4">
      <c r="A145">
        <v>2024</v>
      </c>
      <c r="B145" t="s">
        <v>15</v>
      </c>
      <c r="C145" t="s">
        <v>24</v>
      </c>
      <c r="D145" s="7">
        <v>217</v>
      </c>
    </row>
    <row r="146" spans="1:4">
      <c r="C146" t="s">
        <v>14</v>
      </c>
      <c r="D146" s="7">
        <v>178</v>
      </c>
    </row>
    <row r="147" spans="1:4">
      <c r="C147" t="s">
        <v>10</v>
      </c>
      <c r="D147" s="7">
        <v>164</v>
      </c>
    </row>
    <row r="148" spans="1:4">
      <c r="C148" t="s">
        <v>20</v>
      </c>
      <c r="D148" s="7">
        <v>164</v>
      </c>
    </row>
    <row r="149" spans="1:4">
      <c r="C149" t="s">
        <v>16</v>
      </c>
      <c r="D149" s="7">
        <v>143</v>
      </c>
    </row>
    <row r="150" spans="1:4">
      <c r="C150" t="s">
        <v>17</v>
      </c>
      <c r="D150" s="7">
        <v>81</v>
      </c>
    </row>
    <row r="151" spans="1:4">
      <c r="B151" t="s">
        <v>83</v>
      </c>
      <c r="D151" s="7">
        <v>947</v>
      </c>
    </row>
    <row r="152" spans="1:4">
      <c r="B152" t="s">
        <v>9</v>
      </c>
      <c r="C152" t="s">
        <v>16</v>
      </c>
      <c r="D152" s="7">
        <v>127</v>
      </c>
    </row>
    <row r="153" spans="1:4">
      <c r="C153" t="s">
        <v>14</v>
      </c>
      <c r="D153" s="7">
        <v>126</v>
      </c>
    </row>
    <row r="154" spans="1:4">
      <c r="C154" t="s">
        <v>10</v>
      </c>
      <c r="D154" s="7">
        <v>84</v>
      </c>
    </row>
    <row r="155" spans="1:4">
      <c r="C155" t="s">
        <v>20</v>
      </c>
      <c r="D155" s="7">
        <v>79</v>
      </c>
    </row>
    <row r="156" spans="1:4">
      <c r="C156" t="s">
        <v>24</v>
      </c>
      <c r="D156" s="7">
        <v>67</v>
      </c>
    </row>
    <row r="157" spans="1:4">
      <c r="C157" t="s">
        <v>17</v>
      </c>
      <c r="D157" s="7">
        <v>55</v>
      </c>
    </row>
    <row r="158" spans="1:4">
      <c r="B158" t="s">
        <v>84</v>
      </c>
      <c r="D158" s="7">
        <v>538</v>
      </c>
    </row>
    <row r="159" spans="1:4">
      <c r="B159" t="s">
        <v>19</v>
      </c>
      <c r="C159" t="s">
        <v>10</v>
      </c>
      <c r="D159" s="7">
        <v>103</v>
      </c>
    </row>
    <row r="160" spans="1:4">
      <c r="C160" t="s">
        <v>16</v>
      </c>
      <c r="D160" s="7">
        <v>78</v>
      </c>
    </row>
    <row r="161" spans="2:4">
      <c r="C161" t="s">
        <v>24</v>
      </c>
      <c r="D161" s="7">
        <v>69</v>
      </c>
    </row>
    <row r="162" spans="2:4">
      <c r="C162" t="s">
        <v>17</v>
      </c>
      <c r="D162" s="7">
        <v>64</v>
      </c>
    </row>
    <row r="163" spans="2:4">
      <c r="C163" t="s">
        <v>20</v>
      </c>
      <c r="D163" s="7">
        <v>40</v>
      </c>
    </row>
    <row r="164" spans="2:4">
      <c r="C164" t="s">
        <v>14</v>
      </c>
      <c r="D164" s="7">
        <v>20</v>
      </c>
    </row>
    <row r="165" spans="2:4">
      <c r="B165" t="s">
        <v>85</v>
      </c>
      <c r="D165" s="7">
        <v>374</v>
      </c>
    </row>
    <row r="166" spans="2:4">
      <c r="B166" t="s">
        <v>23</v>
      </c>
      <c r="C166" t="s">
        <v>24</v>
      </c>
      <c r="D166" s="7">
        <v>81</v>
      </c>
    </row>
    <row r="167" spans="2:4">
      <c r="C167" t="s">
        <v>14</v>
      </c>
      <c r="D167" s="7">
        <v>61</v>
      </c>
    </row>
    <row r="168" spans="2:4">
      <c r="C168" t="s">
        <v>17</v>
      </c>
      <c r="D168" s="7">
        <v>58</v>
      </c>
    </row>
    <row r="169" spans="2:4">
      <c r="C169" t="s">
        <v>16</v>
      </c>
      <c r="D169" s="7">
        <v>54</v>
      </c>
    </row>
    <row r="170" spans="2:4">
      <c r="C170" t="s">
        <v>10</v>
      </c>
      <c r="D170" s="7">
        <v>46</v>
      </c>
    </row>
    <row r="171" spans="2:4">
      <c r="C171" t="s">
        <v>20</v>
      </c>
      <c r="D171" s="7">
        <v>14</v>
      </c>
    </row>
    <row r="172" spans="2:4">
      <c r="B172" t="s">
        <v>89</v>
      </c>
      <c r="D172" s="7">
        <v>314</v>
      </c>
    </row>
    <row r="173" spans="2:4">
      <c r="B173" t="s">
        <v>25</v>
      </c>
      <c r="C173" t="s">
        <v>17</v>
      </c>
      <c r="D173" s="7">
        <v>92</v>
      </c>
    </row>
    <row r="174" spans="2:4">
      <c r="C174" t="s">
        <v>20</v>
      </c>
      <c r="D174" s="7">
        <v>82</v>
      </c>
    </row>
    <row r="175" spans="2:4">
      <c r="C175" t="s">
        <v>10</v>
      </c>
      <c r="D175" s="7">
        <v>38</v>
      </c>
    </row>
    <row r="176" spans="2:4">
      <c r="C176" t="s">
        <v>16</v>
      </c>
      <c r="D176" s="7">
        <v>29</v>
      </c>
    </row>
    <row r="177" spans="2:4">
      <c r="C177" t="s">
        <v>24</v>
      </c>
      <c r="D177" s="7">
        <v>26</v>
      </c>
    </row>
    <row r="178" spans="2:4">
      <c r="C178" t="s">
        <v>14</v>
      </c>
      <c r="D178" s="7">
        <v>9</v>
      </c>
    </row>
    <row r="179" spans="2:4">
      <c r="B179" t="s">
        <v>87</v>
      </c>
      <c r="D179" s="7">
        <v>276</v>
      </c>
    </row>
    <row r="180" spans="2:4">
      <c r="B180" t="s">
        <v>21</v>
      </c>
      <c r="C180" t="s">
        <v>14</v>
      </c>
      <c r="D180" s="7">
        <v>51</v>
      </c>
    </row>
    <row r="181" spans="2:4">
      <c r="C181" t="s">
        <v>10</v>
      </c>
      <c r="D181" s="7">
        <v>37</v>
      </c>
    </row>
    <row r="182" spans="2:4">
      <c r="C182" t="s">
        <v>24</v>
      </c>
      <c r="D182" s="7">
        <v>20</v>
      </c>
    </row>
    <row r="183" spans="2:4">
      <c r="C183" t="s">
        <v>16</v>
      </c>
      <c r="D183" s="7">
        <v>13</v>
      </c>
    </row>
    <row r="184" spans="2:4">
      <c r="B184" t="s">
        <v>86</v>
      </c>
      <c r="D184" s="7">
        <v>121</v>
      </c>
    </row>
    <row r="185" spans="2:4">
      <c r="B185" t="s">
        <v>13</v>
      </c>
      <c r="C185" t="s">
        <v>14</v>
      </c>
      <c r="D185" s="7">
        <v>29</v>
      </c>
    </row>
    <row r="186" spans="2:4">
      <c r="C186" t="s">
        <v>10</v>
      </c>
      <c r="D186" s="7">
        <v>26</v>
      </c>
    </row>
    <row r="187" spans="2:4">
      <c r="C187" t="s">
        <v>17</v>
      </c>
      <c r="D187" s="7">
        <v>25</v>
      </c>
    </row>
    <row r="188" spans="2:4">
      <c r="C188" t="s">
        <v>16</v>
      </c>
      <c r="D188" s="7">
        <v>20</v>
      </c>
    </row>
    <row r="189" spans="2:4">
      <c r="C189" t="s">
        <v>20</v>
      </c>
      <c r="D189" s="7">
        <v>19</v>
      </c>
    </row>
    <row r="190" spans="2:4">
      <c r="C190" t="s">
        <v>24</v>
      </c>
      <c r="D190" s="7">
        <v>2</v>
      </c>
    </row>
    <row r="191" spans="2:4">
      <c r="B191" t="s">
        <v>88</v>
      </c>
      <c r="D191" s="7">
        <v>121</v>
      </c>
    </row>
    <row r="192" spans="2:4">
      <c r="B192" t="s">
        <v>26</v>
      </c>
      <c r="C192" t="s">
        <v>16</v>
      </c>
      <c r="D192" s="7">
        <v>23</v>
      </c>
    </row>
    <row r="193" spans="1:4">
      <c r="C193" t="s">
        <v>14</v>
      </c>
      <c r="D193" s="7">
        <v>20</v>
      </c>
    </row>
    <row r="194" spans="1:4">
      <c r="C194" t="s">
        <v>24</v>
      </c>
      <c r="D194" s="7">
        <v>9</v>
      </c>
    </row>
    <row r="195" spans="1:4">
      <c r="C195" t="s">
        <v>10</v>
      </c>
      <c r="D195" s="7">
        <v>8</v>
      </c>
    </row>
    <row r="196" spans="1:4">
      <c r="B196" t="s">
        <v>91</v>
      </c>
      <c r="D196" s="7">
        <v>60</v>
      </c>
    </row>
    <row r="197" spans="1:4">
      <c r="A197" t="s">
        <v>42</v>
      </c>
      <c r="D197" s="7">
        <v>2751</v>
      </c>
    </row>
    <row r="198" spans="1:4">
      <c r="A198" t="s">
        <v>43</v>
      </c>
      <c r="D198" s="7">
        <v>5250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1"/>
  <sheetViews>
    <sheetView workbookViewId="0">
      <selection activeCell="D6" sqref="D6"/>
    </sheetView>
  </sheetViews>
  <sheetFormatPr defaultRowHeight="15"/>
  <cols>
    <col min="1" max="1" width="14.140625" bestFit="1" customWidth="1"/>
    <col min="2" max="2" width="17.28515625" bestFit="1" customWidth="1"/>
    <col min="3" max="3" width="12.42578125" bestFit="1" customWidth="1"/>
    <col min="4" max="4" width="18.28515625" bestFit="1" customWidth="1"/>
    <col min="5" max="6" width="15.7109375" customWidth="1"/>
    <col min="7" max="7" width="12.42578125" bestFit="1" customWidth="1"/>
    <col min="8" max="8" width="20.42578125" bestFit="1" customWidth="1"/>
    <col min="9" max="9" width="18.85546875" bestFit="1" customWidth="1"/>
    <col min="10" max="10" width="9.42578125" bestFit="1" customWidth="1"/>
    <col min="12" max="12" width="15.5703125" bestFit="1" customWidth="1"/>
    <col min="13" max="15" width="12.7109375" customWidth="1"/>
  </cols>
  <sheetData>
    <row r="1" spans="1:15">
      <c r="A1" s="4" t="s">
        <v>92</v>
      </c>
      <c r="B1" s="4" t="s">
        <v>93</v>
      </c>
      <c r="C1" s="4" t="s">
        <v>31</v>
      </c>
      <c r="D1" s="4" t="s">
        <v>90</v>
      </c>
      <c r="E1" s="4" t="s">
        <v>45</v>
      </c>
      <c r="F1" s="4" t="s">
        <v>94</v>
      </c>
      <c r="G1" s="4" t="s">
        <v>95</v>
      </c>
      <c r="H1" s="5" t="s">
        <v>96</v>
      </c>
      <c r="I1" s="4" t="s">
        <v>32</v>
      </c>
      <c r="J1" s="4" t="s">
        <v>97</v>
      </c>
      <c r="K1" s="4" t="s">
        <v>27</v>
      </c>
      <c r="L1" s="4" t="s">
        <v>29</v>
      </c>
      <c r="M1" s="4" t="s">
        <v>98</v>
      </c>
      <c r="N1" s="4" t="s">
        <v>30</v>
      </c>
      <c r="O1" s="4" t="s">
        <v>28</v>
      </c>
    </row>
    <row r="2" spans="1:15">
      <c r="A2">
        <v>56</v>
      </c>
      <c r="B2" t="s">
        <v>8</v>
      </c>
      <c r="C2" t="s">
        <v>9</v>
      </c>
      <c r="D2" t="s">
        <v>10</v>
      </c>
      <c r="E2" t="s">
        <v>11</v>
      </c>
      <c r="F2">
        <v>914</v>
      </c>
      <c r="G2">
        <v>4</v>
      </c>
      <c r="H2" s="3">
        <v>45249</v>
      </c>
      <c r="I2" t="s">
        <v>79</v>
      </c>
      <c r="J2">
        <v>11</v>
      </c>
      <c r="K2">
        <v>2023</v>
      </c>
      <c r="L2" t="s">
        <v>73</v>
      </c>
      <c r="M2" t="str">
        <f t="shared" ref="M2:M65" si="0">TEXT(H2,"dddd")</f>
        <v>Sunday</v>
      </c>
      <c r="N2" t="str">
        <f t="shared" ref="N2:N65" si="1">IF(WEEKDAY(H2,1)&gt;5,"Weekend","Weekday")</f>
        <v>Weekday</v>
      </c>
      <c r="O2" t="str">
        <f t="shared" ref="O2:O65" si="2">"Q"&amp;CEILING(MONTH(H2)/3,1)</f>
        <v>Q4</v>
      </c>
    </row>
    <row r="3" spans="1:15">
      <c r="A3">
        <v>19</v>
      </c>
      <c r="B3" t="s">
        <v>12</v>
      </c>
      <c r="C3" t="s">
        <v>13</v>
      </c>
      <c r="D3" t="s">
        <v>14</v>
      </c>
      <c r="E3" t="s">
        <v>11</v>
      </c>
      <c r="F3">
        <v>1546</v>
      </c>
      <c r="G3">
        <v>6</v>
      </c>
      <c r="H3" s="3">
        <v>45450</v>
      </c>
      <c r="I3" t="s">
        <v>81</v>
      </c>
      <c r="J3">
        <v>6</v>
      </c>
      <c r="K3">
        <v>2024</v>
      </c>
      <c r="L3" t="s">
        <v>61</v>
      </c>
      <c r="M3" t="str">
        <f t="shared" si="0"/>
        <v>Friday</v>
      </c>
      <c r="N3" t="str">
        <f t="shared" si="1"/>
        <v>Weekend</v>
      </c>
      <c r="O3" t="str">
        <f t="shared" si="2"/>
        <v>Q2</v>
      </c>
    </row>
    <row r="4" spans="1:15">
      <c r="A4">
        <v>76</v>
      </c>
      <c r="B4" t="s">
        <v>8</v>
      </c>
      <c r="C4" t="s">
        <v>15</v>
      </c>
      <c r="D4" t="s">
        <v>16</v>
      </c>
      <c r="E4" t="s">
        <v>11</v>
      </c>
      <c r="F4">
        <v>725</v>
      </c>
      <c r="G4">
        <v>1</v>
      </c>
      <c r="H4" s="3">
        <v>44984</v>
      </c>
      <c r="I4" t="s">
        <v>79</v>
      </c>
      <c r="J4">
        <v>2</v>
      </c>
      <c r="K4">
        <v>2023</v>
      </c>
      <c r="L4" t="s">
        <v>52</v>
      </c>
      <c r="M4" t="str">
        <f t="shared" si="0"/>
        <v>Monday</v>
      </c>
      <c r="N4" t="str">
        <f t="shared" si="1"/>
        <v>Weekday</v>
      </c>
      <c r="O4" t="str">
        <f t="shared" si="2"/>
        <v>Q1</v>
      </c>
    </row>
    <row r="5" spans="1:15">
      <c r="A5">
        <v>65</v>
      </c>
      <c r="B5" t="s">
        <v>12</v>
      </c>
      <c r="C5" t="s">
        <v>9</v>
      </c>
      <c r="D5" t="s">
        <v>14</v>
      </c>
      <c r="E5" t="s">
        <v>11</v>
      </c>
      <c r="F5">
        <v>1492</v>
      </c>
      <c r="G5">
        <v>20</v>
      </c>
      <c r="H5" s="3">
        <v>45368</v>
      </c>
      <c r="I5" t="s">
        <v>79</v>
      </c>
      <c r="J5">
        <v>3</v>
      </c>
      <c r="K5">
        <v>2024</v>
      </c>
      <c r="L5" t="s">
        <v>54</v>
      </c>
      <c r="M5" t="str">
        <f t="shared" si="0"/>
        <v>Sunday</v>
      </c>
      <c r="N5" t="str">
        <f t="shared" si="1"/>
        <v>Weekday</v>
      </c>
      <c r="O5" t="str">
        <f t="shared" si="2"/>
        <v>Q1</v>
      </c>
    </row>
    <row r="6" spans="1:15">
      <c r="A6">
        <v>25</v>
      </c>
      <c r="B6" t="s">
        <v>12</v>
      </c>
      <c r="C6" t="s">
        <v>15</v>
      </c>
      <c r="D6" t="s">
        <v>17</v>
      </c>
      <c r="E6" t="s">
        <v>18</v>
      </c>
      <c r="F6">
        <v>1331</v>
      </c>
      <c r="G6">
        <v>16</v>
      </c>
      <c r="H6" s="3">
        <v>45022</v>
      </c>
      <c r="I6" t="s">
        <v>81</v>
      </c>
      <c r="J6">
        <v>4</v>
      </c>
      <c r="K6">
        <v>2023</v>
      </c>
      <c r="L6" t="s">
        <v>57</v>
      </c>
      <c r="M6" t="str">
        <f t="shared" si="0"/>
        <v>Thursday</v>
      </c>
      <c r="N6" t="str">
        <f t="shared" si="1"/>
        <v>Weekday</v>
      </c>
      <c r="O6" t="str">
        <f t="shared" si="2"/>
        <v>Q2</v>
      </c>
    </row>
    <row r="7" spans="1:15">
      <c r="A7">
        <v>79</v>
      </c>
      <c r="B7" t="s">
        <v>8</v>
      </c>
      <c r="C7" t="s">
        <v>19</v>
      </c>
      <c r="D7" t="s">
        <v>20</v>
      </c>
      <c r="E7" t="s">
        <v>11</v>
      </c>
      <c r="F7">
        <v>420</v>
      </c>
      <c r="G7">
        <v>15</v>
      </c>
      <c r="H7" s="3">
        <v>45249</v>
      </c>
      <c r="I7" t="s">
        <v>79</v>
      </c>
      <c r="J7">
        <v>11</v>
      </c>
      <c r="K7">
        <v>2023</v>
      </c>
      <c r="L7" t="s">
        <v>73</v>
      </c>
      <c r="M7" t="str">
        <f t="shared" si="0"/>
        <v>Sunday</v>
      </c>
      <c r="N7" t="str">
        <f t="shared" si="1"/>
        <v>Weekday</v>
      </c>
      <c r="O7" t="str">
        <f t="shared" si="2"/>
        <v>Q4</v>
      </c>
    </row>
    <row r="8" spans="1:15">
      <c r="A8">
        <v>79</v>
      </c>
      <c r="B8" t="s">
        <v>12</v>
      </c>
      <c r="C8" t="s">
        <v>13</v>
      </c>
      <c r="D8" t="s">
        <v>10</v>
      </c>
      <c r="E8" t="s">
        <v>11</v>
      </c>
      <c r="F8">
        <v>937</v>
      </c>
      <c r="G8">
        <v>17</v>
      </c>
      <c r="H8" s="3">
        <v>45436</v>
      </c>
      <c r="I8" t="s">
        <v>79</v>
      </c>
      <c r="J8">
        <v>5</v>
      </c>
      <c r="K8">
        <v>2024</v>
      </c>
      <c r="L8" t="s">
        <v>59</v>
      </c>
      <c r="M8" t="str">
        <f t="shared" si="0"/>
        <v>Friday</v>
      </c>
      <c r="N8" t="str">
        <f t="shared" si="1"/>
        <v>Weekend</v>
      </c>
      <c r="O8" t="str">
        <f t="shared" si="2"/>
        <v>Q2</v>
      </c>
    </row>
    <row r="9" spans="1:15">
      <c r="A9">
        <v>28</v>
      </c>
      <c r="B9" t="s">
        <v>8</v>
      </c>
      <c r="C9" t="s">
        <v>13</v>
      </c>
      <c r="D9" t="s">
        <v>14</v>
      </c>
      <c r="E9" t="s">
        <v>18</v>
      </c>
      <c r="F9">
        <v>1675</v>
      </c>
      <c r="G9">
        <v>8</v>
      </c>
      <c r="H9" s="3">
        <v>45175</v>
      </c>
      <c r="I9" t="s">
        <v>81</v>
      </c>
      <c r="J9">
        <v>9</v>
      </c>
      <c r="K9">
        <v>2023</v>
      </c>
      <c r="L9" t="s">
        <v>68</v>
      </c>
      <c r="M9" t="str">
        <f t="shared" si="0"/>
        <v>Wednesday</v>
      </c>
      <c r="N9" t="str">
        <f t="shared" si="1"/>
        <v>Weekday</v>
      </c>
      <c r="O9" t="str">
        <f t="shared" si="2"/>
        <v>Q3</v>
      </c>
    </row>
    <row r="10" spans="1:15">
      <c r="A10">
        <v>7</v>
      </c>
      <c r="B10" t="s">
        <v>8</v>
      </c>
      <c r="C10" t="s">
        <v>15</v>
      </c>
      <c r="D10" t="s">
        <v>20</v>
      </c>
      <c r="E10" t="s">
        <v>11</v>
      </c>
      <c r="F10">
        <v>556</v>
      </c>
      <c r="G10">
        <v>12</v>
      </c>
      <c r="H10" s="3">
        <v>45262</v>
      </c>
      <c r="I10" t="s">
        <v>82</v>
      </c>
      <c r="J10">
        <v>12</v>
      </c>
      <c r="K10">
        <v>2023</v>
      </c>
      <c r="L10" t="s">
        <v>75</v>
      </c>
      <c r="M10" t="str">
        <f t="shared" si="0"/>
        <v>Saturday</v>
      </c>
      <c r="N10" t="str">
        <f t="shared" si="1"/>
        <v>Weekend</v>
      </c>
      <c r="O10" t="str">
        <f t="shared" si="2"/>
        <v>Q4</v>
      </c>
    </row>
    <row r="11" spans="1:15">
      <c r="A11">
        <v>26</v>
      </c>
      <c r="B11" t="s">
        <v>8</v>
      </c>
      <c r="C11" t="s">
        <v>21</v>
      </c>
      <c r="D11" t="s">
        <v>16</v>
      </c>
      <c r="E11" t="s">
        <v>18</v>
      </c>
      <c r="F11">
        <v>878</v>
      </c>
      <c r="G11">
        <v>10</v>
      </c>
      <c r="H11" s="3">
        <v>45388</v>
      </c>
      <c r="I11" t="s">
        <v>81</v>
      </c>
      <c r="J11">
        <v>4</v>
      </c>
      <c r="K11">
        <v>2024</v>
      </c>
      <c r="L11" t="s">
        <v>57</v>
      </c>
      <c r="M11" t="str">
        <f t="shared" si="0"/>
        <v>Saturday</v>
      </c>
      <c r="N11" t="str">
        <f t="shared" si="1"/>
        <v>Weekend</v>
      </c>
      <c r="O11" t="str">
        <f t="shared" si="2"/>
        <v>Q2</v>
      </c>
    </row>
    <row r="12" spans="1:15">
      <c r="A12">
        <v>57</v>
      </c>
      <c r="B12" t="s">
        <v>8</v>
      </c>
      <c r="C12" t="s">
        <v>19</v>
      </c>
      <c r="D12" t="s">
        <v>20</v>
      </c>
      <c r="E12" t="s">
        <v>11</v>
      </c>
      <c r="F12">
        <v>531</v>
      </c>
      <c r="G12">
        <v>15</v>
      </c>
      <c r="H12" s="3">
        <v>45619</v>
      </c>
      <c r="I12" t="s">
        <v>79</v>
      </c>
      <c r="J12">
        <v>11</v>
      </c>
      <c r="K12">
        <v>2024</v>
      </c>
      <c r="L12" t="s">
        <v>73</v>
      </c>
      <c r="M12" t="str">
        <f t="shared" si="0"/>
        <v>Saturday</v>
      </c>
      <c r="N12" t="str">
        <f t="shared" si="1"/>
        <v>Weekend</v>
      </c>
      <c r="O12" t="str">
        <f t="shared" si="2"/>
        <v>Q4</v>
      </c>
    </row>
    <row r="13" spans="1:15">
      <c r="A13">
        <v>6</v>
      </c>
      <c r="B13" t="s">
        <v>8</v>
      </c>
      <c r="C13" t="s">
        <v>9</v>
      </c>
      <c r="D13" t="s">
        <v>10</v>
      </c>
      <c r="E13" t="s">
        <v>22</v>
      </c>
      <c r="F13">
        <v>927</v>
      </c>
      <c r="G13">
        <v>9</v>
      </c>
      <c r="H13" s="3">
        <v>45540</v>
      </c>
      <c r="I13" t="s">
        <v>82</v>
      </c>
      <c r="J13">
        <v>9</v>
      </c>
      <c r="K13">
        <v>2024</v>
      </c>
      <c r="L13" t="s">
        <v>68</v>
      </c>
      <c r="M13" t="str">
        <f t="shared" si="0"/>
        <v>Thursday</v>
      </c>
      <c r="N13" t="str">
        <f t="shared" si="1"/>
        <v>Weekday</v>
      </c>
      <c r="O13" t="str">
        <f t="shared" si="2"/>
        <v>Q3</v>
      </c>
    </row>
    <row r="14" spans="1:15">
      <c r="A14">
        <v>34</v>
      </c>
      <c r="B14" t="s">
        <v>8</v>
      </c>
      <c r="C14" t="s">
        <v>23</v>
      </c>
      <c r="D14" t="s">
        <v>14</v>
      </c>
      <c r="E14" t="s">
        <v>11</v>
      </c>
      <c r="F14">
        <v>1659</v>
      </c>
      <c r="G14">
        <v>2</v>
      </c>
      <c r="H14" s="3">
        <v>45249</v>
      </c>
      <c r="I14" t="s">
        <v>81</v>
      </c>
      <c r="J14">
        <v>11</v>
      </c>
      <c r="K14">
        <v>2023</v>
      </c>
      <c r="L14" t="s">
        <v>73</v>
      </c>
      <c r="M14" t="str">
        <f t="shared" si="0"/>
        <v>Sunday</v>
      </c>
      <c r="N14" t="str">
        <f t="shared" si="1"/>
        <v>Weekday</v>
      </c>
      <c r="O14" t="str">
        <f t="shared" si="2"/>
        <v>Q4</v>
      </c>
    </row>
    <row r="15" spans="1:15">
      <c r="A15">
        <v>42</v>
      </c>
      <c r="B15" t="s">
        <v>8</v>
      </c>
      <c r="C15" t="s">
        <v>9</v>
      </c>
      <c r="D15" t="s">
        <v>17</v>
      </c>
      <c r="E15" t="s">
        <v>11</v>
      </c>
      <c r="F15">
        <v>1175</v>
      </c>
      <c r="G15">
        <v>5</v>
      </c>
      <c r="H15" s="3">
        <v>45219</v>
      </c>
      <c r="I15" t="s">
        <v>80</v>
      </c>
      <c r="J15">
        <v>10</v>
      </c>
      <c r="K15">
        <v>2023</v>
      </c>
      <c r="L15" t="s">
        <v>71</v>
      </c>
      <c r="M15" t="str">
        <f t="shared" si="0"/>
        <v>Friday</v>
      </c>
      <c r="N15" t="str">
        <f t="shared" si="1"/>
        <v>Weekend</v>
      </c>
      <c r="O15" t="str">
        <f t="shared" si="2"/>
        <v>Q4</v>
      </c>
    </row>
    <row r="16" spans="1:15">
      <c r="A16">
        <v>6</v>
      </c>
      <c r="B16" t="s">
        <v>8</v>
      </c>
      <c r="C16" t="s">
        <v>9</v>
      </c>
      <c r="D16" t="s">
        <v>16</v>
      </c>
      <c r="E16" t="s">
        <v>11</v>
      </c>
      <c r="F16">
        <v>766</v>
      </c>
      <c r="G16">
        <v>6</v>
      </c>
      <c r="H16" s="3">
        <v>44989</v>
      </c>
      <c r="I16" t="s">
        <v>82</v>
      </c>
      <c r="J16">
        <v>3</v>
      </c>
      <c r="K16">
        <v>2023</v>
      </c>
      <c r="L16" t="s">
        <v>54</v>
      </c>
      <c r="M16" t="str">
        <f t="shared" si="0"/>
        <v>Saturday</v>
      </c>
      <c r="N16" t="str">
        <f t="shared" si="1"/>
        <v>Weekend</v>
      </c>
      <c r="O16" t="str">
        <f t="shared" si="2"/>
        <v>Q1</v>
      </c>
    </row>
    <row r="17" spans="1:15">
      <c r="A17">
        <v>68</v>
      </c>
      <c r="B17" t="s">
        <v>12</v>
      </c>
      <c r="C17" t="s">
        <v>23</v>
      </c>
      <c r="D17" t="s">
        <v>14</v>
      </c>
      <c r="E17" t="s">
        <v>22</v>
      </c>
      <c r="F17">
        <v>1593</v>
      </c>
      <c r="G17">
        <v>7</v>
      </c>
      <c r="H17" s="3">
        <v>45526</v>
      </c>
      <c r="I17" t="s">
        <v>79</v>
      </c>
      <c r="J17">
        <v>8</v>
      </c>
      <c r="K17">
        <v>2024</v>
      </c>
      <c r="L17" t="s">
        <v>66</v>
      </c>
      <c r="M17" t="str">
        <f t="shared" si="0"/>
        <v>Thursday</v>
      </c>
      <c r="N17" t="str">
        <f t="shared" si="1"/>
        <v>Weekday</v>
      </c>
      <c r="O17" t="str">
        <f t="shared" si="2"/>
        <v>Q3</v>
      </c>
    </row>
    <row r="18" spans="1:15">
      <c r="A18">
        <v>64</v>
      </c>
      <c r="B18" t="s">
        <v>12</v>
      </c>
      <c r="C18" t="s">
        <v>15</v>
      </c>
      <c r="D18" t="s">
        <v>10</v>
      </c>
      <c r="E18" t="s">
        <v>18</v>
      </c>
      <c r="F18">
        <v>1061</v>
      </c>
      <c r="G18">
        <v>1</v>
      </c>
      <c r="H18" s="3">
        <v>45286</v>
      </c>
      <c r="I18" t="s">
        <v>79</v>
      </c>
      <c r="J18">
        <v>12</v>
      </c>
      <c r="K18">
        <v>2023</v>
      </c>
      <c r="L18" t="s">
        <v>75</v>
      </c>
      <c r="M18" t="str">
        <f t="shared" si="0"/>
        <v>Tuesday</v>
      </c>
      <c r="N18" t="str">
        <f t="shared" si="1"/>
        <v>Weekday</v>
      </c>
      <c r="O18" t="str">
        <f t="shared" si="2"/>
        <v>Q4</v>
      </c>
    </row>
    <row r="19" spans="1:15">
      <c r="A19">
        <v>25</v>
      </c>
      <c r="B19" t="s">
        <v>8</v>
      </c>
      <c r="C19" t="s">
        <v>15</v>
      </c>
      <c r="D19" t="s">
        <v>16</v>
      </c>
      <c r="E19" t="s">
        <v>11</v>
      </c>
      <c r="F19">
        <v>956</v>
      </c>
      <c r="G19">
        <v>7</v>
      </c>
      <c r="H19" s="3">
        <v>44943</v>
      </c>
      <c r="I19" t="s">
        <v>81</v>
      </c>
      <c r="J19">
        <v>1</v>
      </c>
      <c r="K19">
        <v>2023</v>
      </c>
      <c r="L19" t="s">
        <v>46</v>
      </c>
      <c r="M19" t="str">
        <f t="shared" si="0"/>
        <v>Tuesday</v>
      </c>
      <c r="N19" t="str">
        <f t="shared" si="1"/>
        <v>Weekday</v>
      </c>
      <c r="O19" t="str">
        <f t="shared" si="2"/>
        <v>Q1</v>
      </c>
    </row>
    <row r="20" spans="1:15">
      <c r="A20">
        <v>37</v>
      </c>
      <c r="B20" t="s">
        <v>12</v>
      </c>
      <c r="C20" t="s">
        <v>9</v>
      </c>
      <c r="D20" t="s">
        <v>24</v>
      </c>
      <c r="E20" t="s">
        <v>11</v>
      </c>
      <c r="F20">
        <v>971</v>
      </c>
      <c r="G20">
        <v>20</v>
      </c>
      <c r="H20" s="3">
        <v>45241</v>
      </c>
      <c r="I20" t="s">
        <v>80</v>
      </c>
      <c r="J20">
        <v>11</v>
      </c>
      <c r="K20">
        <v>2023</v>
      </c>
      <c r="L20" t="s">
        <v>73</v>
      </c>
      <c r="M20" t="str">
        <f t="shared" si="0"/>
        <v>Saturday</v>
      </c>
      <c r="N20" t="str">
        <f t="shared" si="1"/>
        <v>Weekend</v>
      </c>
      <c r="O20" t="str">
        <f t="shared" si="2"/>
        <v>Q4</v>
      </c>
    </row>
    <row r="21" spans="1:15">
      <c r="A21">
        <v>62</v>
      </c>
      <c r="B21" t="s">
        <v>12</v>
      </c>
      <c r="C21" t="s">
        <v>15</v>
      </c>
      <c r="D21" t="s">
        <v>20</v>
      </c>
      <c r="E21" t="s">
        <v>22</v>
      </c>
      <c r="F21">
        <v>486</v>
      </c>
      <c r="G21">
        <v>12</v>
      </c>
      <c r="H21" s="3">
        <v>45173</v>
      </c>
      <c r="I21" t="s">
        <v>79</v>
      </c>
      <c r="J21">
        <v>9</v>
      </c>
      <c r="K21">
        <v>2023</v>
      </c>
      <c r="L21" t="s">
        <v>68</v>
      </c>
      <c r="M21" t="str">
        <f t="shared" si="0"/>
        <v>Monday</v>
      </c>
      <c r="N21" t="str">
        <f t="shared" si="1"/>
        <v>Weekday</v>
      </c>
      <c r="O21" t="str">
        <f t="shared" si="2"/>
        <v>Q3</v>
      </c>
    </row>
    <row r="22" spans="1:15">
      <c r="A22">
        <v>26</v>
      </c>
      <c r="B22" t="s">
        <v>12</v>
      </c>
      <c r="C22" t="s">
        <v>9</v>
      </c>
      <c r="D22" t="s">
        <v>10</v>
      </c>
      <c r="E22" t="s">
        <v>11</v>
      </c>
      <c r="F22">
        <v>1161</v>
      </c>
      <c r="G22">
        <v>16</v>
      </c>
      <c r="H22" s="3">
        <v>45195</v>
      </c>
      <c r="I22" t="s">
        <v>81</v>
      </c>
      <c r="J22">
        <v>9</v>
      </c>
      <c r="K22">
        <v>2023</v>
      </c>
      <c r="L22" t="s">
        <v>68</v>
      </c>
      <c r="M22" t="str">
        <f t="shared" si="0"/>
        <v>Tuesday</v>
      </c>
      <c r="N22" t="str">
        <f t="shared" si="1"/>
        <v>Weekday</v>
      </c>
      <c r="O22" t="str">
        <f t="shared" si="2"/>
        <v>Q3</v>
      </c>
    </row>
    <row r="23" spans="1:15">
      <c r="A23">
        <v>53</v>
      </c>
      <c r="B23" t="s">
        <v>12</v>
      </c>
      <c r="C23" t="s">
        <v>19</v>
      </c>
      <c r="D23" t="s">
        <v>24</v>
      </c>
      <c r="E23" t="s">
        <v>18</v>
      </c>
      <c r="F23">
        <v>1113</v>
      </c>
      <c r="G23">
        <v>16</v>
      </c>
      <c r="H23" s="3">
        <v>45212</v>
      </c>
      <c r="I23" t="s">
        <v>80</v>
      </c>
      <c r="J23">
        <v>10</v>
      </c>
      <c r="K23">
        <v>2023</v>
      </c>
      <c r="L23" t="s">
        <v>71</v>
      </c>
      <c r="M23" t="str">
        <f t="shared" si="0"/>
        <v>Friday</v>
      </c>
      <c r="N23" t="str">
        <f t="shared" si="1"/>
        <v>Weekend</v>
      </c>
      <c r="O23" t="str">
        <f t="shared" si="2"/>
        <v>Q4</v>
      </c>
    </row>
    <row r="24" spans="1:15">
      <c r="A24">
        <v>63</v>
      </c>
      <c r="B24" t="s">
        <v>8</v>
      </c>
      <c r="C24" t="s">
        <v>23</v>
      </c>
      <c r="D24" t="s">
        <v>14</v>
      </c>
      <c r="E24" t="s">
        <v>18</v>
      </c>
      <c r="F24">
        <v>1552</v>
      </c>
      <c r="G24">
        <v>11</v>
      </c>
      <c r="H24" s="3">
        <v>44977</v>
      </c>
      <c r="I24" t="s">
        <v>79</v>
      </c>
      <c r="J24">
        <v>2</v>
      </c>
      <c r="K24">
        <v>2023</v>
      </c>
      <c r="L24" t="s">
        <v>52</v>
      </c>
      <c r="M24" t="str">
        <f t="shared" si="0"/>
        <v>Monday</v>
      </c>
      <c r="N24" t="str">
        <f t="shared" si="1"/>
        <v>Weekday</v>
      </c>
      <c r="O24" t="str">
        <f t="shared" si="2"/>
        <v>Q1</v>
      </c>
    </row>
    <row r="25" spans="1:15">
      <c r="A25">
        <v>46</v>
      </c>
      <c r="B25" t="s">
        <v>8</v>
      </c>
      <c r="C25" t="s">
        <v>23</v>
      </c>
      <c r="D25" t="s">
        <v>17</v>
      </c>
      <c r="E25" t="s">
        <v>11</v>
      </c>
      <c r="F25">
        <v>1309</v>
      </c>
      <c r="G25">
        <v>4</v>
      </c>
      <c r="H25" s="3">
        <v>45408</v>
      </c>
      <c r="I25" t="s">
        <v>80</v>
      </c>
      <c r="J25">
        <v>4</v>
      </c>
      <c r="K25">
        <v>2024</v>
      </c>
      <c r="L25" t="s">
        <v>57</v>
      </c>
      <c r="M25" t="str">
        <f t="shared" si="0"/>
        <v>Friday</v>
      </c>
      <c r="N25" t="str">
        <f t="shared" si="1"/>
        <v>Weekend</v>
      </c>
      <c r="O25" t="str">
        <f t="shared" si="2"/>
        <v>Q2</v>
      </c>
    </row>
    <row r="26" spans="1:15">
      <c r="A26">
        <v>64</v>
      </c>
      <c r="B26" t="s">
        <v>12</v>
      </c>
      <c r="C26" t="s">
        <v>25</v>
      </c>
      <c r="D26" t="s">
        <v>16</v>
      </c>
      <c r="E26" t="s">
        <v>11</v>
      </c>
      <c r="F26">
        <v>760</v>
      </c>
      <c r="G26">
        <v>13</v>
      </c>
      <c r="H26" s="3">
        <v>45521</v>
      </c>
      <c r="I26" t="s">
        <v>79</v>
      </c>
      <c r="J26">
        <v>8</v>
      </c>
      <c r="K26">
        <v>2024</v>
      </c>
      <c r="L26" t="s">
        <v>66</v>
      </c>
      <c r="M26" t="str">
        <f t="shared" si="0"/>
        <v>Saturday</v>
      </c>
      <c r="N26" t="str">
        <f t="shared" si="1"/>
        <v>Weekend</v>
      </c>
      <c r="O26" t="str">
        <f t="shared" si="2"/>
        <v>Q3</v>
      </c>
    </row>
    <row r="27" spans="1:15">
      <c r="A27">
        <v>19</v>
      </c>
      <c r="B27" t="s">
        <v>8</v>
      </c>
      <c r="C27" t="s">
        <v>23</v>
      </c>
      <c r="D27" t="s">
        <v>20</v>
      </c>
      <c r="E27" t="s">
        <v>11</v>
      </c>
      <c r="F27">
        <v>667</v>
      </c>
      <c r="G27">
        <v>7</v>
      </c>
      <c r="H27" s="3">
        <v>45482</v>
      </c>
      <c r="I27" t="s">
        <v>81</v>
      </c>
      <c r="J27">
        <v>7</v>
      </c>
      <c r="K27">
        <v>2024</v>
      </c>
      <c r="L27" t="s">
        <v>64</v>
      </c>
      <c r="M27" t="str">
        <f t="shared" si="0"/>
        <v>Tuesday</v>
      </c>
      <c r="N27" t="str">
        <f t="shared" si="1"/>
        <v>Weekday</v>
      </c>
      <c r="O27" t="str">
        <f t="shared" si="2"/>
        <v>Q3</v>
      </c>
    </row>
    <row r="28" spans="1:15">
      <c r="A28">
        <v>66</v>
      </c>
      <c r="B28" t="s">
        <v>8</v>
      </c>
      <c r="C28" t="s">
        <v>23</v>
      </c>
      <c r="D28" t="s">
        <v>16</v>
      </c>
      <c r="E28" t="s">
        <v>11</v>
      </c>
      <c r="F28">
        <v>961</v>
      </c>
      <c r="G28">
        <v>4</v>
      </c>
      <c r="H28" s="3">
        <v>44930</v>
      </c>
      <c r="I28" t="s">
        <v>79</v>
      </c>
      <c r="J28">
        <v>1</v>
      </c>
      <c r="K28">
        <v>2023</v>
      </c>
      <c r="L28" t="s">
        <v>46</v>
      </c>
      <c r="M28" t="str">
        <f t="shared" si="0"/>
        <v>Wednesday</v>
      </c>
      <c r="N28" t="str">
        <f t="shared" si="1"/>
        <v>Weekday</v>
      </c>
      <c r="O28" t="str">
        <f t="shared" si="2"/>
        <v>Q1</v>
      </c>
    </row>
    <row r="29" spans="1:15">
      <c r="A29">
        <v>66</v>
      </c>
      <c r="B29" t="s">
        <v>12</v>
      </c>
      <c r="C29" t="s">
        <v>15</v>
      </c>
      <c r="D29" t="s">
        <v>14</v>
      </c>
      <c r="E29" t="s">
        <v>22</v>
      </c>
      <c r="F29">
        <v>1617</v>
      </c>
      <c r="G29">
        <v>15</v>
      </c>
      <c r="H29" s="3">
        <v>45069</v>
      </c>
      <c r="I29" t="s">
        <v>79</v>
      </c>
      <c r="J29">
        <v>5</v>
      </c>
      <c r="K29">
        <v>2023</v>
      </c>
      <c r="L29" t="s">
        <v>59</v>
      </c>
      <c r="M29" t="str">
        <f t="shared" si="0"/>
        <v>Tuesday</v>
      </c>
      <c r="N29" t="str">
        <f t="shared" si="1"/>
        <v>Weekday</v>
      </c>
      <c r="O29" t="str">
        <f t="shared" si="2"/>
        <v>Q2</v>
      </c>
    </row>
    <row r="30" spans="1:15">
      <c r="A30">
        <v>51</v>
      </c>
      <c r="B30" t="s">
        <v>8</v>
      </c>
      <c r="C30" t="s">
        <v>9</v>
      </c>
      <c r="D30" t="s">
        <v>16</v>
      </c>
      <c r="E30" t="s">
        <v>11</v>
      </c>
      <c r="F30">
        <v>982</v>
      </c>
      <c r="G30">
        <v>19</v>
      </c>
      <c r="H30" s="3">
        <v>45487</v>
      </c>
      <c r="I30" t="s">
        <v>80</v>
      </c>
      <c r="J30">
        <v>7</v>
      </c>
      <c r="K30">
        <v>2024</v>
      </c>
      <c r="L30" t="s">
        <v>64</v>
      </c>
      <c r="M30" t="str">
        <f t="shared" si="0"/>
        <v>Sunday</v>
      </c>
      <c r="N30" t="str">
        <f t="shared" si="1"/>
        <v>Weekday</v>
      </c>
      <c r="O30" t="str">
        <f t="shared" si="2"/>
        <v>Q3</v>
      </c>
    </row>
    <row r="31" spans="1:15">
      <c r="A31">
        <v>66</v>
      </c>
      <c r="B31" t="s">
        <v>12</v>
      </c>
      <c r="C31" t="s">
        <v>9</v>
      </c>
      <c r="D31" t="s">
        <v>20</v>
      </c>
      <c r="E31" t="s">
        <v>22</v>
      </c>
      <c r="F31">
        <v>535</v>
      </c>
      <c r="G31">
        <v>9</v>
      </c>
      <c r="H31" s="3">
        <v>45035</v>
      </c>
      <c r="I31" t="s">
        <v>79</v>
      </c>
      <c r="J31">
        <v>4</v>
      </c>
      <c r="K31">
        <v>2023</v>
      </c>
      <c r="L31" t="s">
        <v>57</v>
      </c>
      <c r="M31" t="str">
        <f t="shared" si="0"/>
        <v>Wednesday</v>
      </c>
      <c r="N31" t="str">
        <f t="shared" si="1"/>
        <v>Weekday</v>
      </c>
      <c r="O31" t="str">
        <f t="shared" si="2"/>
        <v>Q2</v>
      </c>
    </row>
    <row r="32" spans="1:15">
      <c r="A32">
        <v>55</v>
      </c>
      <c r="B32" t="s">
        <v>12</v>
      </c>
      <c r="C32" t="s">
        <v>15</v>
      </c>
      <c r="D32" t="s">
        <v>14</v>
      </c>
      <c r="E32" t="s">
        <v>11</v>
      </c>
      <c r="F32">
        <v>1492</v>
      </c>
      <c r="G32">
        <v>11</v>
      </c>
      <c r="H32" s="3">
        <v>45317</v>
      </c>
      <c r="I32" t="s">
        <v>80</v>
      </c>
      <c r="J32">
        <v>1</v>
      </c>
      <c r="K32">
        <v>2024</v>
      </c>
      <c r="L32" t="s">
        <v>46</v>
      </c>
      <c r="M32" t="str">
        <f t="shared" si="0"/>
        <v>Friday</v>
      </c>
      <c r="N32" t="str">
        <f t="shared" si="1"/>
        <v>Weekend</v>
      </c>
      <c r="O32" t="str">
        <f t="shared" si="2"/>
        <v>Q1</v>
      </c>
    </row>
    <row r="33" spans="1:15">
      <c r="A33">
        <v>59</v>
      </c>
      <c r="B33" t="s">
        <v>8</v>
      </c>
      <c r="C33" t="s">
        <v>9</v>
      </c>
      <c r="D33" t="s">
        <v>16</v>
      </c>
      <c r="E33" t="s">
        <v>22</v>
      </c>
      <c r="F33">
        <v>808</v>
      </c>
      <c r="G33">
        <v>8</v>
      </c>
      <c r="H33" s="3">
        <v>45172</v>
      </c>
      <c r="I33" t="s">
        <v>79</v>
      </c>
      <c r="J33">
        <v>9</v>
      </c>
      <c r="K33">
        <v>2023</v>
      </c>
      <c r="L33" t="s">
        <v>68</v>
      </c>
      <c r="M33" t="str">
        <f t="shared" si="0"/>
        <v>Sunday</v>
      </c>
      <c r="N33" t="str">
        <f t="shared" si="1"/>
        <v>Weekday</v>
      </c>
      <c r="O33" t="str">
        <f t="shared" si="2"/>
        <v>Q3</v>
      </c>
    </row>
    <row r="34" spans="1:15">
      <c r="A34">
        <v>68</v>
      </c>
      <c r="B34" t="s">
        <v>12</v>
      </c>
      <c r="C34" t="s">
        <v>9</v>
      </c>
      <c r="D34" t="s">
        <v>17</v>
      </c>
      <c r="E34" t="s">
        <v>11</v>
      </c>
      <c r="F34">
        <v>1340</v>
      </c>
      <c r="G34">
        <v>1</v>
      </c>
      <c r="H34" s="3">
        <v>45060</v>
      </c>
      <c r="I34" t="s">
        <v>79</v>
      </c>
      <c r="J34">
        <v>5</v>
      </c>
      <c r="K34">
        <v>2023</v>
      </c>
      <c r="L34" t="s">
        <v>59</v>
      </c>
      <c r="M34" t="str">
        <f t="shared" si="0"/>
        <v>Sunday</v>
      </c>
      <c r="N34" t="str">
        <f t="shared" si="1"/>
        <v>Weekday</v>
      </c>
      <c r="O34" t="str">
        <f t="shared" si="2"/>
        <v>Q2</v>
      </c>
    </row>
    <row r="35" spans="1:15">
      <c r="A35">
        <v>7</v>
      </c>
      <c r="B35" t="s">
        <v>8</v>
      </c>
      <c r="C35" t="s">
        <v>25</v>
      </c>
      <c r="D35" t="s">
        <v>10</v>
      </c>
      <c r="E35" t="s">
        <v>11</v>
      </c>
      <c r="F35">
        <v>1041</v>
      </c>
      <c r="G35">
        <v>8</v>
      </c>
      <c r="H35" s="3">
        <v>45604</v>
      </c>
      <c r="I35" t="s">
        <v>82</v>
      </c>
      <c r="J35">
        <v>11</v>
      </c>
      <c r="K35">
        <v>2024</v>
      </c>
      <c r="L35" t="s">
        <v>73</v>
      </c>
      <c r="M35" t="str">
        <f t="shared" si="0"/>
        <v>Friday</v>
      </c>
      <c r="N35" t="str">
        <f t="shared" si="1"/>
        <v>Weekend</v>
      </c>
      <c r="O35" t="str">
        <f t="shared" si="2"/>
        <v>Q4</v>
      </c>
    </row>
    <row r="36" spans="1:15">
      <c r="A36">
        <v>55</v>
      </c>
      <c r="B36" t="s">
        <v>8</v>
      </c>
      <c r="C36" t="s">
        <v>26</v>
      </c>
      <c r="D36" t="s">
        <v>14</v>
      </c>
      <c r="E36" t="s">
        <v>11</v>
      </c>
      <c r="F36">
        <v>1690</v>
      </c>
      <c r="G36">
        <v>13</v>
      </c>
      <c r="H36" s="3">
        <v>45346</v>
      </c>
      <c r="I36" t="s">
        <v>80</v>
      </c>
      <c r="J36">
        <v>2</v>
      </c>
      <c r="K36">
        <v>2024</v>
      </c>
      <c r="L36" t="s">
        <v>52</v>
      </c>
      <c r="M36" t="str">
        <f t="shared" si="0"/>
        <v>Saturday</v>
      </c>
      <c r="N36" t="str">
        <f t="shared" si="1"/>
        <v>Weekend</v>
      </c>
      <c r="O36" t="str">
        <f t="shared" si="2"/>
        <v>Q1</v>
      </c>
    </row>
    <row r="37" spans="1:15">
      <c r="A37">
        <v>11</v>
      </c>
      <c r="B37" t="s">
        <v>12</v>
      </c>
      <c r="C37" t="s">
        <v>19</v>
      </c>
      <c r="D37" t="s">
        <v>10</v>
      </c>
      <c r="E37" t="s">
        <v>18</v>
      </c>
      <c r="F37">
        <v>1136</v>
      </c>
      <c r="G37">
        <v>4</v>
      </c>
      <c r="H37" s="3">
        <v>45531</v>
      </c>
      <c r="I37" t="s">
        <v>82</v>
      </c>
      <c r="J37">
        <v>8</v>
      </c>
      <c r="K37">
        <v>2024</v>
      </c>
      <c r="L37" t="s">
        <v>66</v>
      </c>
      <c r="M37" t="str">
        <f t="shared" si="0"/>
        <v>Tuesday</v>
      </c>
      <c r="N37" t="str">
        <f t="shared" si="1"/>
        <v>Weekday</v>
      </c>
      <c r="O37" t="str">
        <f t="shared" si="2"/>
        <v>Q3</v>
      </c>
    </row>
    <row r="38" spans="1:15">
      <c r="A38">
        <v>25</v>
      </c>
      <c r="B38" t="s">
        <v>8</v>
      </c>
      <c r="C38" t="s">
        <v>15</v>
      </c>
      <c r="D38" t="s">
        <v>14</v>
      </c>
      <c r="E38" t="s">
        <v>11</v>
      </c>
      <c r="F38">
        <v>1576</v>
      </c>
      <c r="G38">
        <v>8</v>
      </c>
      <c r="H38" s="3">
        <v>45597</v>
      </c>
      <c r="I38" t="s">
        <v>81</v>
      </c>
      <c r="J38">
        <v>11</v>
      </c>
      <c r="K38">
        <v>2024</v>
      </c>
      <c r="L38" t="s">
        <v>73</v>
      </c>
      <c r="M38" t="str">
        <f t="shared" si="0"/>
        <v>Friday</v>
      </c>
      <c r="N38" t="str">
        <f t="shared" si="1"/>
        <v>Weekend</v>
      </c>
      <c r="O38" t="str">
        <f t="shared" si="2"/>
        <v>Q4</v>
      </c>
    </row>
    <row r="39" spans="1:15">
      <c r="A39">
        <v>77</v>
      </c>
      <c r="B39" t="s">
        <v>8</v>
      </c>
      <c r="C39" t="s">
        <v>15</v>
      </c>
      <c r="D39" t="s">
        <v>17</v>
      </c>
      <c r="E39" t="s">
        <v>18</v>
      </c>
      <c r="F39">
        <v>1240</v>
      </c>
      <c r="G39">
        <v>3</v>
      </c>
      <c r="H39" s="3">
        <v>45332</v>
      </c>
      <c r="I39" t="s">
        <v>79</v>
      </c>
      <c r="J39">
        <v>2</v>
      </c>
      <c r="K39">
        <v>2024</v>
      </c>
      <c r="L39" t="s">
        <v>52</v>
      </c>
      <c r="M39" t="str">
        <f t="shared" si="0"/>
        <v>Saturday</v>
      </c>
      <c r="N39" t="str">
        <f t="shared" si="1"/>
        <v>Weekend</v>
      </c>
      <c r="O39" t="str">
        <f t="shared" si="2"/>
        <v>Q1</v>
      </c>
    </row>
    <row r="40" spans="1:15">
      <c r="A40">
        <v>43</v>
      </c>
      <c r="B40" t="s">
        <v>12</v>
      </c>
      <c r="C40" t="s">
        <v>21</v>
      </c>
      <c r="D40" t="s">
        <v>10</v>
      </c>
      <c r="E40" t="s">
        <v>11</v>
      </c>
      <c r="F40">
        <v>1088</v>
      </c>
      <c r="G40">
        <v>9</v>
      </c>
      <c r="H40" s="3">
        <v>45003</v>
      </c>
      <c r="I40" t="s">
        <v>80</v>
      </c>
      <c r="J40">
        <v>3</v>
      </c>
      <c r="K40">
        <v>2023</v>
      </c>
      <c r="L40" t="s">
        <v>54</v>
      </c>
      <c r="M40" t="str">
        <f t="shared" si="0"/>
        <v>Saturday</v>
      </c>
      <c r="N40" t="str">
        <f t="shared" si="1"/>
        <v>Weekend</v>
      </c>
      <c r="O40" t="str">
        <f t="shared" si="2"/>
        <v>Q1</v>
      </c>
    </row>
    <row r="41" spans="1:15">
      <c r="A41">
        <v>22</v>
      </c>
      <c r="B41" t="s">
        <v>8</v>
      </c>
      <c r="C41" t="s">
        <v>21</v>
      </c>
      <c r="D41" t="s">
        <v>24</v>
      </c>
      <c r="E41" t="s">
        <v>11</v>
      </c>
      <c r="F41">
        <v>948</v>
      </c>
      <c r="G41">
        <v>2</v>
      </c>
      <c r="H41" s="3">
        <v>45215</v>
      </c>
      <c r="I41" t="s">
        <v>81</v>
      </c>
      <c r="J41">
        <v>10</v>
      </c>
      <c r="K41">
        <v>2023</v>
      </c>
      <c r="L41" t="s">
        <v>71</v>
      </c>
      <c r="M41" t="str">
        <f t="shared" si="0"/>
        <v>Monday</v>
      </c>
      <c r="N41" t="str">
        <f t="shared" si="1"/>
        <v>Weekday</v>
      </c>
      <c r="O41" t="str">
        <f t="shared" si="2"/>
        <v>Q4</v>
      </c>
    </row>
    <row r="42" spans="1:15">
      <c r="A42">
        <v>8</v>
      </c>
      <c r="B42" t="s">
        <v>8</v>
      </c>
      <c r="C42" t="s">
        <v>15</v>
      </c>
      <c r="D42" t="s">
        <v>20</v>
      </c>
      <c r="E42" t="s">
        <v>11</v>
      </c>
      <c r="F42">
        <v>589</v>
      </c>
      <c r="G42">
        <v>2</v>
      </c>
      <c r="H42" s="3">
        <v>44934</v>
      </c>
      <c r="I42" t="s">
        <v>82</v>
      </c>
      <c r="J42">
        <v>1</v>
      </c>
      <c r="K42">
        <v>2023</v>
      </c>
      <c r="L42" t="s">
        <v>46</v>
      </c>
      <c r="M42" t="str">
        <f t="shared" si="0"/>
        <v>Sunday</v>
      </c>
      <c r="N42" t="str">
        <f t="shared" si="1"/>
        <v>Weekday</v>
      </c>
      <c r="O42" t="str">
        <f t="shared" si="2"/>
        <v>Q1</v>
      </c>
    </row>
    <row r="43" spans="1:15">
      <c r="A43">
        <v>64</v>
      </c>
      <c r="B43" t="s">
        <v>8</v>
      </c>
      <c r="C43" t="s">
        <v>23</v>
      </c>
      <c r="D43" t="s">
        <v>24</v>
      </c>
      <c r="E43" t="s">
        <v>11</v>
      </c>
      <c r="F43">
        <v>1035</v>
      </c>
      <c r="G43">
        <v>13</v>
      </c>
      <c r="H43" s="3">
        <v>45597</v>
      </c>
      <c r="I43" t="s">
        <v>79</v>
      </c>
      <c r="J43">
        <v>11</v>
      </c>
      <c r="K43">
        <v>2024</v>
      </c>
      <c r="L43" t="s">
        <v>73</v>
      </c>
      <c r="M43" t="str">
        <f t="shared" si="0"/>
        <v>Friday</v>
      </c>
      <c r="N43" t="str">
        <f t="shared" si="1"/>
        <v>Weekend</v>
      </c>
      <c r="O43" t="str">
        <f t="shared" si="2"/>
        <v>Q4</v>
      </c>
    </row>
    <row r="44" spans="1:15">
      <c r="A44">
        <v>18</v>
      </c>
      <c r="B44" t="s">
        <v>8</v>
      </c>
      <c r="C44" t="s">
        <v>15</v>
      </c>
      <c r="D44" t="s">
        <v>16</v>
      </c>
      <c r="E44" t="s">
        <v>11</v>
      </c>
      <c r="F44">
        <v>742</v>
      </c>
      <c r="G44">
        <v>15</v>
      </c>
      <c r="H44" s="3">
        <v>45334</v>
      </c>
      <c r="I44" t="s">
        <v>81</v>
      </c>
      <c r="J44">
        <v>2</v>
      </c>
      <c r="K44">
        <v>2024</v>
      </c>
      <c r="L44" t="s">
        <v>52</v>
      </c>
      <c r="M44" t="str">
        <f t="shared" si="0"/>
        <v>Monday</v>
      </c>
      <c r="N44" t="str">
        <f t="shared" si="1"/>
        <v>Weekday</v>
      </c>
      <c r="O44" t="str">
        <f t="shared" si="2"/>
        <v>Q1</v>
      </c>
    </row>
    <row r="45" spans="1:15">
      <c r="A45">
        <v>13</v>
      </c>
      <c r="B45" t="s">
        <v>12</v>
      </c>
      <c r="C45" t="s">
        <v>15</v>
      </c>
      <c r="D45" t="s">
        <v>17</v>
      </c>
      <c r="E45" t="s">
        <v>22</v>
      </c>
      <c r="F45">
        <v>1189</v>
      </c>
      <c r="G45">
        <v>12</v>
      </c>
      <c r="H45" s="3">
        <v>45481</v>
      </c>
      <c r="I45" t="s">
        <v>82</v>
      </c>
      <c r="J45">
        <v>7</v>
      </c>
      <c r="K45">
        <v>2024</v>
      </c>
      <c r="L45" t="s">
        <v>64</v>
      </c>
      <c r="M45" t="str">
        <f t="shared" si="0"/>
        <v>Monday</v>
      </c>
      <c r="N45" t="str">
        <f t="shared" si="1"/>
        <v>Weekday</v>
      </c>
      <c r="O45" t="str">
        <f t="shared" si="2"/>
        <v>Q3</v>
      </c>
    </row>
    <row r="46" spans="1:15">
      <c r="A46">
        <v>57</v>
      </c>
      <c r="B46" t="s">
        <v>8</v>
      </c>
      <c r="C46" t="s">
        <v>15</v>
      </c>
      <c r="D46" t="s">
        <v>24</v>
      </c>
      <c r="E46" t="s">
        <v>22</v>
      </c>
      <c r="F46">
        <v>1194</v>
      </c>
      <c r="G46">
        <v>4</v>
      </c>
      <c r="H46" s="3">
        <v>45589</v>
      </c>
      <c r="I46" t="s">
        <v>79</v>
      </c>
      <c r="J46">
        <v>10</v>
      </c>
      <c r="K46">
        <v>2024</v>
      </c>
      <c r="L46" t="s">
        <v>71</v>
      </c>
      <c r="M46" t="str">
        <f t="shared" si="0"/>
        <v>Thursday</v>
      </c>
      <c r="N46" t="str">
        <f t="shared" si="1"/>
        <v>Weekday</v>
      </c>
      <c r="O46" t="str">
        <f t="shared" si="2"/>
        <v>Q4</v>
      </c>
    </row>
    <row r="47" spans="1:15">
      <c r="A47">
        <v>6</v>
      </c>
      <c r="B47" t="s">
        <v>8</v>
      </c>
      <c r="C47" t="s">
        <v>15</v>
      </c>
      <c r="D47" t="s">
        <v>14</v>
      </c>
      <c r="E47" t="s">
        <v>22</v>
      </c>
      <c r="F47">
        <v>1644</v>
      </c>
      <c r="G47">
        <v>8</v>
      </c>
      <c r="H47" s="3">
        <v>45338</v>
      </c>
      <c r="I47" t="s">
        <v>82</v>
      </c>
      <c r="J47">
        <v>2</v>
      </c>
      <c r="K47">
        <v>2024</v>
      </c>
      <c r="L47" t="s">
        <v>52</v>
      </c>
      <c r="M47" t="str">
        <f t="shared" si="0"/>
        <v>Friday</v>
      </c>
      <c r="N47" t="str">
        <f t="shared" si="1"/>
        <v>Weekend</v>
      </c>
      <c r="O47" t="str">
        <f t="shared" si="2"/>
        <v>Q1</v>
      </c>
    </row>
    <row r="48" spans="1:15">
      <c r="A48">
        <v>64</v>
      </c>
      <c r="B48" t="s">
        <v>8</v>
      </c>
      <c r="C48" t="s">
        <v>26</v>
      </c>
      <c r="D48" t="s">
        <v>16</v>
      </c>
      <c r="E48" t="s">
        <v>18</v>
      </c>
      <c r="F48">
        <v>891</v>
      </c>
      <c r="G48">
        <v>9</v>
      </c>
      <c r="H48" s="3">
        <v>45461</v>
      </c>
      <c r="I48" t="s">
        <v>79</v>
      </c>
      <c r="J48">
        <v>6</v>
      </c>
      <c r="K48">
        <v>2024</v>
      </c>
      <c r="L48" t="s">
        <v>61</v>
      </c>
      <c r="M48" t="str">
        <f t="shared" si="0"/>
        <v>Tuesday</v>
      </c>
      <c r="N48" t="str">
        <f t="shared" si="1"/>
        <v>Weekday</v>
      </c>
      <c r="O48" t="str">
        <f t="shared" si="2"/>
        <v>Q2</v>
      </c>
    </row>
    <row r="49" spans="1:15">
      <c r="A49">
        <v>75</v>
      </c>
      <c r="B49" t="s">
        <v>8</v>
      </c>
      <c r="C49" t="s">
        <v>23</v>
      </c>
      <c r="D49" t="s">
        <v>16</v>
      </c>
      <c r="E49" t="s">
        <v>11</v>
      </c>
      <c r="F49">
        <v>805</v>
      </c>
      <c r="G49">
        <v>5</v>
      </c>
      <c r="H49" s="3">
        <v>44989</v>
      </c>
      <c r="I49" t="s">
        <v>79</v>
      </c>
      <c r="J49">
        <v>3</v>
      </c>
      <c r="K49">
        <v>2023</v>
      </c>
      <c r="L49" t="s">
        <v>54</v>
      </c>
      <c r="M49" t="str">
        <f t="shared" si="0"/>
        <v>Saturday</v>
      </c>
      <c r="N49" t="str">
        <f t="shared" si="1"/>
        <v>Weekend</v>
      </c>
      <c r="O49" t="str">
        <f t="shared" si="2"/>
        <v>Q1</v>
      </c>
    </row>
    <row r="50" spans="1:15">
      <c r="A50">
        <v>48</v>
      </c>
      <c r="B50" t="s">
        <v>8</v>
      </c>
      <c r="C50" t="s">
        <v>9</v>
      </c>
      <c r="D50" t="s">
        <v>24</v>
      </c>
      <c r="E50" t="s">
        <v>11</v>
      </c>
      <c r="F50">
        <v>1132</v>
      </c>
      <c r="G50">
        <v>20</v>
      </c>
      <c r="H50" s="3">
        <v>45022</v>
      </c>
      <c r="I50" t="s">
        <v>80</v>
      </c>
      <c r="J50">
        <v>4</v>
      </c>
      <c r="K50">
        <v>2023</v>
      </c>
      <c r="L50" t="s">
        <v>57</v>
      </c>
      <c r="M50" t="str">
        <f t="shared" si="0"/>
        <v>Thursday</v>
      </c>
      <c r="N50" t="str">
        <f t="shared" si="1"/>
        <v>Weekday</v>
      </c>
      <c r="O50" t="str">
        <f t="shared" si="2"/>
        <v>Q2</v>
      </c>
    </row>
    <row r="51" spans="1:15">
      <c r="A51">
        <v>12</v>
      </c>
      <c r="B51" t="s">
        <v>12</v>
      </c>
      <c r="C51" t="s">
        <v>23</v>
      </c>
      <c r="D51" t="s">
        <v>24</v>
      </c>
      <c r="E51" t="s">
        <v>11</v>
      </c>
      <c r="F51">
        <v>1164</v>
      </c>
      <c r="G51">
        <v>18</v>
      </c>
      <c r="H51" s="3">
        <v>45242</v>
      </c>
      <c r="I51" t="s">
        <v>82</v>
      </c>
      <c r="J51">
        <v>11</v>
      </c>
      <c r="K51">
        <v>2023</v>
      </c>
      <c r="L51" t="s">
        <v>73</v>
      </c>
      <c r="M51" t="str">
        <f t="shared" si="0"/>
        <v>Sunday</v>
      </c>
      <c r="N51" t="str">
        <f t="shared" si="1"/>
        <v>Weekday</v>
      </c>
      <c r="O51" t="str">
        <f t="shared" si="2"/>
        <v>Q4</v>
      </c>
    </row>
    <row r="52" spans="1:15">
      <c r="A52">
        <v>51</v>
      </c>
      <c r="B52" t="s">
        <v>8</v>
      </c>
      <c r="C52" t="s">
        <v>21</v>
      </c>
      <c r="D52" t="s">
        <v>17</v>
      </c>
      <c r="E52" t="s">
        <v>18</v>
      </c>
      <c r="F52">
        <v>1136</v>
      </c>
      <c r="G52">
        <v>11</v>
      </c>
      <c r="H52" s="3">
        <v>45165</v>
      </c>
      <c r="I52" t="s">
        <v>80</v>
      </c>
      <c r="J52">
        <v>8</v>
      </c>
      <c r="K52">
        <v>2023</v>
      </c>
      <c r="L52" t="s">
        <v>66</v>
      </c>
      <c r="M52" t="str">
        <f t="shared" si="0"/>
        <v>Sunday</v>
      </c>
      <c r="N52" t="str">
        <f t="shared" si="1"/>
        <v>Weekday</v>
      </c>
      <c r="O52" t="str">
        <f t="shared" si="2"/>
        <v>Q3</v>
      </c>
    </row>
    <row r="53" spans="1:15">
      <c r="A53">
        <v>39</v>
      </c>
      <c r="B53" t="s">
        <v>8</v>
      </c>
      <c r="C53" t="s">
        <v>26</v>
      </c>
      <c r="D53" t="s">
        <v>20</v>
      </c>
      <c r="E53" t="s">
        <v>11</v>
      </c>
      <c r="F53">
        <v>440</v>
      </c>
      <c r="G53">
        <v>15</v>
      </c>
      <c r="H53" s="3">
        <v>44994</v>
      </c>
      <c r="I53" t="s">
        <v>80</v>
      </c>
      <c r="J53">
        <v>3</v>
      </c>
      <c r="K53">
        <v>2023</v>
      </c>
      <c r="L53" t="s">
        <v>54</v>
      </c>
      <c r="M53" t="str">
        <f t="shared" si="0"/>
        <v>Thursday</v>
      </c>
      <c r="N53" t="str">
        <f t="shared" si="1"/>
        <v>Weekday</v>
      </c>
      <c r="O53" t="str">
        <f t="shared" si="2"/>
        <v>Q1</v>
      </c>
    </row>
    <row r="54" spans="1:15">
      <c r="A54">
        <v>40</v>
      </c>
      <c r="B54" t="s">
        <v>8</v>
      </c>
      <c r="C54" t="s">
        <v>15</v>
      </c>
      <c r="D54" t="s">
        <v>24</v>
      </c>
      <c r="E54" t="s">
        <v>11</v>
      </c>
      <c r="F54">
        <v>916</v>
      </c>
      <c r="G54">
        <v>9</v>
      </c>
      <c r="H54" s="3">
        <v>45580</v>
      </c>
      <c r="I54" t="s">
        <v>80</v>
      </c>
      <c r="J54">
        <v>10</v>
      </c>
      <c r="K54">
        <v>2024</v>
      </c>
      <c r="L54" t="s">
        <v>71</v>
      </c>
      <c r="M54" t="str">
        <f t="shared" si="0"/>
        <v>Tuesday</v>
      </c>
      <c r="N54" t="str">
        <f t="shared" si="1"/>
        <v>Weekday</v>
      </c>
      <c r="O54" t="str">
        <f t="shared" si="2"/>
        <v>Q4</v>
      </c>
    </row>
    <row r="55" spans="1:15">
      <c r="A55">
        <v>54</v>
      </c>
      <c r="B55" t="s">
        <v>8</v>
      </c>
      <c r="C55" t="s">
        <v>9</v>
      </c>
      <c r="D55" t="s">
        <v>24</v>
      </c>
      <c r="E55" t="s">
        <v>11</v>
      </c>
      <c r="F55">
        <v>1176</v>
      </c>
      <c r="G55">
        <v>17</v>
      </c>
      <c r="H55" s="3">
        <v>45459</v>
      </c>
      <c r="I55" t="s">
        <v>80</v>
      </c>
      <c r="J55">
        <v>6</v>
      </c>
      <c r="K55">
        <v>2024</v>
      </c>
      <c r="L55" t="s">
        <v>61</v>
      </c>
      <c r="M55" t="str">
        <f t="shared" si="0"/>
        <v>Sunday</v>
      </c>
      <c r="N55" t="str">
        <f t="shared" si="1"/>
        <v>Weekday</v>
      </c>
      <c r="O55" t="str">
        <f t="shared" si="2"/>
        <v>Q2</v>
      </c>
    </row>
    <row r="56" spans="1:15">
      <c r="A56">
        <v>8</v>
      </c>
      <c r="B56" t="s">
        <v>12</v>
      </c>
      <c r="C56" t="s">
        <v>15</v>
      </c>
      <c r="D56" t="s">
        <v>10</v>
      </c>
      <c r="E56" t="s">
        <v>11</v>
      </c>
      <c r="F56">
        <v>958</v>
      </c>
      <c r="G56">
        <v>12</v>
      </c>
      <c r="H56" s="3">
        <v>45315</v>
      </c>
      <c r="I56" t="s">
        <v>82</v>
      </c>
      <c r="J56">
        <v>1</v>
      </c>
      <c r="K56">
        <v>2024</v>
      </c>
      <c r="L56" t="s">
        <v>46</v>
      </c>
      <c r="M56" t="str">
        <f t="shared" si="0"/>
        <v>Wednesday</v>
      </c>
      <c r="N56" t="str">
        <f t="shared" si="1"/>
        <v>Weekday</v>
      </c>
      <c r="O56" t="str">
        <f t="shared" si="2"/>
        <v>Q1</v>
      </c>
    </row>
    <row r="57" spans="1:15">
      <c r="A57">
        <v>6</v>
      </c>
      <c r="B57" t="s">
        <v>12</v>
      </c>
      <c r="C57" t="s">
        <v>15</v>
      </c>
      <c r="D57" t="s">
        <v>14</v>
      </c>
      <c r="E57" t="s">
        <v>22</v>
      </c>
      <c r="F57">
        <v>1582</v>
      </c>
      <c r="G57">
        <v>7</v>
      </c>
      <c r="H57" s="3">
        <v>45485</v>
      </c>
      <c r="I57" t="s">
        <v>82</v>
      </c>
      <c r="J57">
        <v>7</v>
      </c>
      <c r="K57">
        <v>2024</v>
      </c>
      <c r="L57" t="s">
        <v>64</v>
      </c>
      <c r="M57" t="str">
        <f t="shared" si="0"/>
        <v>Friday</v>
      </c>
      <c r="N57" t="str">
        <f t="shared" si="1"/>
        <v>Weekend</v>
      </c>
      <c r="O57" t="str">
        <f t="shared" si="2"/>
        <v>Q3</v>
      </c>
    </row>
    <row r="58" spans="1:15">
      <c r="A58">
        <v>10</v>
      </c>
      <c r="B58" t="s">
        <v>12</v>
      </c>
      <c r="C58" t="s">
        <v>15</v>
      </c>
      <c r="D58" t="s">
        <v>10</v>
      </c>
      <c r="E58" t="s">
        <v>18</v>
      </c>
      <c r="F58">
        <v>940</v>
      </c>
      <c r="G58">
        <v>10</v>
      </c>
      <c r="H58" s="3">
        <v>45528</v>
      </c>
      <c r="I58" t="s">
        <v>82</v>
      </c>
      <c r="J58">
        <v>8</v>
      </c>
      <c r="K58">
        <v>2024</v>
      </c>
      <c r="L58" t="s">
        <v>66</v>
      </c>
      <c r="M58" t="str">
        <f t="shared" si="0"/>
        <v>Saturday</v>
      </c>
      <c r="N58" t="str">
        <f t="shared" si="1"/>
        <v>Weekend</v>
      </c>
      <c r="O58" t="str">
        <f t="shared" si="2"/>
        <v>Q3</v>
      </c>
    </row>
    <row r="59" spans="1:15">
      <c r="A59">
        <v>58</v>
      </c>
      <c r="B59" t="s">
        <v>12</v>
      </c>
      <c r="C59" t="s">
        <v>19</v>
      </c>
      <c r="D59" t="s">
        <v>10</v>
      </c>
      <c r="E59" t="s">
        <v>11</v>
      </c>
      <c r="F59">
        <v>938</v>
      </c>
      <c r="G59">
        <v>10</v>
      </c>
      <c r="H59" s="3">
        <v>45619</v>
      </c>
      <c r="I59" t="s">
        <v>79</v>
      </c>
      <c r="J59">
        <v>11</v>
      </c>
      <c r="K59">
        <v>2024</v>
      </c>
      <c r="L59" t="s">
        <v>73</v>
      </c>
      <c r="M59" t="str">
        <f t="shared" si="0"/>
        <v>Saturday</v>
      </c>
      <c r="N59" t="str">
        <f t="shared" si="1"/>
        <v>Weekend</v>
      </c>
      <c r="O59" t="str">
        <f t="shared" si="2"/>
        <v>Q4</v>
      </c>
    </row>
    <row r="60" spans="1:15">
      <c r="A60">
        <v>8</v>
      </c>
      <c r="B60" t="s">
        <v>8</v>
      </c>
      <c r="C60" t="s">
        <v>9</v>
      </c>
      <c r="D60" t="s">
        <v>16</v>
      </c>
      <c r="E60" t="s">
        <v>22</v>
      </c>
      <c r="F60">
        <v>891</v>
      </c>
      <c r="G60">
        <v>13</v>
      </c>
      <c r="H60" s="3">
        <v>45152</v>
      </c>
      <c r="I60" t="s">
        <v>82</v>
      </c>
      <c r="J60">
        <v>8</v>
      </c>
      <c r="K60">
        <v>2023</v>
      </c>
      <c r="L60" t="s">
        <v>66</v>
      </c>
      <c r="M60" t="str">
        <f t="shared" si="0"/>
        <v>Monday</v>
      </c>
      <c r="N60" t="str">
        <f t="shared" si="1"/>
        <v>Weekday</v>
      </c>
      <c r="O60" t="str">
        <f t="shared" si="2"/>
        <v>Q3</v>
      </c>
    </row>
    <row r="61" spans="1:15">
      <c r="A61">
        <v>58</v>
      </c>
      <c r="B61" t="s">
        <v>8</v>
      </c>
      <c r="C61" t="s">
        <v>15</v>
      </c>
      <c r="D61" t="s">
        <v>20</v>
      </c>
      <c r="E61" t="s">
        <v>11</v>
      </c>
      <c r="F61">
        <v>666</v>
      </c>
      <c r="G61">
        <v>19</v>
      </c>
      <c r="H61" s="3">
        <v>45364</v>
      </c>
      <c r="I61" t="s">
        <v>79</v>
      </c>
      <c r="J61">
        <v>3</v>
      </c>
      <c r="K61">
        <v>2024</v>
      </c>
      <c r="L61" t="s">
        <v>54</v>
      </c>
      <c r="M61" t="str">
        <f t="shared" si="0"/>
        <v>Wednesday</v>
      </c>
      <c r="N61" t="str">
        <f t="shared" si="1"/>
        <v>Weekday</v>
      </c>
      <c r="O61" t="str">
        <f t="shared" si="2"/>
        <v>Q1</v>
      </c>
    </row>
    <row r="62" spans="1:15">
      <c r="A62">
        <v>67</v>
      </c>
      <c r="B62" t="s">
        <v>8</v>
      </c>
      <c r="C62" t="s">
        <v>15</v>
      </c>
      <c r="D62" t="s">
        <v>14</v>
      </c>
      <c r="E62" t="s">
        <v>11</v>
      </c>
      <c r="F62">
        <v>1546</v>
      </c>
      <c r="G62">
        <v>11</v>
      </c>
      <c r="H62" s="3">
        <v>45590</v>
      </c>
      <c r="I62" t="s">
        <v>79</v>
      </c>
      <c r="J62">
        <v>10</v>
      </c>
      <c r="K62">
        <v>2024</v>
      </c>
      <c r="L62" t="s">
        <v>71</v>
      </c>
      <c r="M62" t="str">
        <f t="shared" si="0"/>
        <v>Friday</v>
      </c>
      <c r="N62" t="str">
        <f t="shared" si="1"/>
        <v>Weekend</v>
      </c>
      <c r="O62" t="str">
        <f t="shared" si="2"/>
        <v>Q4</v>
      </c>
    </row>
    <row r="63" spans="1:15">
      <c r="A63">
        <v>22</v>
      </c>
      <c r="B63" t="s">
        <v>12</v>
      </c>
      <c r="C63" t="s">
        <v>9</v>
      </c>
      <c r="D63" t="s">
        <v>17</v>
      </c>
      <c r="E63" t="s">
        <v>11</v>
      </c>
      <c r="F63">
        <v>1226</v>
      </c>
      <c r="G63">
        <v>13</v>
      </c>
      <c r="H63" s="3">
        <v>45293</v>
      </c>
      <c r="I63" t="s">
        <v>81</v>
      </c>
      <c r="J63">
        <v>1</v>
      </c>
      <c r="K63">
        <v>2024</v>
      </c>
      <c r="L63" t="s">
        <v>46</v>
      </c>
      <c r="M63" t="str">
        <f t="shared" si="0"/>
        <v>Tuesday</v>
      </c>
      <c r="N63" t="str">
        <f t="shared" si="1"/>
        <v>Weekday</v>
      </c>
      <c r="O63" t="str">
        <f t="shared" si="2"/>
        <v>Q1</v>
      </c>
    </row>
    <row r="64" spans="1:15">
      <c r="A64">
        <v>48</v>
      </c>
      <c r="B64" t="s">
        <v>8</v>
      </c>
      <c r="C64" t="s">
        <v>15</v>
      </c>
      <c r="D64" t="s">
        <v>17</v>
      </c>
      <c r="E64" t="s">
        <v>11</v>
      </c>
      <c r="F64">
        <v>1145</v>
      </c>
      <c r="G64">
        <v>8</v>
      </c>
      <c r="H64" s="3">
        <v>45538</v>
      </c>
      <c r="I64" t="s">
        <v>80</v>
      </c>
      <c r="J64">
        <v>9</v>
      </c>
      <c r="K64">
        <v>2024</v>
      </c>
      <c r="L64" t="s">
        <v>68</v>
      </c>
      <c r="M64" t="str">
        <f t="shared" si="0"/>
        <v>Tuesday</v>
      </c>
      <c r="N64" t="str">
        <f t="shared" si="1"/>
        <v>Weekday</v>
      </c>
      <c r="O64" t="str">
        <f t="shared" si="2"/>
        <v>Q3</v>
      </c>
    </row>
    <row r="65" spans="1:15">
      <c r="A65">
        <v>38</v>
      </c>
      <c r="B65" t="s">
        <v>12</v>
      </c>
      <c r="C65" t="s">
        <v>9</v>
      </c>
      <c r="D65" t="s">
        <v>24</v>
      </c>
      <c r="E65" t="s">
        <v>11</v>
      </c>
      <c r="F65">
        <v>944</v>
      </c>
      <c r="G65">
        <v>8</v>
      </c>
      <c r="H65" s="3">
        <v>45103</v>
      </c>
      <c r="I65" t="s">
        <v>80</v>
      </c>
      <c r="J65">
        <v>6</v>
      </c>
      <c r="K65">
        <v>2023</v>
      </c>
      <c r="L65" t="s">
        <v>61</v>
      </c>
      <c r="M65" t="str">
        <f t="shared" si="0"/>
        <v>Monday</v>
      </c>
      <c r="N65" t="str">
        <f t="shared" si="1"/>
        <v>Weekday</v>
      </c>
      <c r="O65" t="str">
        <f t="shared" si="2"/>
        <v>Q2</v>
      </c>
    </row>
    <row r="66" spans="1:15">
      <c r="A66">
        <v>78</v>
      </c>
      <c r="B66" t="s">
        <v>12</v>
      </c>
      <c r="C66" t="s">
        <v>15</v>
      </c>
      <c r="D66" t="s">
        <v>24</v>
      </c>
      <c r="E66" t="s">
        <v>22</v>
      </c>
      <c r="F66">
        <v>900</v>
      </c>
      <c r="G66">
        <v>4</v>
      </c>
      <c r="H66" s="3">
        <v>45254</v>
      </c>
      <c r="I66" t="s">
        <v>79</v>
      </c>
      <c r="J66">
        <v>11</v>
      </c>
      <c r="K66">
        <v>2023</v>
      </c>
      <c r="L66" t="s">
        <v>73</v>
      </c>
      <c r="M66" t="str">
        <f t="shared" ref="M66:M129" si="3">TEXT(H66,"dddd")</f>
        <v>Friday</v>
      </c>
      <c r="N66" t="str">
        <f t="shared" ref="N66:N129" si="4">IF(WEEKDAY(H66,1)&gt;5,"Weekend","Weekday")</f>
        <v>Weekend</v>
      </c>
      <c r="O66" t="str">
        <f t="shared" ref="O66:O129" si="5">"Q"&amp;CEILING(MONTH(H66)/3,1)</f>
        <v>Q4</v>
      </c>
    </row>
    <row r="67" spans="1:15">
      <c r="A67">
        <v>66</v>
      </c>
      <c r="B67" t="s">
        <v>8</v>
      </c>
      <c r="C67" t="s">
        <v>15</v>
      </c>
      <c r="D67" t="s">
        <v>17</v>
      </c>
      <c r="E67" t="s">
        <v>11</v>
      </c>
      <c r="F67">
        <v>1267</v>
      </c>
      <c r="G67">
        <v>15</v>
      </c>
      <c r="H67" s="3">
        <v>45557</v>
      </c>
      <c r="I67" t="s">
        <v>79</v>
      </c>
      <c r="J67">
        <v>9</v>
      </c>
      <c r="K67">
        <v>2024</v>
      </c>
      <c r="L67" t="s">
        <v>68</v>
      </c>
      <c r="M67" t="str">
        <f t="shared" si="3"/>
        <v>Sunday</v>
      </c>
      <c r="N67" t="str">
        <f t="shared" si="4"/>
        <v>Weekday</v>
      </c>
      <c r="O67" t="str">
        <f t="shared" si="5"/>
        <v>Q3</v>
      </c>
    </row>
    <row r="68" spans="1:15">
      <c r="A68">
        <v>18</v>
      </c>
      <c r="B68" t="s">
        <v>8</v>
      </c>
      <c r="C68" t="s">
        <v>9</v>
      </c>
      <c r="D68" t="s">
        <v>24</v>
      </c>
      <c r="E68" t="s">
        <v>22</v>
      </c>
      <c r="F68">
        <v>1007</v>
      </c>
      <c r="G68">
        <v>11</v>
      </c>
      <c r="H68" s="3">
        <v>45117</v>
      </c>
      <c r="I68" t="s">
        <v>81</v>
      </c>
      <c r="J68">
        <v>7</v>
      </c>
      <c r="K68">
        <v>2023</v>
      </c>
      <c r="L68" t="s">
        <v>64</v>
      </c>
      <c r="M68" t="str">
        <f t="shared" si="3"/>
        <v>Monday</v>
      </c>
      <c r="N68" t="str">
        <f t="shared" si="4"/>
        <v>Weekday</v>
      </c>
      <c r="O68" t="str">
        <f t="shared" si="5"/>
        <v>Q3</v>
      </c>
    </row>
    <row r="69" spans="1:15">
      <c r="A69">
        <v>52</v>
      </c>
      <c r="B69" t="s">
        <v>12</v>
      </c>
      <c r="C69" t="s">
        <v>19</v>
      </c>
      <c r="D69" t="s">
        <v>20</v>
      </c>
      <c r="E69" t="s">
        <v>11</v>
      </c>
      <c r="F69">
        <v>418</v>
      </c>
      <c r="G69">
        <v>11</v>
      </c>
      <c r="H69" s="3">
        <v>44935</v>
      </c>
      <c r="I69" t="s">
        <v>80</v>
      </c>
      <c r="J69">
        <v>1</v>
      </c>
      <c r="K69">
        <v>2023</v>
      </c>
      <c r="L69" t="s">
        <v>46</v>
      </c>
      <c r="M69" t="str">
        <f t="shared" si="3"/>
        <v>Monday</v>
      </c>
      <c r="N69" t="str">
        <f t="shared" si="4"/>
        <v>Weekday</v>
      </c>
      <c r="O69" t="str">
        <f t="shared" si="5"/>
        <v>Q1</v>
      </c>
    </row>
    <row r="70" spans="1:15">
      <c r="A70">
        <v>19</v>
      </c>
      <c r="B70" t="s">
        <v>12</v>
      </c>
      <c r="C70" t="s">
        <v>15</v>
      </c>
      <c r="D70" t="s">
        <v>10</v>
      </c>
      <c r="E70" t="s">
        <v>11</v>
      </c>
      <c r="F70">
        <v>971</v>
      </c>
      <c r="G70">
        <v>1</v>
      </c>
      <c r="H70" s="3">
        <v>45652</v>
      </c>
      <c r="I70" t="s">
        <v>81</v>
      </c>
      <c r="J70">
        <v>12</v>
      </c>
      <c r="K70">
        <v>2024</v>
      </c>
      <c r="L70" t="s">
        <v>75</v>
      </c>
      <c r="M70" t="str">
        <f t="shared" si="3"/>
        <v>Thursday</v>
      </c>
      <c r="N70" t="str">
        <f t="shared" si="4"/>
        <v>Weekday</v>
      </c>
      <c r="O70" t="str">
        <f t="shared" si="5"/>
        <v>Q4</v>
      </c>
    </row>
    <row r="71" spans="1:15">
      <c r="A71">
        <v>76</v>
      </c>
      <c r="B71" t="s">
        <v>12</v>
      </c>
      <c r="C71" t="s">
        <v>15</v>
      </c>
      <c r="D71" t="s">
        <v>24</v>
      </c>
      <c r="E71" t="s">
        <v>11</v>
      </c>
      <c r="F71">
        <v>1008</v>
      </c>
      <c r="G71">
        <v>17</v>
      </c>
      <c r="H71" s="3">
        <v>45646</v>
      </c>
      <c r="I71" t="s">
        <v>79</v>
      </c>
      <c r="J71">
        <v>12</v>
      </c>
      <c r="K71">
        <v>2024</v>
      </c>
      <c r="L71" t="s">
        <v>75</v>
      </c>
      <c r="M71" t="str">
        <f t="shared" si="3"/>
        <v>Friday</v>
      </c>
      <c r="N71" t="str">
        <f t="shared" si="4"/>
        <v>Weekend</v>
      </c>
      <c r="O71" t="str">
        <f t="shared" si="5"/>
        <v>Q4</v>
      </c>
    </row>
    <row r="72" spans="1:15">
      <c r="A72">
        <v>66</v>
      </c>
      <c r="B72" t="s">
        <v>12</v>
      </c>
      <c r="C72" t="s">
        <v>15</v>
      </c>
      <c r="D72" t="s">
        <v>16</v>
      </c>
      <c r="E72" t="s">
        <v>11</v>
      </c>
      <c r="F72">
        <v>967</v>
      </c>
      <c r="G72">
        <v>15</v>
      </c>
      <c r="H72" s="3">
        <v>45299</v>
      </c>
      <c r="I72" t="s">
        <v>79</v>
      </c>
      <c r="J72">
        <v>1</v>
      </c>
      <c r="K72">
        <v>2024</v>
      </c>
      <c r="L72" t="s">
        <v>46</v>
      </c>
      <c r="M72" t="str">
        <f t="shared" si="3"/>
        <v>Monday</v>
      </c>
      <c r="N72" t="str">
        <f t="shared" si="4"/>
        <v>Weekday</v>
      </c>
      <c r="O72" t="str">
        <f t="shared" si="5"/>
        <v>Q1</v>
      </c>
    </row>
    <row r="73" spans="1:15">
      <c r="A73">
        <v>44</v>
      </c>
      <c r="B73" t="s">
        <v>8</v>
      </c>
      <c r="C73" t="s">
        <v>21</v>
      </c>
      <c r="D73" t="s">
        <v>24</v>
      </c>
      <c r="E73" t="s">
        <v>11</v>
      </c>
      <c r="F73">
        <v>1139</v>
      </c>
      <c r="G73">
        <v>20</v>
      </c>
      <c r="H73" s="3">
        <v>45453</v>
      </c>
      <c r="I73" t="s">
        <v>80</v>
      </c>
      <c r="J73">
        <v>6</v>
      </c>
      <c r="K73">
        <v>2024</v>
      </c>
      <c r="L73" t="s">
        <v>61</v>
      </c>
      <c r="M73" t="str">
        <f t="shared" si="3"/>
        <v>Monday</v>
      </c>
      <c r="N73" t="str">
        <f t="shared" si="4"/>
        <v>Weekday</v>
      </c>
      <c r="O73" t="str">
        <f t="shared" si="5"/>
        <v>Q2</v>
      </c>
    </row>
    <row r="74" spans="1:15">
      <c r="A74">
        <v>57</v>
      </c>
      <c r="B74" t="s">
        <v>12</v>
      </c>
      <c r="C74" t="s">
        <v>9</v>
      </c>
      <c r="D74" t="s">
        <v>14</v>
      </c>
      <c r="E74" t="s">
        <v>22</v>
      </c>
      <c r="F74">
        <v>1489</v>
      </c>
      <c r="G74">
        <v>6</v>
      </c>
      <c r="H74" s="3">
        <v>45431</v>
      </c>
      <c r="I74" t="s">
        <v>79</v>
      </c>
      <c r="J74">
        <v>5</v>
      </c>
      <c r="K74">
        <v>2024</v>
      </c>
      <c r="L74" t="s">
        <v>59</v>
      </c>
      <c r="M74" t="str">
        <f t="shared" si="3"/>
        <v>Sunday</v>
      </c>
      <c r="N74" t="str">
        <f t="shared" si="4"/>
        <v>Weekday</v>
      </c>
      <c r="O74" t="str">
        <f t="shared" si="5"/>
        <v>Q2</v>
      </c>
    </row>
    <row r="75" spans="1:15">
      <c r="A75">
        <v>28</v>
      </c>
      <c r="B75" t="s">
        <v>8</v>
      </c>
      <c r="C75" t="s">
        <v>19</v>
      </c>
      <c r="D75" t="s">
        <v>20</v>
      </c>
      <c r="E75" t="s">
        <v>11</v>
      </c>
      <c r="F75">
        <v>502</v>
      </c>
      <c r="G75">
        <v>15</v>
      </c>
      <c r="H75" s="3">
        <v>45172</v>
      </c>
      <c r="I75" t="s">
        <v>81</v>
      </c>
      <c r="J75">
        <v>9</v>
      </c>
      <c r="K75">
        <v>2023</v>
      </c>
      <c r="L75" t="s">
        <v>68</v>
      </c>
      <c r="M75" t="str">
        <f t="shared" si="3"/>
        <v>Sunday</v>
      </c>
      <c r="N75" t="str">
        <f t="shared" si="4"/>
        <v>Weekday</v>
      </c>
      <c r="O75" t="str">
        <f t="shared" si="5"/>
        <v>Q3</v>
      </c>
    </row>
    <row r="76" spans="1:15">
      <c r="A76">
        <v>30</v>
      </c>
      <c r="B76" t="s">
        <v>12</v>
      </c>
      <c r="C76" t="s">
        <v>21</v>
      </c>
      <c r="D76" t="s">
        <v>14</v>
      </c>
      <c r="E76" t="s">
        <v>11</v>
      </c>
      <c r="F76">
        <v>1649</v>
      </c>
      <c r="G76">
        <v>9</v>
      </c>
      <c r="H76" s="3">
        <v>45346</v>
      </c>
      <c r="I76" t="s">
        <v>81</v>
      </c>
      <c r="J76">
        <v>2</v>
      </c>
      <c r="K76">
        <v>2024</v>
      </c>
      <c r="L76" t="s">
        <v>52</v>
      </c>
      <c r="M76" t="str">
        <f t="shared" si="3"/>
        <v>Saturday</v>
      </c>
      <c r="N76" t="str">
        <f t="shared" si="4"/>
        <v>Weekend</v>
      </c>
      <c r="O76" t="str">
        <f t="shared" si="5"/>
        <v>Q1</v>
      </c>
    </row>
    <row r="77" spans="1:15">
      <c r="A77">
        <v>64</v>
      </c>
      <c r="B77" t="s">
        <v>12</v>
      </c>
      <c r="C77" t="s">
        <v>15</v>
      </c>
      <c r="D77" t="s">
        <v>14</v>
      </c>
      <c r="E77" t="s">
        <v>11</v>
      </c>
      <c r="F77">
        <v>1407</v>
      </c>
      <c r="G77">
        <v>14</v>
      </c>
      <c r="H77" s="3">
        <v>45509</v>
      </c>
      <c r="I77" t="s">
        <v>79</v>
      </c>
      <c r="J77">
        <v>8</v>
      </c>
      <c r="K77">
        <v>2024</v>
      </c>
      <c r="L77" t="s">
        <v>66</v>
      </c>
      <c r="M77" t="str">
        <f t="shared" si="3"/>
        <v>Monday</v>
      </c>
      <c r="N77" t="str">
        <f t="shared" si="4"/>
        <v>Weekday</v>
      </c>
      <c r="O77" t="str">
        <f t="shared" si="5"/>
        <v>Q3</v>
      </c>
    </row>
    <row r="78" spans="1:15">
      <c r="A78">
        <v>45</v>
      </c>
      <c r="B78" t="s">
        <v>12</v>
      </c>
      <c r="C78" t="s">
        <v>13</v>
      </c>
      <c r="D78" t="s">
        <v>16</v>
      </c>
      <c r="E78" t="s">
        <v>11</v>
      </c>
      <c r="F78">
        <v>852</v>
      </c>
      <c r="G78">
        <v>18</v>
      </c>
      <c r="H78" s="3">
        <v>45599</v>
      </c>
      <c r="I78" t="s">
        <v>80</v>
      </c>
      <c r="J78">
        <v>11</v>
      </c>
      <c r="K78">
        <v>2024</v>
      </c>
      <c r="L78" t="s">
        <v>73</v>
      </c>
      <c r="M78" t="str">
        <f t="shared" si="3"/>
        <v>Sunday</v>
      </c>
      <c r="N78" t="str">
        <f t="shared" si="4"/>
        <v>Weekday</v>
      </c>
      <c r="O78" t="str">
        <f t="shared" si="5"/>
        <v>Q4</v>
      </c>
    </row>
    <row r="79" spans="1:15">
      <c r="A79">
        <v>33</v>
      </c>
      <c r="B79" t="s">
        <v>12</v>
      </c>
      <c r="C79" t="s">
        <v>19</v>
      </c>
      <c r="D79" t="s">
        <v>20</v>
      </c>
      <c r="E79" t="s">
        <v>11</v>
      </c>
      <c r="F79">
        <v>573</v>
      </c>
      <c r="G79">
        <v>17</v>
      </c>
      <c r="H79" s="3">
        <v>45072</v>
      </c>
      <c r="I79" t="s">
        <v>81</v>
      </c>
      <c r="J79">
        <v>5</v>
      </c>
      <c r="K79">
        <v>2023</v>
      </c>
      <c r="L79" t="s">
        <v>59</v>
      </c>
      <c r="M79" t="str">
        <f t="shared" si="3"/>
        <v>Friday</v>
      </c>
      <c r="N79" t="str">
        <f t="shared" si="4"/>
        <v>Weekend</v>
      </c>
      <c r="O79" t="str">
        <f t="shared" si="5"/>
        <v>Q2</v>
      </c>
    </row>
    <row r="80" spans="1:15">
      <c r="A80">
        <v>19</v>
      </c>
      <c r="B80" t="s">
        <v>12</v>
      </c>
      <c r="C80" t="s">
        <v>15</v>
      </c>
      <c r="D80" t="s">
        <v>20</v>
      </c>
      <c r="E80" t="s">
        <v>11</v>
      </c>
      <c r="F80">
        <v>557</v>
      </c>
      <c r="G80">
        <v>18</v>
      </c>
      <c r="H80" s="3">
        <v>45349</v>
      </c>
      <c r="I80" t="s">
        <v>81</v>
      </c>
      <c r="J80">
        <v>2</v>
      </c>
      <c r="K80">
        <v>2024</v>
      </c>
      <c r="L80" t="s">
        <v>52</v>
      </c>
      <c r="M80" t="str">
        <f t="shared" si="3"/>
        <v>Tuesday</v>
      </c>
      <c r="N80" t="str">
        <f t="shared" si="4"/>
        <v>Weekday</v>
      </c>
      <c r="O80" t="str">
        <f t="shared" si="5"/>
        <v>Q1</v>
      </c>
    </row>
    <row r="81" spans="1:15">
      <c r="A81">
        <v>49</v>
      </c>
      <c r="B81" t="s">
        <v>12</v>
      </c>
      <c r="C81" t="s">
        <v>9</v>
      </c>
      <c r="D81" t="s">
        <v>20</v>
      </c>
      <c r="E81" t="s">
        <v>11</v>
      </c>
      <c r="F81">
        <v>614</v>
      </c>
      <c r="G81">
        <v>5</v>
      </c>
      <c r="H81" s="3">
        <v>45581</v>
      </c>
      <c r="I81" t="s">
        <v>80</v>
      </c>
      <c r="J81">
        <v>10</v>
      </c>
      <c r="K81">
        <v>2024</v>
      </c>
      <c r="L81" t="s">
        <v>71</v>
      </c>
      <c r="M81" t="str">
        <f t="shared" si="3"/>
        <v>Wednesday</v>
      </c>
      <c r="N81" t="str">
        <f t="shared" si="4"/>
        <v>Weekday</v>
      </c>
      <c r="O81" t="str">
        <f t="shared" si="5"/>
        <v>Q4</v>
      </c>
    </row>
    <row r="82" spans="1:15">
      <c r="A82">
        <v>69</v>
      </c>
      <c r="B82" t="s">
        <v>8</v>
      </c>
      <c r="C82" t="s">
        <v>25</v>
      </c>
      <c r="D82" t="s">
        <v>20</v>
      </c>
      <c r="E82" t="s">
        <v>11</v>
      </c>
      <c r="F82">
        <v>576</v>
      </c>
      <c r="G82">
        <v>20</v>
      </c>
      <c r="H82" s="3">
        <v>45613</v>
      </c>
      <c r="I82" t="s">
        <v>79</v>
      </c>
      <c r="J82">
        <v>11</v>
      </c>
      <c r="K82">
        <v>2024</v>
      </c>
      <c r="L82" t="s">
        <v>73</v>
      </c>
      <c r="M82" t="str">
        <f t="shared" si="3"/>
        <v>Sunday</v>
      </c>
      <c r="N82" t="str">
        <f t="shared" si="4"/>
        <v>Weekday</v>
      </c>
      <c r="O82" t="str">
        <f t="shared" si="5"/>
        <v>Q4</v>
      </c>
    </row>
    <row r="83" spans="1:15">
      <c r="A83">
        <v>75</v>
      </c>
      <c r="B83" t="s">
        <v>12</v>
      </c>
      <c r="C83" t="s">
        <v>9</v>
      </c>
      <c r="D83" t="s">
        <v>20</v>
      </c>
      <c r="E83" t="s">
        <v>11</v>
      </c>
      <c r="F83">
        <v>574</v>
      </c>
      <c r="G83">
        <v>20</v>
      </c>
      <c r="H83" s="3">
        <v>45245</v>
      </c>
      <c r="I83" t="s">
        <v>79</v>
      </c>
      <c r="J83">
        <v>11</v>
      </c>
      <c r="K83">
        <v>2023</v>
      </c>
      <c r="L83" t="s">
        <v>73</v>
      </c>
      <c r="M83" t="str">
        <f t="shared" si="3"/>
        <v>Wednesday</v>
      </c>
      <c r="N83" t="str">
        <f t="shared" si="4"/>
        <v>Weekday</v>
      </c>
      <c r="O83" t="str">
        <f t="shared" si="5"/>
        <v>Q4</v>
      </c>
    </row>
    <row r="84" spans="1:15">
      <c r="A84">
        <v>13</v>
      </c>
      <c r="B84" t="s">
        <v>8</v>
      </c>
      <c r="C84" t="s">
        <v>26</v>
      </c>
      <c r="D84" t="s">
        <v>16</v>
      </c>
      <c r="E84" t="s">
        <v>11</v>
      </c>
      <c r="F84">
        <v>845</v>
      </c>
      <c r="G84">
        <v>9</v>
      </c>
      <c r="H84" s="3">
        <v>45629</v>
      </c>
      <c r="I84" t="s">
        <v>82</v>
      </c>
      <c r="J84">
        <v>12</v>
      </c>
      <c r="K84">
        <v>2024</v>
      </c>
      <c r="L84" t="s">
        <v>75</v>
      </c>
      <c r="M84" t="str">
        <f t="shared" si="3"/>
        <v>Tuesday</v>
      </c>
      <c r="N84" t="str">
        <f t="shared" si="4"/>
        <v>Weekday</v>
      </c>
      <c r="O84" t="str">
        <f t="shared" si="5"/>
        <v>Q4</v>
      </c>
    </row>
    <row r="85" spans="1:15">
      <c r="A85">
        <v>5</v>
      </c>
      <c r="B85" t="s">
        <v>12</v>
      </c>
      <c r="C85" t="s">
        <v>9</v>
      </c>
      <c r="D85" t="s">
        <v>24</v>
      </c>
      <c r="E85" t="s">
        <v>11</v>
      </c>
      <c r="F85">
        <v>1060</v>
      </c>
      <c r="G85">
        <v>11</v>
      </c>
      <c r="H85" s="3">
        <v>45455</v>
      </c>
      <c r="I85" t="s">
        <v>82</v>
      </c>
      <c r="J85">
        <v>6</v>
      </c>
      <c r="K85">
        <v>2024</v>
      </c>
      <c r="L85" t="s">
        <v>61</v>
      </c>
      <c r="M85" t="str">
        <f t="shared" si="3"/>
        <v>Wednesday</v>
      </c>
      <c r="N85" t="str">
        <f t="shared" si="4"/>
        <v>Weekday</v>
      </c>
      <c r="O85" t="str">
        <f t="shared" si="5"/>
        <v>Q2</v>
      </c>
    </row>
    <row r="86" spans="1:15">
      <c r="A86">
        <v>12</v>
      </c>
      <c r="B86" t="s">
        <v>8</v>
      </c>
      <c r="C86" t="s">
        <v>23</v>
      </c>
      <c r="D86" t="s">
        <v>14</v>
      </c>
      <c r="E86" t="s">
        <v>11</v>
      </c>
      <c r="F86">
        <v>1526</v>
      </c>
      <c r="G86">
        <v>1</v>
      </c>
      <c r="H86" s="3">
        <v>45574</v>
      </c>
      <c r="I86" t="s">
        <v>82</v>
      </c>
      <c r="J86">
        <v>10</v>
      </c>
      <c r="K86">
        <v>2024</v>
      </c>
      <c r="L86" t="s">
        <v>71</v>
      </c>
      <c r="M86" t="str">
        <f t="shared" si="3"/>
        <v>Wednesday</v>
      </c>
      <c r="N86" t="str">
        <f t="shared" si="4"/>
        <v>Weekday</v>
      </c>
      <c r="O86" t="str">
        <f t="shared" si="5"/>
        <v>Q4</v>
      </c>
    </row>
    <row r="87" spans="1:15">
      <c r="A87">
        <v>67</v>
      </c>
      <c r="B87" t="s">
        <v>8</v>
      </c>
      <c r="C87" t="s">
        <v>9</v>
      </c>
      <c r="D87" t="s">
        <v>20</v>
      </c>
      <c r="E87" t="s">
        <v>22</v>
      </c>
      <c r="F87">
        <v>481</v>
      </c>
      <c r="G87">
        <v>18</v>
      </c>
      <c r="H87" s="3">
        <v>45159</v>
      </c>
      <c r="I87" t="s">
        <v>79</v>
      </c>
      <c r="J87">
        <v>8</v>
      </c>
      <c r="K87">
        <v>2023</v>
      </c>
      <c r="L87" t="s">
        <v>66</v>
      </c>
      <c r="M87" t="str">
        <f t="shared" si="3"/>
        <v>Monday</v>
      </c>
      <c r="N87" t="str">
        <f t="shared" si="4"/>
        <v>Weekday</v>
      </c>
      <c r="O87" t="str">
        <f t="shared" si="5"/>
        <v>Q3</v>
      </c>
    </row>
    <row r="88" spans="1:15">
      <c r="A88">
        <v>15</v>
      </c>
      <c r="B88" t="s">
        <v>8</v>
      </c>
      <c r="C88" t="s">
        <v>25</v>
      </c>
      <c r="D88" t="s">
        <v>24</v>
      </c>
      <c r="E88" t="s">
        <v>11</v>
      </c>
      <c r="F88">
        <v>1046</v>
      </c>
      <c r="G88">
        <v>6</v>
      </c>
      <c r="H88" s="3">
        <v>45394</v>
      </c>
      <c r="I88" t="s">
        <v>82</v>
      </c>
      <c r="J88">
        <v>4</v>
      </c>
      <c r="K88">
        <v>2024</v>
      </c>
      <c r="L88" t="s">
        <v>57</v>
      </c>
      <c r="M88" t="str">
        <f t="shared" si="3"/>
        <v>Friday</v>
      </c>
      <c r="N88" t="str">
        <f t="shared" si="4"/>
        <v>Weekend</v>
      </c>
      <c r="O88" t="str">
        <f t="shared" si="5"/>
        <v>Q2</v>
      </c>
    </row>
    <row r="89" spans="1:15">
      <c r="A89">
        <v>12</v>
      </c>
      <c r="B89" t="s">
        <v>8</v>
      </c>
      <c r="C89" t="s">
        <v>19</v>
      </c>
      <c r="D89" t="s">
        <v>24</v>
      </c>
      <c r="E89" t="s">
        <v>11</v>
      </c>
      <c r="F89">
        <v>1138</v>
      </c>
      <c r="G89">
        <v>2</v>
      </c>
      <c r="H89" s="3">
        <v>45348</v>
      </c>
      <c r="I89" t="s">
        <v>82</v>
      </c>
      <c r="J89">
        <v>2</v>
      </c>
      <c r="K89">
        <v>2024</v>
      </c>
      <c r="L89" t="s">
        <v>52</v>
      </c>
      <c r="M89" t="str">
        <f t="shared" si="3"/>
        <v>Monday</v>
      </c>
      <c r="N89" t="str">
        <f t="shared" si="4"/>
        <v>Weekday</v>
      </c>
      <c r="O89" t="str">
        <f t="shared" si="5"/>
        <v>Q1</v>
      </c>
    </row>
    <row r="90" spans="1:15">
      <c r="A90">
        <v>39</v>
      </c>
      <c r="B90" t="s">
        <v>12</v>
      </c>
      <c r="C90" t="s">
        <v>15</v>
      </c>
      <c r="D90" t="s">
        <v>14</v>
      </c>
      <c r="E90" t="s">
        <v>11</v>
      </c>
      <c r="F90">
        <v>1483</v>
      </c>
      <c r="G90">
        <v>15</v>
      </c>
      <c r="H90" s="3">
        <v>45641</v>
      </c>
      <c r="I90" t="s">
        <v>80</v>
      </c>
      <c r="J90">
        <v>12</v>
      </c>
      <c r="K90">
        <v>2024</v>
      </c>
      <c r="L90" t="s">
        <v>75</v>
      </c>
      <c r="M90" t="str">
        <f t="shared" si="3"/>
        <v>Sunday</v>
      </c>
      <c r="N90" t="str">
        <f t="shared" si="4"/>
        <v>Weekday</v>
      </c>
      <c r="O90" t="str">
        <f t="shared" si="5"/>
        <v>Q4</v>
      </c>
    </row>
    <row r="91" spans="1:15">
      <c r="A91">
        <v>39</v>
      </c>
      <c r="B91" t="s">
        <v>8</v>
      </c>
      <c r="C91" t="s">
        <v>15</v>
      </c>
      <c r="D91" t="s">
        <v>16</v>
      </c>
      <c r="E91" t="s">
        <v>22</v>
      </c>
      <c r="F91">
        <v>812</v>
      </c>
      <c r="G91">
        <v>14</v>
      </c>
      <c r="H91" s="3">
        <v>45232</v>
      </c>
      <c r="I91" t="s">
        <v>80</v>
      </c>
      <c r="J91">
        <v>11</v>
      </c>
      <c r="K91">
        <v>2023</v>
      </c>
      <c r="L91" t="s">
        <v>73</v>
      </c>
      <c r="M91" t="str">
        <f t="shared" si="3"/>
        <v>Thursday</v>
      </c>
      <c r="N91" t="str">
        <f t="shared" si="4"/>
        <v>Weekday</v>
      </c>
      <c r="O91" t="str">
        <f t="shared" si="5"/>
        <v>Q4</v>
      </c>
    </row>
    <row r="92" spans="1:15">
      <c r="A92">
        <v>37</v>
      </c>
      <c r="B92" t="s">
        <v>12</v>
      </c>
      <c r="C92" t="s">
        <v>15</v>
      </c>
      <c r="D92" t="s">
        <v>17</v>
      </c>
      <c r="E92" t="s">
        <v>11</v>
      </c>
      <c r="F92">
        <v>1324</v>
      </c>
      <c r="G92">
        <v>5</v>
      </c>
      <c r="H92" s="3">
        <v>45435</v>
      </c>
      <c r="I92" t="s">
        <v>80</v>
      </c>
      <c r="J92">
        <v>5</v>
      </c>
      <c r="K92">
        <v>2024</v>
      </c>
      <c r="L92" t="s">
        <v>59</v>
      </c>
      <c r="M92" t="str">
        <f t="shared" si="3"/>
        <v>Thursday</v>
      </c>
      <c r="N92" t="str">
        <f t="shared" si="4"/>
        <v>Weekday</v>
      </c>
      <c r="O92" t="str">
        <f t="shared" si="5"/>
        <v>Q2</v>
      </c>
    </row>
    <row r="93" spans="1:15">
      <c r="A93">
        <v>9</v>
      </c>
      <c r="B93" t="s">
        <v>8</v>
      </c>
      <c r="C93" t="s">
        <v>15</v>
      </c>
      <c r="D93" t="s">
        <v>17</v>
      </c>
      <c r="E93" t="s">
        <v>11</v>
      </c>
      <c r="F93">
        <v>1342</v>
      </c>
      <c r="G93">
        <v>6</v>
      </c>
      <c r="H93" s="3">
        <v>45644</v>
      </c>
      <c r="I93" t="s">
        <v>82</v>
      </c>
      <c r="J93">
        <v>12</v>
      </c>
      <c r="K93">
        <v>2024</v>
      </c>
      <c r="L93" t="s">
        <v>75</v>
      </c>
      <c r="M93" t="str">
        <f t="shared" si="3"/>
        <v>Wednesday</v>
      </c>
      <c r="N93" t="str">
        <f t="shared" si="4"/>
        <v>Weekday</v>
      </c>
      <c r="O93" t="str">
        <f t="shared" si="5"/>
        <v>Q4</v>
      </c>
    </row>
    <row r="94" spans="1:15">
      <c r="A94">
        <v>45</v>
      </c>
      <c r="B94" t="s">
        <v>12</v>
      </c>
      <c r="C94" t="s">
        <v>15</v>
      </c>
      <c r="D94" t="s">
        <v>24</v>
      </c>
      <c r="E94" t="s">
        <v>18</v>
      </c>
      <c r="F94">
        <v>1042</v>
      </c>
      <c r="G94">
        <v>6</v>
      </c>
      <c r="H94" s="3">
        <v>45342</v>
      </c>
      <c r="I94" t="s">
        <v>80</v>
      </c>
      <c r="J94">
        <v>2</v>
      </c>
      <c r="K94">
        <v>2024</v>
      </c>
      <c r="L94" t="s">
        <v>52</v>
      </c>
      <c r="M94" t="str">
        <f t="shared" si="3"/>
        <v>Tuesday</v>
      </c>
      <c r="N94" t="str">
        <f t="shared" si="4"/>
        <v>Weekday</v>
      </c>
      <c r="O94" t="str">
        <f t="shared" si="5"/>
        <v>Q1</v>
      </c>
    </row>
    <row r="95" spans="1:15">
      <c r="A95">
        <v>32</v>
      </c>
      <c r="B95" t="s">
        <v>12</v>
      </c>
      <c r="C95" t="s">
        <v>23</v>
      </c>
      <c r="D95" t="s">
        <v>10</v>
      </c>
      <c r="E95" t="s">
        <v>11</v>
      </c>
      <c r="F95">
        <v>940</v>
      </c>
      <c r="G95">
        <v>18</v>
      </c>
      <c r="H95" s="3">
        <v>44969</v>
      </c>
      <c r="I95" t="s">
        <v>81</v>
      </c>
      <c r="J95">
        <v>2</v>
      </c>
      <c r="K95">
        <v>2023</v>
      </c>
      <c r="L95" t="s">
        <v>52</v>
      </c>
      <c r="M95" t="str">
        <f t="shared" si="3"/>
        <v>Sunday</v>
      </c>
      <c r="N95" t="str">
        <f t="shared" si="4"/>
        <v>Weekday</v>
      </c>
      <c r="O95" t="str">
        <f t="shared" si="5"/>
        <v>Q1</v>
      </c>
    </row>
    <row r="96" spans="1:15">
      <c r="A96">
        <v>11</v>
      </c>
      <c r="B96" t="s">
        <v>8</v>
      </c>
      <c r="C96" t="s">
        <v>9</v>
      </c>
      <c r="D96" t="s">
        <v>10</v>
      </c>
      <c r="E96" t="s">
        <v>11</v>
      </c>
      <c r="F96">
        <v>1157</v>
      </c>
      <c r="G96">
        <v>14</v>
      </c>
      <c r="H96" s="3">
        <v>45100</v>
      </c>
      <c r="I96" t="s">
        <v>82</v>
      </c>
      <c r="J96">
        <v>6</v>
      </c>
      <c r="K96">
        <v>2023</v>
      </c>
      <c r="L96" t="s">
        <v>61</v>
      </c>
      <c r="M96" t="str">
        <f t="shared" si="3"/>
        <v>Friday</v>
      </c>
      <c r="N96" t="str">
        <f t="shared" si="4"/>
        <v>Weekend</v>
      </c>
      <c r="O96" t="str">
        <f t="shared" si="5"/>
        <v>Q2</v>
      </c>
    </row>
    <row r="97" spans="1:15">
      <c r="A97">
        <v>77</v>
      </c>
      <c r="B97" t="s">
        <v>8</v>
      </c>
      <c r="C97" t="s">
        <v>23</v>
      </c>
      <c r="D97" t="s">
        <v>14</v>
      </c>
      <c r="E97" t="s">
        <v>11</v>
      </c>
      <c r="F97">
        <v>1684</v>
      </c>
      <c r="G97">
        <v>10</v>
      </c>
      <c r="H97" s="3">
        <v>45600</v>
      </c>
      <c r="I97" t="s">
        <v>79</v>
      </c>
      <c r="J97">
        <v>11</v>
      </c>
      <c r="K97">
        <v>2024</v>
      </c>
      <c r="L97" t="s">
        <v>73</v>
      </c>
      <c r="M97" t="str">
        <f t="shared" si="3"/>
        <v>Monday</v>
      </c>
      <c r="N97" t="str">
        <f t="shared" si="4"/>
        <v>Weekday</v>
      </c>
      <c r="O97" t="str">
        <f t="shared" si="5"/>
        <v>Q4</v>
      </c>
    </row>
    <row r="98" spans="1:15">
      <c r="A98">
        <v>76</v>
      </c>
      <c r="B98" t="s">
        <v>8</v>
      </c>
      <c r="C98" t="s">
        <v>21</v>
      </c>
      <c r="D98" t="s">
        <v>17</v>
      </c>
      <c r="E98" t="s">
        <v>11</v>
      </c>
      <c r="F98">
        <v>1204</v>
      </c>
      <c r="G98">
        <v>14</v>
      </c>
      <c r="H98" s="3">
        <v>45222</v>
      </c>
      <c r="I98" t="s">
        <v>79</v>
      </c>
      <c r="J98">
        <v>10</v>
      </c>
      <c r="K98">
        <v>2023</v>
      </c>
      <c r="L98" t="s">
        <v>71</v>
      </c>
      <c r="M98" t="str">
        <f t="shared" si="3"/>
        <v>Monday</v>
      </c>
      <c r="N98" t="str">
        <f t="shared" si="4"/>
        <v>Weekday</v>
      </c>
      <c r="O98" t="str">
        <f t="shared" si="5"/>
        <v>Q4</v>
      </c>
    </row>
    <row r="99" spans="1:15">
      <c r="A99">
        <v>16</v>
      </c>
      <c r="B99" t="s">
        <v>8</v>
      </c>
      <c r="C99" t="s">
        <v>19</v>
      </c>
      <c r="D99" t="s">
        <v>24</v>
      </c>
      <c r="E99" t="s">
        <v>22</v>
      </c>
      <c r="F99">
        <v>1101</v>
      </c>
      <c r="G99">
        <v>13</v>
      </c>
      <c r="H99" s="3">
        <v>45185</v>
      </c>
      <c r="I99" t="s">
        <v>82</v>
      </c>
      <c r="J99">
        <v>9</v>
      </c>
      <c r="K99">
        <v>2023</v>
      </c>
      <c r="L99" t="s">
        <v>68</v>
      </c>
      <c r="M99" t="str">
        <f t="shared" si="3"/>
        <v>Saturday</v>
      </c>
      <c r="N99" t="str">
        <f t="shared" si="4"/>
        <v>Weekend</v>
      </c>
      <c r="O99" t="str">
        <f t="shared" si="5"/>
        <v>Q3</v>
      </c>
    </row>
    <row r="100" spans="1:15">
      <c r="A100">
        <v>38</v>
      </c>
      <c r="B100" t="s">
        <v>8</v>
      </c>
      <c r="C100" t="s">
        <v>23</v>
      </c>
      <c r="D100" t="s">
        <v>16</v>
      </c>
      <c r="E100" t="s">
        <v>18</v>
      </c>
      <c r="F100">
        <v>965</v>
      </c>
      <c r="G100">
        <v>3</v>
      </c>
      <c r="H100" s="3">
        <v>45039</v>
      </c>
      <c r="I100" t="s">
        <v>80</v>
      </c>
      <c r="J100">
        <v>4</v>
      </c>
      <c r="K100">
        <v>2023</v>
      </c>
      <c r="L100" t="s">
        <v>57</v>
      </c>
      <c r="M100" t="str">
        <f t="shared" si="3"/>
        <v>Sunday</v>
      </c>
      <c r="N100" t="str">
        <f t="shared" si="4"/>
        <v>Weekday</v>
      </c>
      <c r="O100" t="str">
        <f t="shared" si="5"/>
        <v>Q2</v>
      </c>
    </row>
    <row r="101" spans="1:15">
      <c r="A101">
        <v>37</v>
      </c>
      <c r="B101" t="s">
        <v>12</v>
      </c>
      <c r="C101" t="s">
        <v>23</v>
      </c>
      <c r="D101" t="s">
        <v>17</v>
      </c>
      <c r="E101" t="s">
        <v>11</v>
      </c>
      <c r="F101">
        <v>1309</v>
      </c>
      <c r="G101">
        <v>6</v>
      </c>
      <c r="H101" s="3">
        <v>45459</v>
      </c>
      <c r="I101" t="s">
        <v>80</v>
      </c>
      <c r="J101">
        <v>6</v>
      </c>
      <c r="K101">
        <v>2024</v>
      </c>
      <c r="L101" t="s">
        <v>61</v>
      </c>
      <c r="M101" t="str">
        <f t="shared" si="3"/>
        <v>Sunday</v>
      </c>
      <c r="N101" t="str">
        <f t="shared" si="4"/>
        <v>Weekday</v>
      </c>
      <c r="O101" t="str">
        <f t="shared" si="5"/>
        <v>Q2</v>
      </c>
    </row>
    <row r="102" spans="1:15">
      <c r="A102">
        <v>52</v>
      </c>
      <c r="B102" t="s">
        <v>12</v>
      </c>
      <c r="C102" t="s">
        <v>9</v>
      </c>
      <c r="D102" t="s">
        <v>24</v>
      </c>
      <c r="E102" t="s">
        <v>11</v>
      </c>
      <c r="F102">
        <v>950</v>
      </c>
      <c r="G102">
        <v>8</v>
      </c>
      <c r="H102" s="3">
        <v>45474</v>
      </c>
      <c r="I102" t="s">
        <v>80</v>
      </c>
      <c r="J102">
        <v>7</v>
      </c>
      <c r="K102">
        <v>2024</v>
      </c>
      <c r="L102" t="s">
        <v>64</v>
      </c>
      <c r="M102" t="str">
        <f t="shared" si="3"/>
        <v>Monday</v>
      </c>
      <c r="N102" t="str">
        <f t="shared" si="4"/>
        <v>Weekday</v>
      </c>
      <c r="O102" t="str">
        <f t="shared" si="5"/>
        <v>Q3</v>
      </c>
    </row>
    <row r="103" spans="1:15">
      <c r="A103">
        <v>27</v>
      </c>
      <c r="B103" t="s">
        <v>12</v>
      </c>
      <c r="C103" t="s">
        <v>15</v>
      </c>
      <c r="D103" t="s">
        <v>24</v>
      </c>
      <c r="E103" t="s">
        <v>11</v>
      </c>
      <c r="F103">
        <v>1017</v>
      </c>
      <c r="G103">
        <v>12</v>
      </c>
      <c r="H103" s="3">
        <v>45252</v>
      </c>
      <c r="I103" t="s">
        <v>81</v>
      </c>
      <c r="J103">
        <v>11</v>
      </c>
      <c r="K103">
        <v>2023</v>
      </c>
      <c r="L103" t="s">
        <v>73</v>
      </c>
      <c r="M103" t="str">
        <f t="shared" si="3"/>
        <v>Wednesday</v>
      </c>
      <c r="N103" t="str">
        <f t="shared" si="4"/>
        <v>Weekday</v>
      </c>
      <c r="O103" t="str">
        <f t="shared" si="5"/>
        <v>Q4</v>
      </c>
    </row>
    <row r="104" spans="1:15">
      <c r="A104">
        <v>66</v>
      </c>
      <c r="B104" t="s">
        <v>12</v>
      </c>
      <c r="C104" t="s">
        <v>15</v>
      </c>
      <c r="D104" t="s">
        <v>20</v>
      </c>
      <c r="E104" t="s">
        <v>11</v>
      </c>
      <c r="F104">
        <v>600</v>
      </c>
      <c r="G104">
        <v>13</v>
      </c>
      <c r="H104" s="3">
        <v>45102</v>
      </c>
      <c r="I104" t="s">
        <v>79</v>
      </c>
      <c r="J104">
        <v>6</v>
      </c>
      <c r="K104">
        <v>2023</v>
      </c>
      <c r="L104" t="s">
        <v>61</v>
      </c>
      <c r="M104" t="str">
        <f t="shared" si="3"/>
        <v>Sunday</v>
      </c>
      <c r="N104" t="str">
        <f t="shared" si="4"/>
        <v>Weekday</v>
      </c>
      <c r="O104" t="str">
        <f t="shared" si="5"/>
        <v>Q2</v>
      </c>
    </row>
    <row r="105" spans="1:15">
      <c r="A105">
        <v>41</v>
      </c>
      <c r="B105" t="s">
        <v>8</v>
      </c>
      <c r="C105" t="s">
        <v>15</v>
      </c>
      <c r="D105" t="s">
        <v>16</v>
      </c>
      <c r="E105" t="s">
        <v>18</v>
      </c>
      <c r="F105">
        <v>738</v>
      </c>
      <c r="G105">
        <v>11</v>
      </c>
      <c r="H105" s="3">
        <v>45140</v>
      </c>
      <c r="I105" t="s">
        <v>80</v>
      </c>
      <c r="J105">
        <v>8</v>
      </c>
      <c r="K105">
        <v>2023</v>
      </c>
      <c r="L105" t="s">
        <v>66</v>
      </c>
      <c r="M105" t="str">
        <f t="shared" si="3"/>
        <v>Wednesday</v>
      </c>
      <c r="N105" t="str">
        <f t="shared" si="4"/>
        <v>Weekday</v>
      </c>
      <c r="O105" t="str">
        <f t="shared" si="5"/>
        <v>Q3</v>
      </c>
    </row>
    <row r="106" spans="1:15">
      <c r="A106">
        <v>48</v>
      </c>
      <c r="B106" t="s">
        <v>12</v>
      </c>
      <c r="C106" t="s">
        <v>15</v>
      </c>
      <c r="D106" t="s">
        <v>20</v>
      </c>
      <c r="E106" t="s">
        <v>11</v>
      </c>
      <c r="F106">
        <v>427</v>
      </c>
      <c r="G106">
        <v>12</v>
      </c>
      <c r="H106" s="3">
        <v>45385</v>
      </c>
      <c r="I106" t="s">
        <v>80</v>
      </c>
      <c r="J106">
        <v>4</v>
      </c>
      <c r="K106">
        <v>2024</v>
      </c>
      <c r="L106" t="s">
        <v>57</v>
      </c>
      <c r="M106" t="str">
        <f t="shared" si="3"/>
        <v>Wednesday</v>
      </c>
      <c r="N106" t="str">
        <f t="shared" si="4"/>
        <v>Weekday</v>
      </c>
      <c r="O106" t="str">
        <f t="shared" si="5"/>
        <v>Q2</v>
      </c>
    </row>
    <row r="107" spans="1:15">
      <c r="A107">
        <v>39</v>
      </c>
      <c r="B107" t="s">
        <v>8</v>
      </c>
      <c r="C107" t="s">
        <v>15</v>
      </c>
      <c r="D107" t="s">
        <v>14</v>
      </c>
      <c r="E107" t="s">
        <v>11</v>
      </c>
      <c r="F107">
        <v>1658</v>
      </c>
      <c r="G107">
        <v>1</v>
      </c>
      <c r="H107" s="3">
        <v>45652</v>
      </c>
      <c r="I107" t="s">
        <v>80</v>
      </c>
      <c r="J107">
        <v>12</v>
      </c>
      <c r="K107">
        <v>2024</v>
      </c>
      <c r="L107" t="s">
        <v>75</v>
      </c>
      <c r="M107" t="str">
        <f t="shared" si="3"/>
        <v>Thursday</v>
      </c>
      <c r="N107" t="str">
        <f t="shared" si="4"/>
        <v>Weekday</v>
      </c>
      <c r="O107" t="str">
        <f t="shared" si="5"/>
        <v>Q4</v>
      </c>
    </row>
    <row r="108" spans="1:15">
      <c r="A108">
        <v>69</v>
      </c>
      <c r="B108" t="s">
        <v>12</v>
      </c>
      <c r="C108" t="s">
        <v>13</v>
      </c>
      <c r="D108" t="s">
        <v>20</v>
      </c>
      <c r="E108" t="s">
        <v>18</v>
      </c>
      <c r="F108">
        <v>483</v>
      </c>
      <c r="G108">
        <v>17</v>
      </c>
      <c r="H108" s="3">
        <v>44947</v>
      </c>
      <c r="I108" t="s">
        <v>79</v>
      </c>
      <c r="J108">
        <v>1</v>
      </c>
      <c r="K108">
        <v>2023</v>
      </c>
      <c r="L108" t="s">
        <v>46</v>
      </c>
      <c r="M108" t="str">
        <f t="shared" si="3"/>
        <v>Saturday</v>
      </c>
      <c r="N108" t="str">
        <f t="shared" si="4"/>
        <v>Weekend</v>
      </c>
      <c r="O108" t="str">
        <f t="shared" si="5"/>
        <v>Q1</v>
      </c>
    </row>
    <row r="109" spans="1:15">
      <c r="A109">
        <v>51</v>
      </c>
      <c r="B109" t="s">
        <v>8</v>
      </c>
      <c r="C109" t="s">
        <v>23</v>
      </c>
      <c r="D109" t="s">
        <v>20</v>
      </c>
      <c r="E109" t="s">
        <v>11</v>
      </c>
      <c r="F109">
        <v>554</v>
      </c>
      <c r="G109">
        <v>16</v>
      </c>
      <c r="H109" s="3">
        <v>45132</v>
      </c>
      <c r="I109" t="s">
        <v>80</v>
      </c>
      <c r="J109">
        <v>7</v>
      </c>
      <c r="K109">
        <v>2023</v>
      </c>
      <c r="L109" t="s">
        <v>64</v>
      </c>
      <c r="M109" t="str">
        <f t="shared" si="3"/>
        <v>Tuesday</v>
      </c>
      <c r="N109" t="str">
        <f t="shared" si="4"/>
        <v>Weekday</v>
      </c>
      <c r="O109" t="str">
        <f t="shared" si="5"/>
        <v>Q3</v>
      </c>
    </row>
    <row r="110" spans="1:15">
      <c r="A110">
        <v>7</v>
      </c>
      <c r="B110" t="s">
        <v>8</v>
      </c>
      <c r="C110" t="s">
        <v>15</v>
      </c>
      <c r="D110" t="s">
        <v>17</v>
      </c>
      <c r="E110" t="s">
        <v>11</v>
      </c>
      <c r="F110">
        <v>1216</v>
      </c>
      <c r="G110">
        <v>11</v>
      </c>
      <c r="H110" s="3">
        <v>45005</v>
      </c>
      <c r="I110" t="s">
        <v>82</v>
      </c>
      <c r="J110">
        <v>3</v>
      </c>
      <c r="K110">
        <v>2023</v>
      </c>
      <c r="L110" t="s">
        <v>54</v>
      </c>
      <c r="M110" t="str">
        <f t="shared" si="3"/>
        <v>Monday</v>
      </c>
      <c r="N110" t="str">
        <f t="shared" si="4"/>
        <v>Weekday</v>
      </c>
      <c r="O110" t="str">
        <f t="shared" si="5"/>
        <v>Q1</v>
      </c>
    </row>
    <row r="111" spans="1:15">
      <c r="A111">
        <v>5</v>
      </c>
      <c r="B111" t="s">
        <v>12</v>
      </c>
      <c r="C111" t="s">
        <v>15</v>
      </c>
      <c r="D111" t="s">
        <v>10</v>
      </c>
      <c r="E111" t="s">
        <v>11</v>
      </c>
      <c r="F111">
        <v>901</v>
      </c>
      <c r="G111">
        <v>13</v>
      </c>
      <c r="H111" s="3">
        <v>45094</v>
      </c>
      <c r="I111" t="s">
        <v>82</v>
      </c>
      <c r="J111">
        <v>6</v>
      </c>
      <c r="K111">
        <v>2023</v>
      </c>
      <c r="L111" t="s">
        <v>61</v>
      </c>
      <c r="M111" t="str">
        <f t="shared" si="3"/>
        <v>Saturday</v>
      </c>
      <c r="N111" t="str">
        <f t="shared" si="4"/>
        <v>Weekend</v>
      </c>
      <c r="O111" t="str">
        <f t="shared" si="5"/>
        <v>Q2</v>
      </c>
    </row>
    <row r="112" spans="1:15">
      <c r="A112">
        <v>9</v>
      </c>
      <c r="B112" t="s">
        <v>12</v>
      </c>
      <c r="C112" t="s">
        <v>15</v>
      </c>
      <c r="D112" t="s">
        <v>24</v>
      </c>
      <c r="E112" t="s">
        <v>22</v>
      </c>
      <c r="F112">
        <v>992</v>
      </c>
      <c r="G112">
        <v>18</v>
      </c>
      <c r="H112" s="3">
        <v>45342</v>
      </c>
      <c r="I112" t="s">
        <v>82</v>
      </c>
      <c r="J112">
        <v>2</v>
      </c>
      <c r="K112">
        <v>2024</v>
      </c>
      <c r="L112" t="s">
        <v>52</v>
      </c>
      <c r="M112" t="str">
        <f t="shared" si="3"/>
        <v>Tuesday</v>
      </c>
      <c r="N112" t="str">
        <f t="shared" si="4"/>
        <v>Weekday</v>
      </c>
      <c r="O112" t="str">
        <f t="shared" si="5"/>
        <v>Q1</v>
      </c>
    </row>
    <row r="113" spans="1:15">
      <c r="A113">
        <v>18</v>
      </c>
      <c r="B113" t="s">
        <v>12</v>
      </c>
      <c r="C113" t="s">
        <v>9</v>
      </c>
      <c r="D113" t="s">
        <v>16</v>
      </c>
      <c r="E113" t="s">
        <v>11</v>
      </c>
      <c r="F113">
        <v>865</v>
      </c>
      <c r="G113">
        <v>11</v>
      </c>
      <c r="H113" s="3">
        <v>45191</v>
      </c>
      <c r="I113" t="s">
        <v>81</v>
      </c>
      <c r="J113">
        <v>9</v>
      </c>
      <c r="K113">
        <v>2023</v>
      </c>
      <c r="L113" t="s">
        <v>68</v>
      </c>
      <c r="M113" t="str">
        <f t="shared" si="3"/>
        <v>Friday</v>
      </c>
      <c r="N113" t="str">
        <f t="shared" si="4"/>
        <v>Weekend</v>
      </c>
      <c r="O113" t="str">
        <f t="shared" si="5"/>
        <v>Q3</v>
      </c>
    </row>
    <row r="114" spans="1:15">
      <c r="A114">
        <v>31</v>
      </c>
      <c r="B114" t="s">
        <v>12</v>
      </c>
      <c r="C114" t="s">
        <v>9</v>
      </c>
      <c r="D114" t="s">
        <v>20</v>
      </c>
      <c r="E114" t="s">
        <v>11</v>
      </c>
      <c r="F114">
        <v>695</v>
      </c>
      <c r="G114">
        <v>12</v>
      </c>
      <c r="H114" s="3">
        <v>45312</v>
      </c>
      <c r="I114" t="s">
        <v>81</v>
      </c>
      <c r="J114">
        <v>1</v>
      </c>
      <c r="K114">
        <v>2024</v>
      </c>
      <c r="L114" t="s">
        <v>46</v>
      </c>
      <c r="M114" t="str">
        <f t="shared" si="3"/>
        <v>Sunday</v>
      </c>
      <c r="N114" t="str">
        <f t="shared" si="4"/>
        <v>Weekday</v>
      </c>
      <c r="O114" t="str">
        <f t="shared" si="5"/>
        <v>Q1</v>
      </c>
    </row>
    <row r="115" spans="1:15">
      <c r="A115">
        <v>13</v>
      </c>
      <c r="B115" t="s">
        <v>12</v>
      </c>
      <c r="C115" t="s">
        <v>25</v>
      </c>
      <c r="D115" t="s">
        <v>16</v>
      </c>
      <c r="E115" t="s">
        <v>11</v>
      </c>
      <c r="F115">
        <v>957</v>
      </c>
      <c r="G115">
        <v>6</v>
      </c>
      <c r="H115" s="3">
        <v>45078</v>
      </c>
      <c r="I115" t="s">
        <v>82</v>
      </c>
      <c r="J115">
        <v>6</v>
      </c>
      <c r="K115">
        <v>2023</v>
      </c>
      <c r="L115" t="s">
        <v>61</v>
      </c>
      <c r="M115" t="str">
        <f t="shared" si="3"/>
        <v>Thursday</v>
      </c>
      <c r="N115" t="str">
        <f t="shared" si="4"/>
        <v>Weekday</v>
      </c>
      <c r="O115" t="str">
        <f t="shared" si="5"/>
        <v>Q2</v>
      </c>
    </row>
    <row r="116" spans="1:15">
      <c r="A116">
        <v>19</v>
      </c>
      <c r="B116" t="s">
        <v>12</v>
      </c>
      <c r="C116" t="s">
        <v>15</v>
      </c>
      <c r="D116" t="s">
        <v>10</v>
      </c>
      <c r="E116" t="s">
        <v>11</v>
      </c>
      <c r="F116">
        <v>980</v>
      </c>
      <c r="G116">
        <v>9</v>
      </c>
      <c r="H116" s="3">
        <v>45097</v>
      </c>
      <c r="I116" t="s">
        <v>81</v>
      </c>
      <c r="J116">
        <v>6</v>
      </c>
      <c r="K116">
        <v>2023</v>
      </c>
      <c r="L116" t="s">
        <v>61</v>
      </c>
      <c r="M116" t="str">
        <f t="shared" si="3"/>
        <v>Tuesday</v>
      </c>
      <c r="N116" t="str">
        <f t="shared" si="4"/>
        <v>Weekday</v>
      </c>
      <c r="O116" t="str">
        <f t="shared" si="5"/>
        <v>Q2</v>
      </c>
    </row>
    <row r="117" spans="1:15">
      <c r="A117">
        <v>46</v>
      </c>
      <c r="B117" t="s">
        <v>12</v>
      </c>
      <c r="C117" t="s">
        <v>25</v>
      </c>
      <c r="D117" t="s">
        <v>10</v>
      </c>
      <c r="E117" t="s">
        <v>18</v>
      </c>
      <c r="F117">
        <v>1167</v>
      </c>
      <c r="G117">
        <v>16</v>
      </c>
      <c r="H117" s="3">
        <v>45052</v>
      </c>
      <c r="I117" t="s">
        <v>80</v>
      </c>
      <c r="J117">
        <v>5</v>
      </c>
      <c r="K117">
        <v>2023</v>
      </c>
      <c r="L117" t="s">
        <v>59</v>
      </c>
      <c r="M117" t="str">
        <f t="shared" si="3"/>
        <v>Saturday</v>
      </c>
      <c r="N117" t="str">
        <f t="shared" si="4"/>
        <v>Weekend</v>
      </c>
      <c r="O117" t="str">
        <f t="shared" si="5"/>
        <v>Q2</v>
      </c>
    </row>
    <row r="118" spans="1:15">
      <c r="A118">
        <v>55</v>
      </c>
      <c r="B118" t="s">
        <v>8</v>
      </c>
      <c r="C118" t="s">
        <v>26</v>
      </c>
      <c r="D118" t="s">
        <v>20</v>
      </c>
      <c r="E118" t="s">
        <v>18</v>
      </c>
      <c r="F118">
        <v>634</v>
      </c>
      <c r="G118">
        <v>4</v>
      </c>
      <c r="H118" s="3">
        <v>45061</v>
      </c>
      <c r="I118" t="s">
        <v>80</v>
      </c>
      <c r="J118">
        <v>5</v>
      </c>
      <c r="K118">
        <v>2023</v>
      </c>
      <c r="L118" t="s">
        <v>59</v>
      </c>
      <c r="M118" t="str">
        <f t="shared" si="3"/>
        <v>Monday</v>
      </c>
      <c r="N118" t="str">
        <f t="shared" si="4"/>
        <v>Weekday</v>
      </c>
      <c r="O118" t="str">
        <f t="shared" si="5"/>
        <v>Q2</v>
      </c>
    </row>
    <row r="119" spans="1:15">
      <c r="A119">
        <v>67</v>
      </c>
      <c r="B119" t="s">
        <v>8</v>
      </c>
      <c r="C119" t="s">
        <v>15</v>
      </c>
      <c r="D119" t="s">
        <v>14</v>
      </c>
      <c r="E119" t="s">
        <v>11</v>
      </c>
      <c r="F119">
        <v>1612</v>
      </c>
      <c r="G119">
        <v>3</v>
      </c>
      <c r="H119" s="3">
        <v>44952</v>
      </c>
      <c r="I119" t="s">
        <v>79</v>
      </c>
      <c r="J119">
        <v>1</v>
      </c>
      <c r="K119">
        <v>2023</v>
      </c>
      <c r="L119" t="s">
        <v>46</v>
      </c>
      <c r="M119" t="str">
        <f t="shared" si="3"/>
        <v>Thursday</v>
      </c>
      <c r="N119" t="str">
        <f t="shared" si="4"/>
        <v>Weekday</v>
      </c>
      <c r="O119" t="str">
        <f t="shared" si="5"/>
        <v>Q1</v>
      </c>
    </row>
    <row r="120" spans="1:15">
      <c r="A120">
        <v>56</v>
      </c>
      <c r="B120" t="s">
        <v>8</v>
      </c>
      <c r="C120" t="s">
        <v>25</v>
      </c>
      <c r="D120" t="s">
        <v>20</v>
      </c>
      <c r="E120" t="s">
        <v>11</v>
      </c>
      <c r="F120">
        <v>461</v>
      </c>
      <c r="G120">
        <v>16</v>
      </c>
      <c r="H120" s="3">
        <v>45591</v>
      </c>
      <c r="I120" t="s">
        <v>79</v>
      </c>
      <c r="J120">
        <v>10</v>
      </c>
      <c r="K120">
        <v>2024</v>
      </c>
      <c r="L120" t="s">
        <v>71</v>
      </c>
      <c r="M120" t="str">
        <f t="shared" si="3"/>
        <v>Saturday</v>
      </c>
      <c r="N120" t="str">
        <f t="shared" si="4"/>
        <v>Weekend</v>
      </c>
      <c r="O120" t="str">
        <f t="shared" si="5"/>
        <v>Q4</v>
      </c>
    </row>
    <row r="121" spans="1:15">
      <c r="A121">
        <v>8</v>
      </c>
      <c r="B121" t="s">
        <v>12</v>
      </c>
      <c r="C121" t="s">
        <v>19</v>
      </c>
      <c r="D121" t="s">
        <v>17</v>
      </c>
      <c r="E121" t="s">
        <v>11</v>
      </c>
      <c r="F121">
        <v>1148</v>
      </c>
      <c r="G121">
        <v>12</v>
      </c>
      <c r="H121" s="3">
        <v>45274</v>
      </c>
      <c r="I121" t="s">
        <v>82</v>
      </c>
      <c r="J121">
        <v>12</v>
      </c>
      <c r="K121">
        <v>2023</v>
      </c>
      <c r="L121" t="s">
        <v>75</v>
      </c>
      <c r="M121" t="str">
        <f t="shared" si="3"/>
        <v>Thursday</v>
      </c>
      <c r="N121" t="str">
        <f t="shared" si="4"/>
        <v>Weekday</v>
      </c>
      <c r="O121" t="str">
        <f t="shared" si="5"/>
        <v>Q4</v>
      </c>
    </row>
    <row r="122" spans="1:15">
      <c r="A122">
        <v>27</v>
      </c>
      <c r="B122" t="s">
        <v>8</v>
      </c>
      <c r="C122" t="s">
        <v>9</v>
      </c>
      <c r="D122" t="s">
        <v>24</v>
      </c>
      <c r="E122" t="s">
        <v>11</v>
      </c>
      <c r="F122">
        <v>1026</v>
      </c>
      <c r="G122">
        <v>11</v>
      </c>
      <c r="H122" s="3">
        <v>45066</v>
      </c>
      <c r="I122" t="s">
        <v>81</v>
      </c>
      <c r="J122">
        <v>5</v>
      </c>
      <c r="K122">
        <v>2023</v>
      </c>
      <c r="L122" t="s">
        <v>59</v>
      </c>
      <c r="M122" t="str">
        <f t="shared" si="3"/>
        <v>Saturday</v>
      </c>
      <c r="N122" t="str">
        <f t="shared" si="4"/>
        <v>Weekend</v>
      </c>
      <c r="O122" t="str">
        <f t="shared" si="5"/>
        <v>Q2</v>
      </c>
    </row>
    <row r="123" spans="1:15">
      <c r="A123">
        <v>19</v>
      </c>
      <c r="B123" t="s">
        <v>12</v>
      </c>
      <c r="C123" t="s">
        <v>9</v>
      </c>
      <c r="D123" t="s">
        <v>14</v>
      </c>
      <c r="E123" t="s">
        <v>11</v>
      </c>
      <c r="F123">
        <v>1622</v>
      </c>
      <c r="G123">
        <v>5</v>
      </c>
      <c r="H123" s="3">
        <v>44972</v>
      </c>
      <c r="I123" t="s">
        <v>81</v>
      </c>
      <c r="J123">
        <v>2</v>
      </c>
      <c r="K123">
        <v>2023</v>
      </c>
      <c r="L123" t="s">
        <v>52</v>
      </c>
      <c r="M123" t="str">
        <f t="shared" si="3"/>
        <v>Wednesday</v>
      </c>
      <c r="N123" t="str">
        <f t="shared" si="4"/>
        <v>Weekday</v>
      </c>
      <c r="O123" t="str">
        <f t="shared" si="5"/>
        <v>Q1</v>
      </c>
    </row>
    <row r="124" spans="1:15">
      <c r="A124">
        <v>47</v>
      </c>
      <c r="B124" t="s">
        <v>12</v>
      </c>
      <c r="C124" t="s">
        <v>25</v>
      </c>
      <c r="D124" t="s">
        <v>20</v>
      </c>
      <c r="E124" t="s">
        <v>18</v>
      </c>
      <c r="F124">
        <v>678</v>
      </c>
      <c r="G124">
        <v>18</v>
      </c>
      <c r="H124" s="3">
        <v>45487</v>
      </c>
      <c r="I124" t="s">
        <v>80</v>
      </c>
      <c r="J124">
        <v>7</v>
      </c>
      <c r="K124">
        <v>2024</v>
      </c>
      <c r="L124" t="s">
        <v>64</v>
      </c>
      <c r="M124" t="str">
        <f t="shared" si="3"/>
        <v>Sunday</v>
      </c>
      <c r="N124" t="str">
        <f t="shared" si="4"/>
        <v>Weekday</v>
      </c>
      <c r="O124" t="str">
        <f t="shared" si="5"/>
        <v>Q3</v>
      </c>
    </row>
    <row r="125" spans="1:15">
      <c r="A125">
        <v>33</v>
      </c>
      <c r="B125" t="s">
        <v>8</v>
      </c>
      <c r="C125" t="s">
        <v>19</v>
      </c>
      <c r="D125" t="s">
        <v>16</v>
      </c>
      <c r="E125" t="s">
        <v>11</v>
      </c>
      <c r="F125">
        <v>993</v>
      </c>
      <c r="G125">
        <v>19</v>
      </c>
      <c r="H125" s="3">
        <v>45376</v>
      </c>
      <c r="I125" t="s">
        <v>81</v>
      </c>
      <c r="J125">
        <v>3</v>
      </c>
      <c r="K125">
        <v>2024</v>
      </c>
      <c r="L125" t="s">
        <v>54</v>
      </c>
      <c r="M125" t="str">
        <f t="shared" si="3"/>
        <v>Monday</v>
      </c>
      <c r="N125" t="str">
        <f t="shared" si="4"/>
        <v>Weekday</v>
      </c>
      <c r="O125" t="str">
        <f t="shared" si="5"/>
        <v>Q1</v>
      </c>
    </row>
    <row r="126" spans="1:15">
      <c r="A126">
        <v>40</v>
      </c>
      <c r="B126" t="s">
        <v>12</v>
      </c>
      <c r="C126" t="s">
        <v>25</v>
      </c>
      <c r="D126" t="s">
        <v>14</v>
      </c>
      <c r="E126" t="s">
        <v>11</v>
      </c>
      <c r="F126">
        <v>1683</v>
      </c>
      <c r="G126">
        <v>6</v>
      </c>
      <c r="H126" s="3">
        <v>45403</v>
      </c>
      <c r="I126" t="s">
        <v>80</v>
      </c>
      <c r="J126">
        <v>4</v>
      </c>
      <c r="K126">
        <v>2024</v>
      </c>
      <c r="L126" t="s">
        <v>57</v>
      </c>
      <c r="M126" t="str">
        <f t="shared" si="3"/>
        <v>Sunday</v>
      </c>
      <c r="N126" t="str">
        <f t="shared" si="4"/>
        <v>Weekday</v>
      </c>
      <c r="O126" t="str">
        <f t="shared" si="5"/>
        <v>Q2</v>
      </c>
    </row>
    <row r="127" spans="1:15">
      <c r="A127">
        <v>17</v>
      </c>
      <c r="B127" t="s">
        <v>8</v>
      </c>
      <c r="C127" t="s">
        <v>21</v>
      </c>
      <c r="D127" t="s">
        <v>14</v>
      </c>
      <c r="E127" t="s">
        <v>11</v>
      </c>
      <c r="F127">
        <v>1676</v>
      </c>
      <c r="G127">
        <v>18</v>
      </c>
      <c r="H127" s="3">
        <v>45375</v>
      </c>
      <c r="I127" t="s">
        <v>82</v>
      </c>
      <c r="J127">
        <v>3</v>
      </c>
      <c r="K127">
        <v>2024</v>
      </c>
      <c r="L127" t="s">
        <v>54</v>
      </c>
      <c r="M127" t="str">
        <f t="shared" si="3"/>
        <v>Sunday</v>
      </c>
      <c r="N127" t="str">
        <f t="shared" si="4"/>
        <v>Weekday</v>
      </c>
      <c r="O127" t="str">
        <f t="shared" si="5"/>
        <v>Q1</v>
      </c>
    </row>
    <row r="128" spans="1:15">
      <c r="A128">
        <v>36</v>
      </c>
      <c r="B128" t="s">
        <v>8</v>
      </c>
      <c r="C128" t="s">
        <v>19</v>
      </c>
      <c r="D128" t="s">
        <v>20</v>
      </c>
      <c r="E128" t="s">
        <v>18</v>
      </c>
      <c r="F128">
        <v>506</v>
      </c>
      <c r="G128">
        <v>6</v>
      </c>
      <c r="H128" s="3">
        <v>45010</v>
      </c>
      <c r="I128" t="s">
        <v>80</v>
      </c>
      <c r="J128">
        <v>3</v>
      </c>
      <c r="K128">
        <v>2023</v>
      </c>
      <c r="L128" t="s">
        <v>54</v>
      </c>
      <c r="M128" t="str">
        <f t="shared" si="3"/>
        <v>Saturday</v>
      </c>
      <c r="N128" t="str">
        <f t="shared" si="4"/>
        <v>Weekend</v>
      </c>
      <c r="O128" t="str">
        <f t="shared" si="5"/>
        <v>Q1</v>
      </c>
    </row>
    <row r="129" spans="1:15">
      <c r="A129">
        <v>75</v>
      </c>
      <c r="B129" t="s">
        <v>12</v>
      </c>
      <c r="C129" t="s">
        <v>26</v>
      </c>
      <c r="D129" t="s">
        <v>14</v>
      </c>
      <c r="E129" t="s">
        <v>18</v>
      </c>
      <c r="F129">
        <v>1545</v>
      </c>
      <c r="G129">
        <v>4</v>
      </c>
      <c r="H129" s="3">
        <v>45042</v>
      </c>
      <c r="I129" t="s">
        <v>79</v>
      </c>
      <c r="J129">
        <v>4</v>
      </c>
      <c r="K129">
        <v>2023</v>
      </c>
      <c r="L129" t="s">
        <v>57</v>
      </c>
      <c r="M129" t="str">
        <f t="shared" si="3"/>
        <v>Wednesday</v>
      </c>
      <c r="N129" t="str">
        <f t="shared" si="4"/>
        <v>Weekday</v>
      </c>
      <c r="O129" t="str">
        <f t="shared" si="5"/>
        <v>Q2</v>
      </c>
    </row>
    <row r="130" spans="1:15">
      <c r="A130">
        <v>63</v>
      </c>
      <c r="B130" t="s">
        <v>12</v>
      </c>
      <c r="C130" t="s">
        <v>19</v>
      </c>
      <c r="D130" t="s">
        <v>16</v>
      </c>
      <c r="E130" t="s">
        <v>22</v>
      </c>
      <c r="F130">
        <v>798</v>
      </c>
      <c r="G130">
        <v>12</v>
      </c>
      <c r="H130" s="3">
        <v>45051</v>
      </c>
      <c r="I130" t="s">
        <v>79</v>
      </c>
      <c r="J130">
        <v>5</v>
      </c>
      <c r="K130">
        <v>2023</v>
      </c>
      <c r="L130" t="s">
        <v>59</v>
      </c>
      <c r="M130" t="str">
        <f t="shared" ref="M130:M193" si="6">TEXT(H130,"dddd")</f>
        <v>Friday</v>
      </c>
      <c r="N130" t="str">
        <f t="shared" ref="N130:N193" si="7">IF(WEEKDAY(H130,1)&gt;5,"Weekend","Weekday")</f>
        <v>Weekend</v>
      </c>
      <c r="O130" t="str">
        <f t="shared" ref="O130:O193" si="8">"Q"&amp;CEILING(MONTH(H130)/3,1)</f>
        <v>Q2</v>
      </c>
    </row>
    <row r="131" spans="1:15">
      <c r="A131">
        <v>32</v>
      </c>
      <c r="B131" t="s">
        <v>12</v>
      </c>
      <c r="C131" t="s">
        <v>19</v>
      </c>
      <c r="D131" t="s">
        <v>10</v>
      </c>
      <c r="E131" t="s">
        <v>11</v>
      </c>
      <c r="F131">
        <v>972</v>
      </c>
      <c r="G131">
        <v>19</v>
      </c>
      <c r="H131" s="3">
        <v>45297</v>
      </c>
      <c r="I131" t="s">
        <v>81</v>
      </c>
      <c r="J131">
        <v>1</v>
      </c>
      <c r="K131">
        <v>2024</v>
      </c>
      <c r="L131" t="s">
        <v>46</v>
      </c>
      <c r="M131" t="str">
        <f t="shared" si="6"/>
        <v>Saturday</v>
      </c>
      <c r="N131" t="str">
        <f t="shared" si="7"/>
        <v>Weekend</v>
      </c>
      <c r="O131" t="str">
        <f t="shared" si="8"/>
        <v>Q1</v>
      </c>
    </row>
    <row r="132" spans="1:15">
      <c r="A132">
        <v>70</v>
      </c>
      <c r="B132" t="s">
        <v>8</v>
      </c>
      <c r="C132" t="s">
        <v>19</v>
      </c>
      <c r="D132" t="s">
        <v>14</v>
      </c>
      <c r="E132" t="s">
        <v>11</v>
      </c>
      <c r="F132">
        <v>1521</v>
      </c>
      <c r="G132">
        <v>2</v>
      </c>
      <c r="H132" s="3">
        <v>45033</v>
      </c>
      <c r="I132" t="s">
        <v>79</v>
      </c>
      <c r="J132">
        <v>4</v>
      </c>
      <c r="K132">
        <v>2023</v>
      </c>
      <c r="L132" t="s">
        <v>57</v>
      </c>
      <c r="M132" t="str">
        <f t="shared" si="6"/>
        <v>Monday</v>
      </c>
      <c r="N132" t="str">
        <f t="shared" si="7"/>
        <v>Weekday</v>
      </c>
      <c r="O132" t="str">
        <f t="shared" si="8"/>
        <v>Q2</v>
      </c>
    </row>
    <row r="133" spans="1:15">
      <c r="A133">
        <v>46</v>
      </c>
      <c r="B133" t="s">
        <v>12</v>
      </c>
      <c r="C133" t="s">
        <v>15</v>
      </c>
      <c r="D133" t="s">
        <v>10</v>
      </c>
      <c r="E133" t="s">
        <v>18</v>
      </c>
      <c r="F133">
        <v>929</v>
      </c>
      <c r="G133">
        <v>17</v>
      </c>
      <c r="H133" s="3">
        <v>45271</v>
      </c>
      <c r="I133" t="s">
        <v>80</v>
      </c>
      <c r="J133">
        <v>12</v>
      </c>
      <c r="K133">
        <v>2023</v>
      </c>
      <c r="L133" t="s">
        <v>75</v>
      </c>
      <c r="M133" t="str">
        <f t="shared" si="6"/>
        <v>Monday</v>
      </c>
      <c r="N133" t="str">
        <f t="shared" si="7"/>
        <v>Weekday</v>
      </c>
      <c r="O133" t="str">
        <f t="shared" si="8"/>
        <v>Q4</v>
      </c>
    </row>
    <row r="134" spans="1:15">
      <c r="A134">
        <v>49</v>
      </c>
      <c r="B134" t="s">
        <v>12</v>
      </c>
      <c r="C134" t="s">
        <v>23</v>
      </c>
      <c r="D134" t="s">
        <v>16</v>
      </c>
      <c r="E134" t="s">
        <v>11</v>
      </c>
      <c r="F134">
        <v>887</v>
      </c>
      <c r="G134">
        <v>11</v>
      </c>
      <c r="H134" s="3">
        <v>45642</v>
      </c>
      <c r="I134" t="s">
        <v>80</v>
      </c>
      <c r="J134">
        <v>12</v>
      </c>
      <c r="K134">
        <v>2024</v>
      </c>
      <c r="L134" t="s">
        <v>75</v>
      </c>
      <c r="M134" t="str">
        <f t="shared" si="6"/>
        <v>Monday</v>
      </c>
      <c r="N134" t="str">
        <f t="shared" si="7"/>
        <v>Weekday</v>
      </c>
      <c r="O134" t="str">
        <f t="shared" si="8"/>
        <v>Q4</v>
      </c>
    </row>
    <row r="135" spans="1:15">
      <c r="A135">
        <v>66</v>
      </c>
      <c r="B135" t="s">
        <v>12</v>
      </c>
      <c r="C135" t="s">
        <v>9</v>
      </c>
      <c r="D135" t="s">
        <v>20</v>
      </c>
      <c r="E135" t="s">
        <v>11</v>
      </c>
      <c r="F135">
        <v>687</v>
      </c>
      <c r="G135">
        <v>11</v>
      </c>
      <c r="H135" s="3">
        <v>45608</v>
      </c>
      <c r="I135" t="s">
        <v>79</v>
      </c>
      <c r="J135">
        <v>11</v>
      </c>
      <c r="K135">
        <v>2024</v>
      </c>
      <c r="L135" t="s">
        <v>73</v>
      </c>
      <c r="M135" t="str">
        <f t="shared" si="6"/>
        <v>Tuesday</v>
      </c>
      <c r="N135" t="str">
        <f t="shared" si="7"/>
        <v>Weekday</v>
      </c>
      <c r="O135" t="str">
        <f t="shared" si="8"/>
        <v>Q4</v>
      </c>
    </row>
    <row r="136" spans="1:15">
      <c r="A136">
        <v>61</v>
      </c>
      <c r="B136" t="s">
        <v>8</v>
      </c>
      <c r="C136" t="s">
        <v>9</v>
      </c>
      <c r="D136" t="s">
        <v>24</v>
      </c>
      <c r="E136" t="s">
        <v>18</v>
      </c>
      <c r="F136">
        <v>1094</v>
      </c>
      <c r="G136">
        <v>16</v>
      </c>
      <c r="H136" s="3">
        <v>45519</v>
      </c>
      <c r="I136" t="s">
        <v>79</v>
      </c>
      <c r="J136">
        <v>8</v>
      </c>
      <c r="K136">
        <v>2024</v>
      </c>
      <c r="L136" t="s">
        <v>66</v>
      </c>
      <c r="M136" t="str">
        <f t="shared" si="6"/>
        <v>Thursday</v>
      </c>
      <c r="N136" t="str">
        <f t="shared" si="7"/>
        <v>Weekday</v>
      </c>
      <c r="O136" t="str">
        <f t="shared" si="8"/>
        <v>Q3</v>
      </c>
    </row>
    <row r="137" spans="1:15">
      <c r="A137">
        <v>10</v>
      </c>
      <c r="B137" t="s">
        <v>12</v>
      </c>
      <c r="C137" t="s">
        <v>21</v>
      </c>
      <c r="D137" t="s">
        <v>14</v>
      </c>
      <c r="E137" t="s">
        <v>18</v>
      </c>
      <c r="F137">
        <v>1555</v>
      </c>
      <c r="G137">
        <v>2</v>
      </c>
      <c r="H137" s="3">
        <v>45222</v>
      </c>
      <c r="I137" t="s">
        <v>82</v>
      </c>
      <c r="J137">
        <v>10</v>
      </c>
      <c r="K137">
        <v>2023</v>
      </c>
      <c r="L137" t="s">
        <v>71</v>
      </c>
      <c r="M137" t="str">
        <f t="shared" si="6"/>
        <v>Monday</v>
      </c>
      <c r="N137" t="str">
        <f t="shared" si="7"/>
        <v>Weekday</v>
      </c>
      <c r="O137" t="str">
        <f t="shared" si="8"/>
        <v>Q4</v>
      </c>
    </row>
    <row r="138" spans="1:15">
      <c r="A138">
        <v>32</v>
      </c>
      <c r="B138" t="s">
        <v>12</v>
      </c>
      <c r="C138" t="s">
        <v>15</v>
      </c>
      <c r="D138" t="s">
        <v>24</v>
      </c>
      <c r="E138" t="s">
        <v>11</v>
      </c>
      <c r="F138">
        <v>1071</v>
      </c>
      <c r="G138">
        <v>2</v>
      </c>
      <c r="H138" s="3">
        <v>45111</v>
      </c>
      <c r="I138" t="s">
        <v>81</v>
      </c>
      <c r="J138">
        <v>7</v>
      </c>
      <c r="K138">
        <v>2023</v>
      </c>
      <c r="L138" t="s">
        <v>64</v>
      </c>
      <c r="M138" t="str">
        <f t="shared" si="6"/>
        <v>Tuesday</v>
      </c>
      <c r="N138" t="str">
        <f t="shared" si="7"/>
        <v>Weekday</v>
      </c>
      <c r="O138" t="str">
        <f t="shared" si="8"/>
        <v>Q3</v>
      </c>
    </row>
    <row r="139" spans="1:15">
      <c r="A139">
        <v>32</v>
      </c>
      <c r="B139" t="s">
        <v>8</v>
      </c>
      <c r="C139" t="s">
        <v>9</v>
      </c>
      <c r="D139" t="s">
        <v>16</v>
      </c>
      <c r="E139" t="s">
        <v>11</v>
      </c>
      <c r="F139">
        <v>740</v>
      </c>
      <c r="G139">
        <v>8</v>
      </c>
      <c r="H139" s="3">
        <v>45562</v>
      </c>
      <c r="I139" t="s">
        <v>81</v>
      </c>
      <c r="J139">
        <v>9</v>
      </c>
      <c r="K139">
        <v>2024</v>
      </c>
      <c r="L139" t="s">
        <v>68</v>
      </c>
      <c r="M139" t="str">
        <f t="shared" si="6"/>
        <v>Friday</v>
      </c>
      <c r="N139" t="str">
        <f t="shared" si="7"/>
        <v>Weekend</v>
      </c>
      <c r="O139" t="str">
        <f t="shared" si="8"/>
        <v>Q3</v>
      </c>
    </row>
    <row r="140" spans="1:15">
      <c r="A140">
        <v>48</v>
      </c>
      <c r="B140" t="s">
        <v>8</v>
      </c>
      <c r="C140" t="s">
        <v>23</v>
      </c>
      <c r="D140" t="s">
        <v>14</v>
      </c>
      <c r="E140" t="s">
        <v>11</v>
      </c>
      <c r="F140">
        <v>1462</v>
      </c>
      <c r="G140">
        <v>13</v>
      </c>
      <c r="H140" s="3">
        <v>45064</v>
      </c>
      <c r="I140" t="s">
        <v>80</v>
      </c>
      <c r="J140">
        <v>5</v>
      </c>
      <c r="K140">
        <v>2023</v>
      </c>
      <c r="L140" t="s">
        <v>59</v>
      </c>
      <c r="M140" t="str">
        <f t="shared" si="6"/>
        <v>Thursday</v>
      </c>
      <c r="N140" t="str">
        <f t="shared" si="7"/>
        <v>Weekday</v>
      </c>
      <c r="O140" t="str">
        <f t="shared" si="8"/>
        <v>Q2</v>
      </c>
    </row>
    <row r="141" spans="1:15">
      <c r="A141">
        <v>34</v>
      </c>
      <c r="B141" t="s">
        <v>12</v>
      </c>
      <c r="C141" t="s">
        <v>25</v>
      </c>
      <c r="D141" t="s">
        <v>10</v>
      </c>
      <c r="E141" t="s">
        <v>11</v>
      </c>
      <c r="F141">
        <v>922</v>
      </c>
      <c r="G141">
        <v>10</v>
      </c>
      <c r="H141" s="3">
        <v>45586</v>
      </c>
      <c r="I141" t="s">
        <v>81</v>
      </c>
      <c r="J141">
        <v>10</v>
      </c>
      <c r="K141">
        <v>2024</v>
      </c>
      <c r="L141" t="s">
        <v>71</v>
      </c>
      <c r="M141" t="str">
        <f t="shared" si="6"/>
        <v>Monday</v>
      </c>
      <c r="N141" t="str">
        <f t="shared" si="7"/>
        <v>Weekday</v>
      </c>
      <c r="O141" t="str">
        <f t="shared" si="8"/>
        <v>Q4</v>
      </c>
    </row>
    <row r="142" spans="1:15">
      <c r="A142">
        <v>66</v>
      </c>
      <c r="B142" t="s">
        <v>12</v>
      </c>
      <c r="C142" t="s">
        <v>9</v>
      </c>
      <c r="D142" t="s">
        <v>17</v>
      </c>
      <c r="E142" t="s">
        <v>11</v>
      </c>
      <c r="F142">
        <v>1174</v>
      </c>
      <c r="G142">
        <v>8</v>
      </c>
      <c r="H142" s="3">
        <v>45385</v>
      </c>
      <c r="I142" t="s">
        <v>79</v>
      </c>
      <c r="J142">
        <v>4</v>
      </c>
      <c r="K142">
        <v>2024</v>
      </c>
      <c r="L142" t="s">
        <v>57</v>
      </c>
      <c r="M142" t="str">
        <f t="shared" si="6"/>
        <v>Wednesday</v>
      </c>
      <c r="N142" t="str">
        <f t="shared" si="7"/>
        <v>Weekday</v>
      </c>
      <c r="O142" t="str">
        <f t="shared" si="8"/>
        <v>Q2</v>
      </c>
    </row>
    <row r="143" spans="1:15">
      <c r="A143">
        <v>79</v>
      </c>
      <c r="B143" t="s">
        <v>12</v>
      </c>
      <c r="C143" t="s">
        <v>25</v>
      </c>
      <c r="D143" t="s">
        <v>24</v>
      </c>
      <c r="E143" t="s">
        <v>18</v>
      </c>
      <c r="F143">
        <v>947</v>
      </c>
      <c r="G143">
        <v>4</v>
      </c>
      <c r="H143" s="3">
        <v>45160</v>
      </c>
      <c r="I143" t="s">
        <v>79</v>
      </c>
      <c r="J143">
        <v>8</v>
      </c>
      <c r="K143">
        <v>2023</v>
      </c>
      <c r="L143" t="s">
        <v>66</v>
      </c>
      <c r="M143" t="str">
        <f t="shared" si="6"/>
        <v>Tuesday</v>
      </c>
      <c r="N143" t="str">
        <f t="shared" si="7"/>
        <v>Weekday</v>
      </c>
      <c r="O143" t="str">
        <f t="shared" si="8"/>
        <v>Q3</v>
      </c>
    </row>
    <row r="144" spans="1:15">
      <c r="A144">
        <v>66</v>
      </c>
      <c r="B144" t="s">
        <v>8</v>
      </c>
      <c r="C144" t="s">
        <v>23</v>
      </c>
      <c r="D144" t="s">
        <v>14</v>
      </c>
      <c r="E144" t="s">
        <v>18</v>
      </c>
      <c r="F144">
        <v>1559</v>
      </c>
      <c r="G144">
        <v>15</v>
      </c>
      <c r="H144" s="3">
        <v>45543</v>
      </c>
      <c r="I144" t="s">
        <v>79</v>
      </c>
      <c r="J144">
        <v>9</v>
      </c>
      <c r="K144">
        <v>2024</v>
      </c>
      <c r="L144" t="s">
        <v>68</v>
      </c>
      <c r="M144" t="str">
        <f t="shared" si="6"/>
        <v>Sunday</v>
      </c>
      <c r="N144" t="str">
        <f t="shared" si="7"/>
        <v>Weekday</v>
      </c>
      <c r="O144" t="str">
        <f t="shared" si="8"/>
        <v>Q3</v>
      </c>
    </row>
    <row r="145" spans="1:15">
      <c r="A145">
        <v>5</v>
      </c>
      <c r="B145" t="s">
        <v>12</v>
      </c>
      <c r="C145" t="s">
        <v>15</v>
      </c>
      <c r="D145" t="s">
        <v>24</v>
      </c>
      <c r="E145" t="s">
        <v>18</v>
      </c>
      <c r="F145">
        <v>1017</v>
      </c>
      <c r="G145">
        <v>1</v>
      </c>
      <c r="H145" s="3">
        <v>45496</v>
      </c>
      <c r="I145" t="s">
        <v>82</v>
      </c>
      <c r="J145">
        <v>7</v>
      </c>
      <c r="K145">
        <v>2024</v>
      </c>
      <c r="L145" t="s">
        <v>64</v>
      </c>
      <c r="M145" t="str">
        <f t="shared" si="6"/>
        <v>Tuesday</v>
      </c>
      <c r="N145" t="str">
        <f t="shared" si="7"/>
        <v>Weekday</v>
      </c>
      <c r="O145" t="str">
        <f t="shared" si="8"/>
        <v>Q3</v>
      </c>
    </row>
    <row r="146" spans="1:15">
      <c r="A146">
        <v>31</v>
      </c>
      <c r="B146" t="s">
        <v>8</v>
      </c>
      <c r="C146" t="s">
        <v>15</v>
      </c>
      <c r="D146" t="s">
        <v>14</v>
      </c>
      <c r="E146" t="s">
        <v>11</v>
      </c>
      <c r="F146">
        <v>1499</v>
      </c>
      <c r="G146">
        <v>11</v>
      </c>
      <c r="H146" s="3">
        <v>45476</v>
      </c>
      <c r="I146" t="s">
        <v>81</v>
      </c>
      <c r="J146">
        <v>7</v>
      </c>
      <c r="K146">
        <v>2024</v>
      </c>
      <c r="L146" t="s">
        <v>64</v>
      </c>
      <c r="M146" t="str">
        <f t="shared" si="6"/>
        <v>Wednesday</v>
      </c>
      <c r="N146" t="str">
        <f t="shared" si="7"/>
        <v>Weekday</v>
      </c>
      <c r="O146" t="str">
        <f t="shared" si="8"/>
        <v>Q3</v>
      </c>
    </row>
    <row r="147" spans="1:15">
      <c r="A147">
        <v>66</v>
      </c>
      <c r="B147" t="s">
        <v>8</v>
      </c>
      <c r="C147" t="s">
        <v>19</v>
      </c>
      <c r="D147" t="s">
        <v>20</v>
      </c>
      <c r="E147" t="s">
        <v>18</v>
      </c>
      <c r="F147">
        <v>566</v>
      </c>
      <c r="G147">
        <v>7</v>
      </c>
      <c r="H147" s="3">
        <v>45054</v>
      </c>
      <c r="I147" t="s">
        <v>79</v>
      </c>
      <c r="J147">
        <v>5</v>
      </c>
      <c r="K147">
        <v>2023</v>
      </c>
      <c r="L147" t="s">
        <v>59</v>
      </c>
      <c r="M147" t="str">
        <f t="shared" si="6"/>
        <v>Monday</v>
      </c>
      <c r="N147" t="str">
        <f t="shared" si="7"/>
        <v>Weekday</v>
      </c>
      <c r="O147" t="str">
        <f t="shared" si="8"/>
        <v>Q2</v>
      </c>
    </row>
    <row r="148" spans="1:15">
      <c r="A148">
        <v>7</v>
      </c>
      <c r="B148" t="s">
        <v>8</v>
      </c>
      <c r="C148" t="s">
        <v>15</v>
      </c>
      <c r="D148" t="s">
        <v>10</v>
      </c>
      <c r="E148" t="s">
        <v>18</v>
      </c>
      <c r="F148">
        <v>1189</v>
      </c>
      <c r="G148">
        <v>17</v>
      </c>
      <c r="H148" s="3">
        <v>45400</v>
      </c>
      <c r="I148" t="s">
        <v>82</v>
      </c>
      <c r="J148">
        <v>4</v>
      </c>
      <c r="K148">
        <v>2024</v>
      </c>
      <c r="L148" t="s">
        <v>57</v>
      </c>
      <c r="M148" t="str">
        <f t="shared" si="6"/>
        <v>Thursday</v>
      </c>
      <c r="N148" t="str">
        <f t="shared" si="7"/>
        <v>Weekday</v>
      </c>
      <c r="O148" t="str">
        <f t="shared" si="8"/>
        <v>Q2</v>
      </c>
    </row>
    <row r="149" spans="1:15">
      <c r="A149">
        <v>74</v>
      </c>
      <c r="B149" t="s">
        <v>12</v>
      </c>
      <c r="C149" t="s">
        <v>15</v>
      </c>
      <c r="D149" t="s">
        <v>24</v>
      </c>
      <c r="E149" t="s">
        <v>11</v>
      </c>
      <c r="F149">
        <v>1055</v>
      </c>
      <c r="G149">
        <v>20</v>
      </c>
      <c r="H149" s="3">
        <v>45575</v>
      </c>
      <c r="I149" t="s">
        <v>79</v>
      </c>
      <c r="J149">
        <v>10</v>
      </c>
      <c r="K149">
        <v>2024</v>
      </c>
      <c r="L149" t="s">
        <v>71</v>
      </c>
      <c r="M149" t="str">
        <f t="shared" si="6"/>
        <v>Thursday</v>
      </c>
      <c r="N149" t="str">
        <f t="shared" si="7"/>
        <v>Weekday</v>
      </c>
      <c r="O149" t="str">
        <f t="shared" si="8"/>
        <v>Q4</v>
      </c>
    </row>
    <row r="150" spans="1:15">
      <c r="A150">
        <v>76</v>
      </c>
      <c r="B150" t="s">
        <v>8</v>
      </c>
      <c r="C150" t="s">
        <v>19</v>
      </c>
      <c r="D150" t="s">
        <v>17</v>
      </c>
      <c r="E150" t="s">
        <v>18</v>
      </c>
      <c r="F150">
        <v>1106</v>
      </c>
      <c r="G150">
        <v>18</v>
      </c>
      <c r="H150" s="3">
        <v>45316</v>
      </c>
      <c r="I150" t="s">
        <v>79</v>
      </c>
      <c r="J150">
        <v>1</v>
      </c>
      <c r="K150">
        <v>2024</v>
      </c>
      <c r="L150" t="s">
        <v>46</v>
      </c>
      <c r="M150" t="str">
        <f t="shared" si="6"/>
        <v>Thursday</v>
      </c>
      <c r="N150" t="str">
        <f t="shared" si="7"/>
        <v>Weekday</v>
      </c>
      <c r="O150" t="str">
        <f t="shared" si="8"/>
        <v>Q1</v>
      </c>
    </row>
    <row r="151" spans="1:15">
      <c r="A151">
        <v>31</v>
      </c>
      <c r="B151" t="s">
        <v>8</v>
      </c>
      <c r="C151" t="s">
        <v>15</v>
      </c>
      <c r="D151" t="s">
        <v>17</v>
      </c>
      <c r="E151" t="s">
        <v>18</v>
      </c>
      <c r="F151">
        <v>1295</v>
      </c>
      <c r="G151">
        <v>12</v>
      </c>
      <c r="H151" s="3">
        <v>45585</v>
      </c>
      <c r="I151" t="s">
        <v>81</v>
      </c>
      <c r="J151">
        <v>10</v>
      </c>
      <c r="K151">
        <v>2024</v>
      </c>
      <c r="L151" t="s">
        <v>71</v>
      </c>
      <c r="M151" t="str">
        <f t="shared" si="6"/>
        <v>Sunday</v>
      </c>
      <c r="N151" t="str">
        <f t="shared" si="7"/>
        <v>Weekday</v>
      </c>
      <c r="O151" t="str">
        <f t="shared" si="8"/>
        <v>Q4</v>
      </c>
    </row>
    <row r="152" spans="1:15">
      <c r="A152">
        <v>13</v>
      </c>
      <c r="B152" t="s">
        <v>8</v>
      </c>
      <c r="C152" t="s">
        <v>9</v>
      </c>
      <c r="D152" t="s">
        <v>16</v>
      </c>
      <c r="E152" t="s">
        <v>11</v>
      </c>
      <c r="F152">
        <v>755</v>
      </c>
      <c r="G152">
        <v>9</v>
      </c>
      <c r="H152" s="3">
        <v>45582</v>
      </c>
      <c r="I152" t="s">
        <v>82</v>
      </c>
      <c r="J152">
        <v>10</v>
      </c>
      <c r="K152">
        <v>2024</v>
      </c>
      <c r="L152" t="s">
        <v>71</v>
      </c>
      <c r="M152" t="str">
        <f t="shared" si="6"/>
        <v>Thursday</v>
      </c>
      <c r="N152" t="str">
        <f t="shared" si="7"/>
        <v>Weekday</v>
      </c>
      <c r="O152" t="str">
        <f t="shared" si="8"/>
        <v>Q4</v>
      </c>
    </row>
    <row r="153" spans="1:15">
      <c r="A153">
        <v>66</v>
      </c>
      <c r="B153" t="s">
        <v>12</v>
      </c>
      <c r="C153" t="s">
        <v>9</v>
      </c>
      <c r="D153" t="s">
        <v>14</v>
      </c>
      <c r="E153" t="s">
        <v>11</v>
      </c>
      <c r="F153">
        <v>1592</v>
      </c>
      <c r="G153">
        <v>5</v>
      </c>
      <c r="H153" s="3">
        <v>45481</v>
      </c>
      <c r="I153" t="s">
        <v>79</v>
      </c>
      <c r="J153">
        <v>7</v>
      </c>
      <c r="K153">
        <v>2024</v>
      </c>
      <c r="L153" t="s">
        <v>64</v>
      </c>
      <c r="M153" t="str">
        <f t="shared" si="6"/>
        <v>Monday</v>
      </c>
      <c r="N153" t="str">
        <f t="shared" si="7"/>
        <v>Weekday</v>
      </c>
      <c r="O153" t="str">
        <f t="shared" si="8"/>
        <v>Q3</v>
      </c>
    </row>
    <row r="154" spans="1:15">
      <c r="A154">
        <v>41</v>
      </c>
      <c r="B154" t="s">
        <v>8</v>
      </c>
      <c r="C154" t="s">
        <v>19</v>
      </c>
      <c r="D154" t="s">
        <v>24</v>
      </c>
      <c r="E154" t="s">
        <v>11</v>
      </c>
      <c r="F154">
        <v>946</v>
      </c>
      <c r="G154">
        <v>10</v>
      </c>
      <c r="H154" s="3">
        <v>45314</v>
      </c>
      <c r="I154" t="s">
        <v>80</v>
      </c>
      <c r="J154">
        <v>1</v>
      </c>
      <c r="K154">
        <v>2024</v>
      </c>
      <c r="L154" t="s">
        <v>46</v>
      </c>
      <c r="M154" t="str">
        <f t="shared" si="6"/>
        <v>Tuesday</v>
      </c>
      <c r="N154" t="str">
        <f t="shared" si="7"/>
        <v>Weekday</v>
      </c>
      <c r="O154" t="str">
        <f t="shared" si="8"/>
        <v>Q1</v>
      </c>
    </row>
    <row r="155" spans="1:15">
      <c r="A155">
        <v>55</v>
      </c>
      <c r="B155" t="s">
        <v>12</v>
      </c>
      <c r="C155" t="s">
        <v>9</v>
      </c>
      <c r="D155" t="s">
        <v>16</v>
      </c>
      <c r="E155" t="s">
        <v>11</v>
      </c>
      <c r="F155">
        <v>847</v>
      </c>
      <c r="G155">
        <v>4</v>
      </c>
      <c r="H155" s="3">
        <v>44937</v>
      </c>
      <c r="I155" t="s">
        <v>80</v>
      </c>
      <c r="J155">
        <v>1</v>
      </c>
      <c r="K155">
        <v>2023</v>
      </c>
      <c r="L155" t="s">
        <v>46</v>
      </c>
      <c r="M155" t="str">
        <f t="shared" si="6"/>
        <v>Wednesday</v>
      </c>
      <c r="N155" t="str">
        <f t="shared" si="7"/>
        <v>Weekday</v>
      </c>
      <c r="O155" t="str">
        <f t="shared" si="8"/>
        <v>Q1</v>
      </c>
    </row>
    <row r="156" spans="1:15">
      <c r="A156">
        <v>48</v>
      </c>
      <c r="B156" t="s">
        <v>12</v>
      </c>
      <c r="C156" t="s">
        <v>23</v>
      </c>
      <c r="D156" t="s">
        <v>24</v>
      </c>
      <c r="E156" t="s">
        <v>11</v>
      </c>
      <c r="F156">
        <v>1174</v>
      </c>
      <c r="G156">
        <v>5</v>
      </c>
      <c r="H156" s="3">
        <v>45051</v>
      </c>
      <c r="I156" t="s">
        <v>80</v>
      </c>
      <c r="J156">
        <v>5</v>
      </c>
      <c r="K156">
        <v>2023</v>
      </c>
      <c r="L156" t="s">
        <v>59</v>
      </c>
      <c r="M156" t="str">
        <f t="shared" si="6"/>
        <v>Friday</v>
      </c>
      <c r="N156" t="str">
        <f t="shared" si="7"/>
        <v>Weekend</v>
      </c>
      <c r="O156" t="str">
        <f t="shared" si="8"/>
        <v>Q2</v>
      </c>
    </row>
    <row r="157" spans="1:15">
      <c r="A157">
        <v>28</v>
      </c>
      <c r="B157" t="s">
        <v>12</v>
      </c>
      <c r="C157" t="s">
        <v>15</v>
      </c>
      <c r="D157" t="s">
        <v>14</v>
      </c>
      <c r="E157" t="s">
        <v>18</v>
      </c>
      <c r="F157">
        <v>1556</v>
      </c>
      <c r="G157">
        <v>10</v>
      </c>
      <c r="H157" s="3">
        <v>45561</v>
      </c>
      <c r="I157" t="s">
        <v>81</v>
      </c>
      <c r="J157">
        <v>9</v>
      </c>
      <c r="K157">
        <v>2024</v>
      </c>
      <c r="L157" t="s">
        <v>68</v>
      </c>
      <c r="M157" t="str">
        <f t="shared" si="6"/>
        <v>Thursday</v>
      </c>
      <c r="N157" t="str">
        <f t="shared" si="7"/>
        <v>Weekday</v>
      </c>
      <c r="O157" t="str">
        <f t="shared" si="8"/>
        <v>Q3</v>
      </c>
    </row>
    <row r="158" spans="1:15">
      <c r="A158">
        <v>63</v>
      </c>
      <c r="B158" t="s">
        <v>8</v>
      </c>
      <c r="C158" t="s">
        <v>23</v>
      </c>
      <c r="D158" t="s">
        <v>17</v>
      </c>
      <c r="E158" t="s">
        <v>11</v>
      </c>
      <c r="F158">
        <v>1301</v>
      </c>
      <c r="G158">
        <v>11</v>
      </c>
      <c r="H158" s="3">
        <v>45090</v>
      </c>
      <c r="I158" t="s">
        <v>79</v>
      </c>
      <c r="J158">
        <v>6</v>
      </c>
      <c r="K158">
        <v>2023</v>
      </c>
      <c r="L158" t="s">
        <v>61</v>
      </c>
      <c r="M158" t="str">
        <f t="shared" si="6"/>
        <v>Tuesday</v>
      </c>
      <c r="N158" t="str">
        <f t="shared" si="7"/>
        <v>Weekday</v>
      </c>
      <c r="O158" t="str">
        <f t="shared" si="8"/>
        <v>Q2</v>
      </c>
    </row>
    <row r="159" spans="1:15">
      <c r="A159">
        <v>36</v>
      </c>
      <c r="B159" t="s">
        <v>12</v>
      </c>
      <c r="C159" t="s">
        <v>9</v>
      </c>
      <c r="D159" t="s">
        <v>20</v>
      </c>
      <c r="E159" t="s">
        <v>11</v>
      </c>
      <c r="F159">
        <v>525</v>
      </c>
      <c r="G159">
        <v>10</v>
      </c>
      <c r="H159" s="3">
        <v>45006</v>
      </c>
      <c r="I159" t="s">
        <v>80</v>
      </c>
      <c r="J159">
        <v>3</v>
      </c>
      <c r="K159">
        <v>2023</v>
      </c>
      <c r="L159" t="s">
        <v>54</v>
      </c>
      <c r="M159" t="str">
        <f t="shared" si="6"/>
        <v>Tuesday</v>
      </c>
      <c r="N159" t="str">
        <f t="shared" si="7"/>
        <v>Weekday</v>
      </c>
      <c r="O159" t="str">
        <f t="shared" si="8"/>
        <v>Q1</v>
      </c>
    </row>
    <row r="160" spans="1:15">
      <c r="A160">
        <v>56</v>
      </c>
      <c r="B160" t="s">
        <v>12</v>
      </c>
      <c r="C160" t="s">
        <v>13</v>
      </c>
      <c r="D160" t="s">
        <v>17</v>
      </c>
      <c r="E160" t="s">
        <v>11</v>
      </c>
      <c r="F160">
        <v>1393</v>
      </c>
      <c r="G160">
        <v>8</v>
      </c>
      <c r="H160" s="3">
        <v>45374</v>
      </c>
      <c r="I160" t="s">
        <v>79</v>
      </c>
      <c r="J160">
        <v>3</v>
      </c>
      <c r="K160">
        <v>2024</v>
      </c>
      <c r="L160" t="s">
        <v>54</v>
      </c>
      <c r="M160" t="str">
        <f t="shared" si="6"/>
        <v>Saturday</v>
      </c>
      <c r="N160" t="str">
        <f t="shared" si="7"/>
        <v>Weekend</v>
      </c>
      <c r="O160" t="str">
        <f t="shared" si="8"/>
        <v>Q1</v>
      </c>
    </row>
    <row r="161" spans="1:15">
      <c r="A161">
        <v>66</v>
      </c>
      <c r="B161" t="s">
        <v>12</v>
      </c>
      <c r="C161" t="s">
        <v>9</v>
      </c>
      <c r="D161" t="s">
        <v>16</v>
      </c>
      <c r="E161" t="s">
        <v>11</v>
      </c>
      <c r="F161">
        <v>763</v>
      </c>
      <c r="G161">
        <v>2</v>
      </c>
      <c r="H161" s="3">
        <v>45112</v>
      </c>
      <c r="I161" t="s">
        <v>79</v>
      </c>
      <c r="J161">
        <v>7</v>
      </c>
      <c r="K161">
        <v>2023</v>
      </c>
      <c r="L161" t="s">
        <v>64</v>
      </c>
      <c r="M161" t="str">
        <f t="shared" si="6"/>
        <v>Wednesday</v>
      </c>
      <c r="N161" t="str">
        <f t="shared" si="7"/>
        <v>Weekday</v>
      </c>
      <c r="O161" t="str">
        <f t="shared" si="8"/>
        <v>Q3</v>
      </c>
    </row>
    <row r="162" spans="1:15">
      <c r="A162">
        <v>62</v>
      </c>
      <c r="B162" t="s">
        <v>12</v>
      </c>
      <c r="C162" t="s">
        <v>26</v>
      </c>
      <c r="D162" t="s">
        <v>10</v>
      </c>
      <c r="E162" t="s">
        <v>11</v>
      </c>
      <c r="F162">
        <v>1075</v>
      </c>
      <c r="G162">
        <v>8</v>
      </c>
      <c r="H162" s="3">
        <v>45467</v>
      </c>
      <c r="I162" t="s">
        <v>79</v>
      </c>
      <c r="J162">
        <v>6</v>
      </c>
      <c r="K162">
        <v>2024</v>
      </c>
      <c r="L162" t="s">
        <v>61</v>
      </c>
      <c r="M162" t="str">
        <f t="shared" si="6"/>
        <v>Monday</v>
      </c>
      <c r="N162" t="str">
        <f t="shared" si="7"/>
        <v>Weekday</v>
      </c>
      <c r="O162" t="str">
        <f t="shared" si="8"/>
        <v>Q2</v>
      </c>
    </row>
    <row r="163" spans="1:15">
      <c r="A163">
        <v>56</v>
      </c>
      <c r="B163" t="s">
        <v>8</v>
      </c>
      <c r="C163" t="s">
        <v>19</v>
      </c>
      <c r="D163" t="s">
        <v>20</v>
      </c>
      <c r="E163" t="s">
        <v>11</v>
      </c>
      <c r="F163">
        <v>515</v>
      </c>
      <c r="G163">
        <v>16</v>
      </c>
      <c r="H163" s="3">
        <v>45562</v>
      </c>
      <c r="I163" t="s">
        <v>79</v>
      </c>
      <c r="J163">
        <v>9</v>
      </c>
      <c r="K163">
        <v>2024</v>
      </c>
      <c r="L163" t="s">
        <v>68</v>
      </c>
      <c r="M163" t="str">
        <f t="shared" si="6"/>
        <v>Friday</v>
      </c>
      <c r="N163" t="str">
        <f t="shared" si="7"/>
        <v>Weekend</v>
      </c>
      <c r="O163" t="str">
        <f t="shared" si="8"/>
        <v>Q3</v>
      </c>
    </row>
    <row r="164" spans="1:15">
      <c r="A164">
        <v>16</v>
      </c>
      <c r="B164" t="s">
        <v>8</v>
      </c>
      <c r="C164" t="s">
        <v>15</v>
      </c>
      <c r="D164" t="s">
        <v>16</v>
      </c>
      <c r="E164" t="s">
        <v>11</v>
      </c>
      <c r="F164">
        <v>903</v>
      </c>
      <c r="G164">
        <v>5</v>
      </c>
      <c r="H164" s="3">
        <v>45456</v>
      </c>
      <c r="I164" t="s">
        <v>82</v>
      </c>
      <c r="J164">
        <v>6</v>
      </c>
      <c r="K164">
        <v>2024</v>
      </c>
      <c r="L164" t="s">
        <v>61</v>
      </c>
      <c r="M164" t="str">
        <f t="shared" si="6"/>
        <v>Thursday</v>
      </c>
      <c r="N164" t="str">
        <f t="shared" si="7"/>
        <v>Weekday</v>
      </c>
      <c r="O164" t="str">
        <f t="shared" si="8"/>
        <v>Q2</v>
      </c>
    </row>
    <row r="165" spans="1:15">
      <c r="A165">
        <v>43</v>
      </c>
      <c r="B165" t="s">
        <v>12</v>
      </c>
      <c r="C165" t="s">
        <v>25</v>
      </c>
      <c r="D165" t="s">
        <v>14</v>
      </c>
      <c r="E165" t="s">
        <v>11</v>
      </c>
      <c r="F165">
        <v>1430</v>
      </c>
      <c r="G165">
        <v>3</v>
      </c>
      <c r="H165" s="3">
        <v>45418</v>
      </c>
      <c r="I165" t="s">
        <v>80</v>
      </c>
      <c r="J165">
        <v>5</v>
      </c>
      <c r="K165">
        <v>2024</v>
      </c>
      <c r="L165" t="s">
        <v>59</v>
      </c>
      <c r="M165" t="str">
        <f t="shared" si="6"/>
        <v>Monday</v>
      </c>
      <c r="N165" t="str">
        <f t="shared" si="7"/>
        <v>Weekday</v>
      </c>
      <c r="O165" t="str">
        <f t="shared" si="8"/>
        <v>Q2</v>
      </c>
    </row>
    <row r="166" spans="1:15">
      <c r="A166">
        <v>6</v>
      </c>
      <c r="B166" t="s">
        <v>12</v>
      </c>
      <c r="C166" t="s">
        <v>15</v>
      </c>
      <c r="D166" t="s">
        <v>20</v>
      </c>
      <c r="E166" t="s">
        <v>11</v>
      </c>
      <c r="F166">
        <v>512</v>
      </c>
      <c r="G166">
        <v>12</v>
      </c>
      <c r="H166" s="3">
        <v>45570</v>
      </c>
      <c r="I166" t="s">
        <v>82</v>
      </c>
      <c r="J166">
        <v>10</v>
      </c>
      <c r="K166">
        <v>2024</v>
      </c>
      <c r="L166" t="s">
        <v>71</v>
      </c>
      <c r="M166" t="str">
        <f t="shared" si="6"/>
        <v>Saturday</v>
      </c>
      <c r="N166" t="str">
        <f t="shared" si="7"/>
        <v>Weekend</v>
      </c>
      <c r="O166" t="str">
        <f t="shared" si="8"/>
        <v>Q4</v>
      </c>
    </row>
    <row r="167" spans="1:15">
      <c r="A167">
        <v>7</v>
      </c>
      <c r="B167" t="s">
        <v>8</v>
      </c>
      <c r="C167" t="s">
        <v>15</v>
      </c>
      <c r="D167" t="s">
        <v>16</v>
      </c>
      <c r="E167" t="s">
        <v>11</v>
      </c>
      <c r="F167">
        <v>766</v>
      </c>
      <c r="G167">
        <v>13</v>
      </c>
      <c r="H167" s="3">
        <v>45116</v>
      </c>
      <c r="I167" t="s">
        <v>82</v>
      </c>
      <c r="J167">
        <v>7</v>
      </c>
      <c r="K167">
        <v>2023</v>
      </c>
      <c r="L167" t="s">
        <v>64</v>
      </c>
      <c r="M167" t="str">
        <f t="shared" si="6"/>
        <v>Sunday</v>
      </c>
      <c r="N167" t="str">
        <f t="shared" si="7"/>
        <v>Weekday</v>
      </c>
      <c r="O167" t="str">
        <f t="shared" si="8"/>
        <v>Q3</v>
      </c>
    </row>
    <row r="168" spans="1:15">
      <c r="A168">
        <v>60</v>
      </c>
      <c r="B168" t="s">
        <v>12</v>
      </c>
      <c r="C168" t="s">
        <v>15</v>
      </c>
      <c r="D168" t="s">
        <v>14</v>
      </c>
      <c r="E168" t="s">
        <v>18</v>
      </c>
      <c r="F168">
        <v>1474</v>
      </c>
      <c r="G168">
        <v>13</v>
      </c>
      <c r="H168" s="3">
        <v>45318</v>
      </c>
      <c r="I168" t="s">
        <v>79</v>
      </c>
      <c r="J168">
        <v>1</v>
      </c>
      <c r="K168">
        <v>2024</v>
      </c>
      <c r="L168" t="s">
        <v>46</v>
      </c>
      <c r="M168" t="str">
        <f t="shared" si="6"/>
        <v>Saturday</v>
      </c>
      <c r="N168" t="str">
        <f t="shared" si="7"/>
        <v>Weekend</v>
      </c>
      <c r="O168" t="str">
        <f t="shared" si="8"/>
        <v>Q1</v>
      </c>
    </row>
    <row r="169" spans="1:15">
      <c r="A169">
        <v>63</v>
      </c>
      <c r="B169" t="s">
        <v>12</v>
      </c>
      <c r="C169" t="s">
        <v>9</v>
      </c>
      <c r="D169" t="s">
        <v>17</v>
      </c>
      <c r="E169" t="s">
        <v>11</v>
      </c>
      <c r="F169">
        <v>1144</v>
      </c>
      <c r="G169">
        <v>10</v>
      </c>
      <c r="H169" s="3">
        <v>45276</v>
      </c>
      <c r="I169" t="s">
        <v>79</v>
      </c>
      <c r="J169">
        <v>12</v>
      </c>
      <c r="K169">
        <v>2023</v>
      </c>
      <c r="L169" t="s">
        <v>75</v>
      </c>
      <c r="M169" t="str">
        <f t="shared" si="6"/>
        <v>Saturday</v>
      </c>
      <c r="N169" t="str">
        <f t="shared" si="7"/>
        <v>Weekend</v>
      </c>
      <c r="O169" t="str">
        <f t="shared" si="8"/>
        <v>Q4</v>
      </c>
    </row>
    <row r="170" spans="1:15">
      <c r="A170">
        <v>6</v>
      </c>
      <c r="B170" t="s">
        <v>8</v>
      </c>
      <c r="C170" t="s">
        <v>9</v>
      </c>
      <c r="D170" t="s">
        <v>10</v>
      </c>
      <c r="E170" t="s">
        <v>18</v>
      </c>
      <c r="F170">
        <v>1159</v>
      </c>
      <c r="G170">
        <v>4</v>
      </c>
      <c r="H170" s="3">
        <v>45475</v>
      </c>
      <c r="I170" t="s">
        <v>82</v>
      </c>
      <c r="J170">
        <v>7</v>
      </c>
      <c r="K170">
        <v>2024</v>
      </c>
      <c r="L170" t="s">
        <v>64</v>
      </c>
      <c r="M170" t="str">
        <f t="shared" si="6"/>
        <v>Tuesday</v>
      </c>
      <c r="N170" t="str">
        <f t="shared" si="7"/>
        <v>Weekday</v>
      </c>
      <c r="O170" t="str">
        <f t="shared" si="8"/>
        <v>Q3</v>
      </c>
    </row>
    <row r="171" spans="1:15">
      <c r="A171">
        <v>6</v>
      </c>
      <c r="B171" t="s">
        <v>8</v>
      </c>
      <c r="C171" t="s">
        <v>9</v>
      </c>
      <c r="D171" t="s">
        <v>14</v>
      </c>
      <c r="E171" t="s">
        <v>11</v>
      </c>
      <c r="F171">
        <v>1553</v>
      </c>
      <c r="G171">
        <v>9</v>
      </c>
      <c r="H171" s="3">
        <v>45352</v>
      </c>
      <c r="I171" t="s">
        <v>82</v>
      </c>
      <c r="J171">
        <v>3</v>
      </c>
      <c r="K171">
        <v>2024</v>
      </c>
      <c r="L171" t="s">
        <v>54</v>
      </c>
      <c r="M171" t="str">
        <f t="shared" si="6"/>
        <v>Friday</v>
      </c>
      <c r="N171" t="str">
        <f t="shared" si="7"/>
        <v>Weekend</v>
      </c>
      <c r="O171" t="str">
        <f t="shared" si="8"/>
        <v>Q1</v>
      </c>
    </row>
    <row r="172" spans="1:15">
      <c r="A172">
        <v>58</v>
      </c>
      <c r="B172" t="s">
        <v>12</v>
      </c>
      <c r="C172" t="s">
        <v>13</v>
      </c>
      <c r="D172" t="s">
        <v>24</v>
      </c>
      <c r="E172" t="s">
        <v>11</v>
      </c>
      <c r="F172">
        <v>1054</v>
      </c>
      <c r="G172">
        <v>2</v>
      </c>
      <c r="H172" s="3">
        <v>45543</v>
      </c>
      <c r="I172" t="s">
        <v>79</v>
      </c>
      <c r="J172">
        <v>9</v>
      </c>
      <c r="K172">
        <v>2024</v>
      </c>
      <c r="L172" t="s">
        <v>68</v>
      </c>
      <c r="M172" t="str">
        <f t="shared" si="6"/>
        <v>Sunday</v>
      </c>
      <c r="N172" t="str">
        <f t="shared" si="7"/>
        <v>Weekday</v>
      </c>
      <c r="O172" t="str">
        <f t="shared" si="8"/>
        <v>Q3</v>
      </c>
    </row>
    <row r="173" spans="1:15">
      <c r="A173">
        <v>5</v>
      </c>
      <c r="B173" t="s">
        <v>8</v>
      </c>
      <c r="C173" t="s">
        <v>15</v>
      </c>
      <c r="D173" t="s">
        <v>14</v>
      </c>
      <c r="E173" t="s">
        <v>18</v>
      </c>
      <c r="F173">
        <v>1633</v>
      </c>
      <c r="G173">
        <v>19</v>
      </c>
      <c r="H173" s="3">
        <v>45096</v>
      </c>
      <c r="I173" t="s">
        <v>82</v>
      </c>
      <c r="J173">
        <v>6</v>
      </c>
      <c r="K173">
        <v>2023</v>
      </c>
      <c r="L173" t="s">
        <v>61</v>
      </c>
      <c r="M173" t="str">
        <f t="shared" si="6"/>
        <v>Monday</v>
      </c>
      <c r="N173" t="str">
        <f t="shared" si="7"/>
        <v>Weekday</v>
      </c>
      <c r="O173" t="str">
        <f t="shared" si="8"/>
        <v>Q2</v>
      </c>
    </row>
    <row r="174" spans="1:15">
      <c r="A174">
        <v>23</v>
      </c>
      <c r="B174" t="s">
        <v>12</v>
      </c>
      <c r="C174" t="s">
        <v>15</v>
      </c>
      <c r="D174" t="s">
        <v>14</v>
      </c>
      <c r="E174" t="s">
        <v>11</v>
      </c>
      <c r="F174">
        <v>1450</v>
      </c>
      <c r="G174">
        <v>1</v>
      </c>
      <c r="H174" s="3">
        <v>45546</v>
      </c>
      <c r="I174" t="s">
        <v>81</v>
      </c>
      <c r="J174">
        <v>9</v>
      </c>
      <c r="K174">
        <v>2024</v>
      </c>
      <c r="L174" t="s">
        <v>68</v>
      </c>
      <c r="M174" t="str">
        <f t="shared" si="6"/>
        <v>Wednesday</v>
      </c>
      <c r="N174" t="str">
        <f t="shared" si="7"/>
        <v>Weekday</v>
      </c>
      <c r="O174" t="str">
        <f t="shared" si="8"/>
        <v>Q3</v>
      </c>
    </row>
    <row r="175" spans="1:15">
      <c r="A175">
        <v>6</v>
      </c>
      <c r="B175" t="s">
        <v>8</v>
      </c>
      <c r="C175" t="s">
        <v>15</v>
      </c>
      <c r="D175" t="s">
        <v>10</v>
      </c>
      <c r="E175" t="s">
        <v>11</v>
      </c>
      <c r="F175">
        <v>1161</v>
      </c>
      <c r="G175">
        <v>7</v>
      </c>
      <c r="H175" s="3">
        <v>45424</v>
      </c>
      <c r="I175" t="s">
        <v>82</v>
      </c>
      <c r="J175">
        <v>5</v>
      </c>
      <c r="K175">
        <v>2024</v>
      </c>
      <c r="L175" t="s">
        <v>59</v>
      </c>
      <c r="M175" t="str">
        <f t="shared" si="6"/>
        <v>Sunday</v>
      </c>
      <c r="N175" t="str">
        <f t="shared" si="7"/>
        <v>Weekday</v>
      </c>
      <c r="O175" t="str">
        <f t="shared" si="8"/>
        <v>Q2</v>
      </c>
    </row>
    <row r="176" spans="1:15">
      <c r="A176">
        <v>57</v>
      </c>
      <c r="B176" t="s">
        <v>12</v>
      </c>
      <c r="C176" t="s">
        <v>15</v>
      </c>
      <c r="D176" t="s">
        <v>24</v>
      </c>
      <c r="E176" t="s">
        <v>11</v>
      </c>
      <c r="F176">
        <v>1024</v>
      </c>
      <c r="G176">
        <v>17</v>
      </c>
      <c r="H176" s="3">
        <v>45485</v>
      </c>
      <c r="I176" t="s">
        <v>79</v>
      </c>
      <c r="J176">
        <v>7</v>
      </c>
      <c r="K176">
        <v>2024</v>
      </c>
      <c r="L176" t="s">
        <v>64</v>
      </c>
      <c r="M176" t="str">
        <f t="shared" si="6"/>
        <v>Friday</v>
      </c>
      <c r="N176" t="str">
        <f t="shared" si="7"/>
        <v>Weekend</v>
      </c>
      <c r="O176" t="str">
        <f t="shared" si="8"/>
        <v>Q3</v>
      </c>
    </row>
    <row r="177" spans="1:15">
      <c r="A177">
        <v>48</v>
      </c>
      <c r="B177" t="s">
        <v>12</v>
      </c>
      <c r="C177" t="s">
        <v>9</v>
      </c>
      <c r="D177" t="s">
        <v>16</v>
      </c>
      <c r="E177" t="s">
        <v>11</v>
      </c>
      <c r="F177">
        <v>944</v>
      </c>
      <c r="G177">
        <v>3</v>
      </c>
      <c r="H177" s="3">
        <v>45389</v>
      </c>
      <c r="I177" t="s">
        <v>80</v>
      </c>
      <c r="J177">
        <v>4</v>
      </c>
      <c r="K177">
        <v>2024</v>
      </c>
      <c r="L177" t="s">
        <v>57</v>
      </c>
      <c r="M177" t="str">
        <f t="shared" si="6"/>
        <v>Sunday</v>
      </c>
      <c r="N177" t="str">
        <f t="shared" si="7"/>
        <v>Weekday</v>
      </c>
      <c r="O177" t="str">
        <f t="shared" si="8"/>
        <v>Q2</v>
      </c>
    </row>
    <row r="178" spans="1:15">
      <c r="A178">
        <v>36</v>
      </c>
      <c r="B178" t="s">
        <v>12</v>
      </c>
      <c r="C178" t="s">
        <v>23</v>
      </c>
      <c r="D178" t="s">
        <v>16</v>
      </c>
      <c r="E178" t="s">
        <v>11</v>
      </c>
      <c r="F178">
        <v>729</v>
      </c>
      <c r="G178">
        <v>20</v>
      </c>
      <c r="H178" s="3">
        <v>45133</v>
      </c>
      <c r="I178" t="s">
        <v>80</v>
      </c>
      <c r="J178">
        <v>7</v>
      </c>
      <c r="K178">
        <v>2023</v>
      </c>
      <c r="L178" t="s">
        <v>64</v>
      </c>
      <c r="M178" t="str">
        <f t="shared" si="6"/>
        <v>Wednesday</v>
      </c>
      <c r="N178" t="str">
        <f t="shared" si="7"/>
        <v>Weekday</v>
      </c>
      <c r="O178" t="str">
        <f t="shared" si="8"/>
        <v>Q3</v>
      </c>
    </row>
    <row r="179" spans="1:15">
      <c r="A179">
        <v>74</v>
      </c>
      <c r="B179" t="s">
        <v>8</v>
      </c>
      <c r="C179" t="s">
        <v>9</v>
      </c>
      <c r="D179" t="s">
        <v>14</v>
      </c>
      <c r="E179" t="s">
        <v>11</v>
      </c>
      <c r="F179">
        <v>1521</v>
      </c>
      <c r="G179">
        <v>20</v>
      </c>
      <c r="H179" s="3">
        <v>45304</v>
      </c>
      <c r="I179" t="s">
        <v>79</v>
      </c>
      <c r="J179">
        <v>1</v>
      </c>
      <c r="K179">
        <v>2024</v>
      </c>
      <c r="L179" t="s">
        <v>46</v>
      </c>
      <c r="M179" t="str">
        <f t="shared" si="6"/>
        <v>Saturday</v>
      </c>
      <c r="N179" t="str">
        <f t="shared" si="7"/>
        <v>Weekend</v>
      </c>
      <c r="O179" t="str">
        <f t="shared" si="8"/>
        <v>Q1</v>
      </c>
    </row>
    <row r="180" spans="1:15">
      <c r="A180">
        <v>36</v>
      </c>
      <c r="B180" t="s">
        <v>8</v>
      </c>
      <c r="C180" t="s">
        <v>15</v>
      </c>
      <c r="D180" t="s">
        <v>24</v>
      </c>
      <c r="E180" t="s">
        <v>11</v>
      </c>
      <c r="F180">
        <v>1024</v>
      </c>
      <c r="G180">
        <v>3</v>
      </c>
      <c r="H180" s="3">
        <v>45134</v>
      </c>
      <c r="I180" t="s">
        <v>80</v>
      </c>
      <c r="J180">
        <v>7</v>
      </c>
      <c r="K180">
        <v>2023</v>
      </c>
      <c r="L180" t="s">
        <v>64</v>
      </c>
      <c r="M180" t="str">
        <f t="shared" si="6"/>
        <v>Thursday</v>
      </c>
      <c r="N180" t="str">
        <f t="shared" si="7"/>
        <v>Weekday</v>
      </c>
      <c r="O180" t="str">
        <f t="shared" si="8"/>
        <v>Q3</v>
      </c>
    </row>
    <row r="181" spans="1:15">
      <c r="A181">
        <v>72</v>
      </c>
      <c r="B181" t="s">
        <v>12</v>
      </c>
      <c r="C181" t="s">
        <v>9</v>
      </c>
      <c r="D181" t="s">
        <v>24</v>
      </c>
      <c r="E181" t="s">
        <v>11</v>
      </c>
      <c r="F181">
        <v>936</v>
      </c>
      <c r="G181">
        <v>3</v>
      </c>
      <c r="H181" s="3">
        <v>45512</v>
      </c>
      <c r="I181" t="s">
        <v>79</v>
      </c>
      <c r="J181">
        <v>8</v>
      </c>
      <c r="K181">
        <v>2024</v>
      </c>
      <c r="L181" t="s">
        <v>66</v>
      </c>
      <c r="M181" t="str">
        <f t="shared" si="6"/>
        <v>Thursday</v>
      </c>
      <c r="N181" t="str">
        <f t="shared" si="7"/>
        <v>Weekday</v>
      </c>
      <c r="O181" t="str">
        <f t="shared" si="8"/>
        <v>Q3</v>
      </c>
    </row>
    <row r="182" spans="1:15">
      <c r="A182">
        <v>59</v>
      </c>
      <c r="B182" t="s">
        <v>12</v>
      </c>
      <c r="C182" t="s">
        <v>15</v>
      </c>
      <c r="D182" t="s">
        <v>10</v>
      </c>
      <c r="E182" t="s">
        <v>11</v>
      </c>
      <c r="F182">
        <v>1069</v>
      </c>
      <c r="G182">
        <v>17</v>
      </c>
      <c r="H182" s="3">
        <v>45068</v>
      </c>
      <c r="I182" t="s">
        <v>79</v>
      </c>
      <c r="J182">
        <v>5</v>
      </c>
      <c r="K182">
        <v>2023</v>
      </c>
      <c r="L182" t="s">
        <v>59</v>
      </c>
      <c r="M182" t="str">
        <f t="shared" si="6"/>
        <v>Monday</v>
      </c>
      <c r="N182" t="str">
        <f t="shared" si="7"/>
        <v>Weekday</v>
      </c>
      <c r="O182" t="str">
        <f t="shared" si="8"/>
        <v>Q2</v>
      </c>
    </row>
    <row r="183" spans="1:15">
      <c r="A183">
        <v>79</v>
      </c>
      <c r="B183" t="s">
        <v>8</v>
      </c>
      <c r="C183" t="s">
        <v>13</v>
      </c>
      <c r="D183" t="s">
        <v>17</v>
      </c>
      <c r="E183" t="s">
        <v>18</v>
      </c>
      <c r="F183">
        <v>1223</v>
      </c>
      <c r="G183">
        <v>7</v>
      </c>
      <c r="H183" s="3">
        <v>44983</v>
      </c>
      <c r="I183" t="s">
        <v>79</v>
      </c>
      <c r="J183">
        <v>2</v>
      </c>
      <c r="K183">
        <v>2023</v>
      </c>
      <c r="L183" t="s">
        <v>52</v>
      </c>
      <c r="M183" t="str">
        <f t="shared" si="6"/>
        <v>Sunday</v>
      </c>
      <c r="N183" t="str">
        <f t="shared" si="7"/>
        <v>Weekday</v>
      </c>
      <c r="O183" t="str">
        <f t="shared" si="8"/>
        <v>Q1</v>
      </c>
    </row>
    <row r="184" spans="1:15">
      <c r="A184">
        <v>60</v>
      </c>
      <c r="B184" t="s">
        <v>12</v>
      </c>
      <c r="C184" t="s">
        <v>15</v>
      </c>
      <c r="D184" t="s">
        <v>16</v>
      </c>
      <c r="E184" t="s">
        <v>22</v>
      </c>
      <c r="F184">
        <v>734</v>
      </c>
      <c r="G184">
        <v>14</v>
      </c>
      <c r="H184" s="3">
        <v>45421</v>
      </c>
      <c r="I184" t="s">
        <v>79</v>
      </c>
      <c r="J184">
        <v>5</v>
      </c>
      <c r="K184">
        <v>2024</v>
      </c>
      <c r="L184" t="s">
        <v>59</v>
      </c>
      <c r="M184" t="str">
        <f t="shared" si="6"/>
        <v>Thursday</v>
      </c>
      <c r="N184" t="str">
        <f t="shared" si="7"/>
        <v>Weekday</v>
      </c>
      <c r="O184" t="str">
        <f t="shared" si="8"/>
        <v>Q2</v>
      </c>
    </row>
    <row r="185" spans="1:15">
      <c r="A185">
        <v>21</v>
      </c>
      <c r="B185" t="s">
        <v>12</v>
      </c>
      <c r="C185" t="s">
        <v>19</v>
      </c>
      <c r="D185" t="s">
        <v>10</v>
      </c>
      <c r="E185" t="s">
        <v>11</v>
      </c>
      <c r="F185">
        <v>986</v>
      </c>
      <c r="G185">
        <v>17</v>
      </c>
      <c r="H185" s="3">
        <v>45450</v>
      </c>
      <c r="I185" t="s">
        <v>81</v>
      </c>
      <c r="J185">
        <v>6</v>
      </c>
      <c r="K185">
        <v>2024</v>
      </c>
      <c r="L185" t="s">
        <v>61</v>
      </c>
      <c r="M185" t="str">
        <f t="shared" si="6"/>
        <v>Friday</v>
      </c>
      <c r="N185" t="str">
        <f t="shared" si="7"/>
        <v>Weekend</v>
      </c>
      <c r="O185" t="str">
        <f t="shared" si="8"/>
        <v>Q2</v>
      </c>
    </row>
    <row r="186" spans="1:15">
      <c r="A186">
        <v>42</v>
      </c>
      <c r="B186" t="s">
        <v>8</v>
      </c>
      <c r="C186" t="s">
        <v>26</v>
      </c>
      <c r="D186" t="s">
        <v>20</v>
      </c>
      <c r="E186" t="s">
        <v>18</v>
      </c>
      <c r="F186">
        <v>533</v>
      </c>
      <c r="G186">
        <v>18</v>
      </c>
      <c r="H186" s="3">
        <v>45286</v>
      </c>
      <c r="I186" t="s">
        <v>80</v>
      </c>
      <c r="J186">
        <v>12</v>
      </c>
      <c r="K186">
        <v>2023</v>
      </c>
      <c r="L186" t="s">
        <v>75</v>
      </c>
      <c r="M186" t="str">
        <f t="shared" si="6"/>
        <v>Tuesday</v>
      </c>
      <c r="N186" t="str">
        <f t="shared" si="7"/>
        <v>Weekday</v>
      </c>
      <c r="O186" t="str">
        <f t="shared" si="8"/>
        <v>Q4</v>
      </c>
    </row>
    <row r="187" spans="1:15">
      <c r="A187">
        <v>28</v>
      </c>
      <c r="B187" t="s">
        <v>12</v>
      </c>
      <c r="C187" t="s">
        <v>9</v>
      </c>
      <c r="D187" t="s">
        <v>16</v>
      </c>
      <c r="E187" t="s">
        <v>11</v>
      </c>
      <c r="F187">
        <v>895</v>
      </c>
      <c r="G187">
        <v>13</v>
      </c>
      <c r="H187" s="3">
        <v>45343</v>
      </c>
      <c r="I187" t="s">
        <v>81</v>
      </c>
      <c r="J187">
        <v>2</v>
      </c>
      <c r="K187">
        <v>2024</v>
      </c>
      <c r="L187" t="s">
        <v>52</v>
      </c>
      <c r="M187" t="str">
        <f t="shared" si="6"/>
        <v>Wednesday</v>
      </c>
      <c r="N187" t="str">
        <f t="shared" si="7"/>
        <v>Weekday</v>
      </c>
      <c r="O187" t="str">
        <f t="shared" si="8"/>
        <v>Q1</v>
      </c>
    </row>
    <row r="188" spans="1:15">
      <c r="A188">
        <v>73</v>
      </c>
      <c r="B188" t="s">
        <v>8</v>
      </c>
      <c r="C188" t="s">
        <v>21</v>
      </c>
      <c r="D188" t="s">
        <v>10</v>
      </c>
      <c r="E188" t="s">
        <v>11</v>
      </c>
      <c r="F188">
        <v>1173</v>
      </c>
      <c r="G188">
        <v>20</v>
      </c>
      <c r="H188" s="3">
        <v>45467</v>
      </c>
      <c r="I188" t="s">
        <v>79</v>
      </c>
      <c r="J188">
        <v>6</v>
      </c>
      <c r="K188">
        <v>2024</v>
      </c>
      <c r="L188" t="s">
        <v>61</v>
      </c>
      <c r="M188" t="str">
        <f t="shared" si="6"/>
        <v>Monday</v>
      </c>
      <c r="N188" t="str">
        <f t="shared" si="7"/>
        <v>Weekday</v>
      </c>
      <c r="O188" t="str">
        <f t="shared" si="8"/>
        <v>Q2</v>
      </c>
    </row>
    <row r="189" spans="1:15">
      <c r="A189">
        <v>74</v>
      </c>
      <c r="B189" t="s">
        <v>8</v>
      </c>
      <c r="C189" t="s">
        <v>15</v>
      </c>
      <c r="D189" t="s">
        <v>16</v>
      </c>
      <c r="E189" t="s">
        <v>11</v>
      </c>
      <c r="F189">
        <v>900</v>
      </c>
      <c r="G189">
        <v>20</v>
      </c>
      <c r="H189" s="3">
        <v>45458</v>
      </c>
      <c r="I189" t="s">
        <v>79</v>
      </c>
      <c r="J189">
        <v>6</v>
      </c>
      <c r="K189">
        <v>2024</v>
      </c>
      <c r="L189" t="s">
        <v>61</v>
      </c>
      <c r="M189" t="str">
        <f t="shared" si="6"/>
        <v>Saturday</v>
      </c>
      <c r="N189" t="str">
        <f t="shared" si="7"/>
        <v>Weekend</v>
      </c>
      <c r="O189" t="str">
        <f t="shared" si="8"/>
        <v>Q2</v>
      </c>
    </row>
    <row r="190" spans="1:15">
      <c r="A190">
        <v>15</v>
      </c>
      <c r="B190" t="s">
        <v>12</v>
      </c>
      <c r="C190" t="s">
        <v>23</v>
      </c>
      <c r="D190" t="s">
        <v>17</v>
      </c>
      <c r="E190" t="s">
        <v>18</v>
      </c>
      <c r="F190">
        <v>1384</v>
      </c>
      <c r="G190">
        <v>18</v>
      </c>
      <c r="H190" s="3">
        <v>44928</v>
      </c>
      <c r="I190" t="s">
        <v>82</v>
      </c>
      <c r="J190">
        <v>1</v>
      </c>
      <c r="K190">
        <v>2023</v>
      </c>
      <c r="L190" t="s">
        <v>46</v>
      </c>
      <c r="M190" t="str">
        <f t="shared" si="6"/>
        <v>Monday</v>
      </c>
      <c r="N190" t="str">
        <f t="shared" si="7"/>
        <v>Weekday</v>
      </c>
      <c r="O190" t="str">
        <f t="shared" si="8"/>
        <v>Q1</v>
      </c>
    </row>
    <row r="191" spans="1:15">
      <c r="A191">
        <v>20</v>
      </c>
      <c r="B191" t="s">
        <v>12</v>
      </c>
      <c r="C191" t="s">
        <v>9</v>
      </c>
      <c r="D191" t="s">
        <v>20</v>
      </c>
      <c r="E191" t="s">
        <v>11</v>
      </c>
      <c r="F191">
        <v>476</v>
      </c>
      <c r="G191">
        <v>4</v>
      </c>
      <c r="H191" s="3">
        <v>45314</v>
      </c>
      <c r="I191" t="s">
        <v>81</v>
      </c>
      <c r="J191">
        <v>1</v>
      </c>
      <c r="K191">
        <v>2024</v>
      </c>
      <c r="L191" t="s">
        <v>46</v>
      </c>
      <c r="M191" t="str">
        <f t="shared" si="6"/>
        <v>Tuesday</v>
      </c>
      <c r="N191" t="str">
        <f t="shared" si="7"/>
        <v>Weekday</v>
      </c>
      <c r="O191" t="str">
        <f t="shared" si="8"/>
        <v>Q1</v>
      </c>
    </row>
    <row r="192" spans="1:15">
      <c r="A192">
        <v>77</v>
      </c>
      <c r="B192" t="s">
        <v>12</v>
      </c>
      <c r="C192" t="s">
        <v>23</v>
      </c>
      <c r="D192" t="s">
        <v>17</v>
      </c>
      <c r="E192" t="s">
        <v>11</v>
      </c>
      <c r="F192">
        <v>1158</v>
      </c>
      <c r="G192">
        <v>1</v>
      </c>
      <c r="H192" s="3">
        <v>45616</v>
      </c>
      <c r="I192" t="s">
        <v>79</v>
      </c>
      <c r="J192">
        <v>11</v>
      </c>
      <c r="K192">
        <v>2024</v>
      </c>
      <c r="L192" t="s">
        <v>73</v>
      </c>
      <c r="M192" t="str">
        <f t="shared" si="6"/>
        <v>Wednesday</v>
      </c>
      <c r="N192" t="str">
        <f t="shared" si="7"/>
        <v>Weekday</v>
      </c>
      <c r="O192" t="str">
        <f t="shared" si="8"/>
        <v>Q4</v>
      </c>
    </row>
    <row r="193" spans="1:15">
      <c r="A193">
        <v>63</v>
      </c>
      <c r="B193" t="s">
        <v>8</v>
      </c>
      <c r="C193" t="s">
        <v>15</v>
      </c>
      <c r="D193" t="s">
        <v>20</v>
      </c>
      <c r="E193" t="s">
        <v>11</v>
      </c>
      <c r="F193">
        <v>525</v>
      </c>
      <c r="G193">
        <v>18</v>
      </c>
      <c r="H193" s="3">
        <v>45590</v>
      </c>
      <c r="I193" t="s">
        <v>79</v>
      </c>
      <c r="J193">
        <v>10</v>
      </c>
      <c r="K193">
        <v>2024</v>
      </c>
      <c r="L193" t="s">
        <v>71</v>
      </c>
      <c r="M193" t="str">
        <f t="shared" si="6"/>
        <v>Friday</v>
      </c>
      <c r="N193" t="str">
        <f t="shared" si="7"/>
        <v>Weekend</v>
      </c>
      <c r="O193" t="str">
        <f t="shared" si="8"/>
        <v>Q4</v>
      </c>
    </row>
    <row r="194" spans="1:15">
      <c r="A194">
        <v>74</v>
      </c>
      <c r="B194" t="s">
        <v>8</v>
      </c>
      <c r="C194" t="s">
        <v>15</v>
      </c>
      <c r="D194" t="s">
        <v>14</v>
      </c>
      <c r="E194" t="s">
        <v>18</v>
      </c>
      <c r="F194">
        <v>1508</v>
      </c>
      <c r="G194">
        <v>1</v>
      </c>
      <c r="H194" s="3">
        <v>44997</v>
      </c>
      <c r="I194" t="s">
        <v>79</v>
      </c>
      <c r="J194">
        <v>3</v>
      </c>
      <c r="K194">
        <v>2023</v>
      </c>
      <c r="L194" t="s">
        <v>54</v>
      </c>
      <c r="M194" t="str">
        <f t="shared" ref="M194:M257" si="9">TEXT(H194,"dddd")</f>
        <v>Sunday</v>
      </c>
      <c r="N194" t="str">
        <f t="shared" ref="N194:N257" si="10">IF(WEEKDAY(H194,1)&gt;5,"Weekend","Weekday")</f>
        <v>Weekday</v>
      </c>
      <c r="O194" t="str">
        <f t="shared" ref="O194:O257" si="11">"Q"&amp;CEILING(MONTH(H194)/3,1)</f>
        <v>Q1</v>
      </c>
    </row>
    <row r="195" spans="1:15">
      <c r="A195">
        <v>7</v>
      </c>
      <c r="B195" t="s">
        <v>8</v>
      </c>
      <c r="C195" t="s">
        <v>15</v>
      </c>
      <c r="D195" t="s">
        <v>10</v>
      </c>
      <c r="E195" t="s">
        <v>18</v>
      </c>
      <c r="F195">
        <v>1123</v>
      </c>
      <c r="G195">
        <v>13</v>
      </c>
      <c r="H195" s="3">
        <v>45566</v>
      </c>
      <c r="I195" t="s">
        <v>82</v>
      </c>
      <c r="J195">
        <v>10</v>
      </c>
      <c r="K195">
        <v>2024</v>
      </c>
      <c r="L195" t="s">
        <v>71</v>
      </c>
      <c r="M195" t="str">
        <f t="shared" si="9"/>
        <v>Tuesday</v>
      </c>
      <c r="N195" t="str">
        <f t="shared" si="10"/>
        <v>Weekday</v>
      </c>
      <c r="O195" t="str">
        <f t="shared" si="11"/>
        <v>Q4</v>
      </c>
    </row>
    <row r="196" spans="1:15">
      <c r="A196">
        <v>24</v>
      </c>
      <c r="B196" t="s">
        <v>12</v>
      </c>
      <c r="C196" t="s">
        <v>23</v>
      </c>
      <c r="D196" t="s">
        <v>20</v>
      </c>
      <c r="E196" t="s">
        <v>18</v>
      </c>
      <c r="F196">
        <v>677</v>
      </c>
      <c r="G196">
        <v>20</v>
      </c>
      <c r="H196" s="3">
        <v>45222</v>
      </c>
      <c r="I196" t="s">
        <v>81</v>
      </c>
      <c r="J196">
        <v>10</v>
      </c>
      <c r="K196">
        <v>2023</v>
      </c>
      <c r="L196" t="s">
        <v>71</v>
      </c>
      <c r="M196" t="str">
        <f t="shared" si="9"/>
        <v>Monday</v>
      </c>
      <c r="N196" t="str">
        <f t="shared" si="10"/>
        <v>Weekday</v>
      </c>
      <c r="O196" t="str">
        <f t="shared" si="11"/>
        <v>Q4</v>
      </c>
    </row>
    <row r="197" spans="1:15">
      <c r="A197">
        <v>63</v>
      </c>
      <c r="B197" t="s">
        <v>8</v>
      </c>
      <c r="C197" t="s">
        <v>25</v>
      </c>
      <c r="D197" t="s">
        <v>17</v>
      </c>
      <c r="E197" t="s">
        <v>11</v>
      </c>
      <c r="F197">
        <v>1167</v>
      </c>
      <c r="G197">
        <v>20</v>
      </c>
      <c r="H197" s="3">
        <v>45648</v>
      </c>
      <c r="I197" t="s">
        <v>79</v>
      </c>
      <c r="J197">
        <v>12</v>
      </c>
      <c r="K197">
        <v>2024</v>
      </c>
      <c r="L197" t="s">
        <v>75</v>
      </c>
      <c r="M197" t="str">
        <f t="shared" si="9"/>
        <v>Sunday</v>
      </c>
      <c r="N197" t="str">
        <f t="shared" si="10"/>
        <v>Weekday</v>
      </c>
      <c r="O197" t="str">
        <f t="shared" si="11"/>
        <v>Q4</v>
      </c>
    </row>
    <row r="198" spans="1:15">
      <c r="A198">
        <v>40</v>
      </c>
      <c r="B198" t="s">
        <v>8</v>
      </c>
      <c r="C198" t="s">
        <v>23</v>
      </c>
      <c r="D198" t="s">
        <v>16</v>
      </c>
      <c r="E198" t="s">
        <v>11</v>
      </c>
      <c r="F198">
        <v>768</v>
      </c>
      <c r="G198">
        <v>10</v>
      </c>
      <c r="H198" s="3">
        <v>44993</v>
      </c>
      <c r="I198" t="s">
        <v>80</v>
      </c>
      <c r="J198">
        <v>3</v>
      </c>
      <c r="K198">
        <v>2023</v>
      </c>
      <c r="L198" t="s">
        <v>54</v>
      </c>
      <c r="M198" t="str">
        <f t="shared" si="9"/>
        <v>Wednesday</v>
      </c>
      <c r="N198" t="str">
        <f t="shared" si="10"/>
        <v>Weekday</v>
      </c>
      <c r="O198" t="str">
        <f t="shared" si="11"/>
        <v>Q1</v>
      </c>
    </row>
    <row r="199" spans="1:15">
      <c r="A199">
        <v>23</v>
      </c>
      <c r="B199" t="s">
        <v>8</v>
      </c>
      <c r="C199" t="s">
        <v>15</v>
      </c>
      <c r="D199" t="s">
        <v>20</v>
      </c>
      <c r="E199" t="s">
        <v>11</v>
      </c>
      <c r="F199">
        <v>564</v>
      </c>
      <c r="G199">
        <v>11</v>
      </c>
      <c r="H199" s="3">
        <v>45387</v>
      </c>
      <c r="I199" t="s">
        <v>81</v>
      </c>
      <c r="J199">
        <v>4</v>
      </c>
      <c r="K199">
        <v>2024</v>
      </c>
      <c r="L199" t="s">
        <v>57</v>
      </c>
      <c r="M199" t="str">
        <f t="shared" si="9"/>
        <v>Friday</v>
      </c>
      <c r="N199" t="str">
        <f t="shared" si="10"/>
        <v>Weekend</v>
      </c>
      <c r="O199" t="str">
        <f t="shared" si="11"/>
        <v>Q2</v>
      </c>
    </row>
    <row r="200" spans="1:15">
      <c r="A200">
        <v>71</v>
      </c>
      <c r="B200" t="s">
        <v>8</v>
      </c>
      <c r="C200" t="s">
        <v>13</v>
      </c>
      <c r="D200" t="s">
        <v>10</v>
      </c>
      <c r="E200" t="s">
        <v>11</v>
      </c>
      <c r="F200">
        <v>1061</v>
      </c>
      <c r="G200">
        <v>9</v>
      </c>
      <c r="H200" s="3">
        <v>45337</v>
      </c>
      <c r="I200" t="s">
        <v>79</v>
      </c>
      <c r="J200">
        <v>2</v>
      </c>
      <c r="K200">
        <v>2024</v>
      </c>
      <c r="L200" t="s">
        <v>52</v>
      </c>
      <c r="M200" t="str">
        <f t="shared" si="9"/>
        <v>Thursday</v>
      </c>
      <c r="N200" t="str">
        <f t="shared" si="10"/>
        <v>Weekday</v>
      </c>
      <c r="O200" t="str">
        <f t="shared" si="11"/>
        <v>Q1</v>
      </c>
    </row>
    <row r="201" spans="1:15">
      <c r="A201">
        <v>23</v>
      </c>
      <c r="B201" t="s">
        <v>8</v>
      </c>
      <c r="C201" t="s">
        <v>9</v>
      </c>
      <c r="D201" t="s">
        <v>20</v>
      </c>
      <c r="E201" t="s">
        <v>11</v>
      </c>
      <c r="F201">
        <v>441</v>
      </c>
      <c r="G201">
        <v>9</v>
      </c>
      <c r="H201" s="3">
        <v>45170</v>
      </c>
      <c r="I201" t="s">
        <v>81</v>
      </c>
      <c r="J201">
        <v>9</v>
      </c>
      <c r="K201">
        <v>2023</v>
      </c>
      <c r="L201" t="s">
        <v>68</v>
      </c>
      <c r="M201" t="str">
        <f t="shared" si="9"/>
        <v>Friday</v>
      </c>
      <c r="N201" t="str">
        <f t="shared" si="10"/>
        <v>Weekend</v>
      </c>
      <c r="O201" t="str">
        <f t="shared" si="11"/>
        <v>Q3</v>
      </c>
    </row>
    <row r="202" spans="1:15">
      <c r="A202">
        <v>24</v>
      </c>
      <c r="B202" t="s">
        <v>8</v>
      </c>
      <c r="C202" t="s">
        <v>9</v>
      </c>
      <c r="D202" t="s">
        <v>24</v>
      </c>
      <c r="E202" t="s">
        <v>11</v>
      </c>
      <c r="F202">
        <v>1008</v>
      </c>
      <c r="G202">
        <v>5</v>
      </c>
      <c r="H202" s="3">
        <v>45200</v>
      </c>
      <c r="I202" t="s">
        <v>81</v>
      </c>
      <c r="J202">
        <v>10</v>
      </c>
      <c r="K202">
        <v>2023</v>
      </c>
      <c r="L202" t="s">
        <v>71</v>
      </c>
      <c r="M202" t="str">
        <f t="shared" si="9"/>
        <v>Sunday</v>
      </c>
      <c r="N202" t="str">
        <f t="shared" si="10"/>
        <v>Weekday</v>
      </c>
      <c r="O202" t="str">
        <f t="shared" si="11"/>
        <v>Q4</v>
      </c>
    </row>
    <row r="203" spans="1:15">
      <c r="A203">
        <v>75</v>
      </c>
      <c r="B203" t="s">
        <v>8</v>
      </c>
      <c r="C203" t="s">
        <v>15</v>
      </c>
      <c r="D203" t="s">
        <v>16</v>
      </c>
      <c r="E203" t="s">
        <v>22</v>
      </c>
      <c r="F203">
        <v>750</v>
      </c>
      <c r="G203">
        <v>1</v>
      </c>
      <c r="H203" s="3">
        <v>45285</v>
      </c>
      <c r="I203" t="s">
        <v>79</v>
      </c>
      <c r="J203">
        <v>12</v>
      </c>
      <c r="K203">
        <v>2023</v>
      </c>
      <c r="L203" t="s">
        <v>75</v>
      </c>
      <c r="M203" t="str">
        <f t="shared" si="9"/>
        <v>Monday</v>
      </c>
      <c r="N203" t="str">
        <f t="shared" si="10"/>
        <v>Weekday</v>
      </c>
      <c r="O203" t="str">
        <f t="shared" si="11"/>
        <v>Q4</v>
      </c>
    </row>
    <row r="204" spans="1:15">
      <c r="A204">
        <v>56</v>
      </c>
      <c r="B204" t="s">
        <v>12</v>
      </c>
      <c r="C204" t="s">
        <v>23</v>
      </c>
      <c r="D204" t="s">
        <v>10</v>
      </c>
      <c r="E204" t="s">
        <v>18</v>
      </c>
      <c r="F204">
        <v>1149</v>
      </c>
      <c r="G204">
        <v>17</v>
      </c>
      <c r="H204" s="3">
        <v>45606</v>
      </c>
      <c r="I204" t="s">
        <v>79</v>
      </c>
      <c r="J204">
        <v>11</v>
      </c>
      <c r="K204">
        <v>2024</v>
      </c>
      <c r="L204" t="s">
        <v>73</v>
      </c>
      <c r="M204" t="str">
        <f t="shared" si="9"/>
        <v>Sunday</v>
      </c>
      <c r="N204" t="str">
        <f t="shared" si="10"/>
        <v>Weekday</v>
      </c>
      <c r="O204" t="str">
        <f t="shared" si="11"/>
        <v>Q4</v>
      </c>
    </row>
    <row r="205" spans="1:15">
      <c r="A205">
        <v>37</v>
      </c>
      <c r="B205" t="s">
        <v>12</v>
      </c>
      <c r="C205" t="s">
        <v>15</v>
      </c>
      <c r="D205" t="s">
        <v>10</v>
      </c>
      <c r="E205" t="s">
        <v>18</v>
      </c>
      <c r="F205">
        <v>920</v>
      </c>
      <c r="G205">
        <v>2</v>
      </c>
      <c r="H205" s="3">
        <v>45495</v>
      </c>
      <c r="I205" t="s">
        <v>80</v>
      </c>
      <c r="J205">
        <v>7</v>
      </c>
      <c r="K205">
        <v>2024</v>
      </c>
      <c r="L205" t="s">
        <v>64</v>
      </c>
      <c r="M205" t="str">
        <f t="shared" si="9"/>
        <v>Monday</v>
      </c>
      <c r="N205" t="str">
        <f t="shared" si="10"/>
        <v>Weekday</v>
      </c>
      <c r="O205" t="str">
        <f t="shared" si="11"/>
        <v>Q3</v>
      </c>
    </row>
    <row r="206" spans="1:15">
      <c r="A206">
        <v>44</v>
      </c>
      <c r="B206" t="s">
        <v>8</v>
      </c>
      <c r="C206" t="s">
        <v>19</v>
      </c>
      <c r="D206" t="s">
        <v>14</v>
      </c>
      <c r="E206" t="s">
        <v>22</v>
      </c>
      <c r="F206">
        <v>1699</v>
      </c>
      <c r="G206">
        <v>13</v>
      </c>
      <c r="H206" s="3">
        <v>45483</v>
      </c>
      <c r="I206" t="s">
        <v>80</v>
      </c>
      <c r="J206">
        <v>7</v>
      </c>
      <c r="K206">
        <v>2024</v>
      </c>
      <c r="L206" t="s">
        <v>64</v>
      </c>
      <c r="M206" t="str">
        <f t="shared" si="9"/>
        <v>Wednesday</v>
      </c>
      <c r="N206" t="str">
        <f t="shared" si="10"/>
        <v>Weekday</v>
      </c>
      <c r="O206" t="str">
        <f t="shared" si="11"/>
        <v>Q3</v>
      </c>
    </row>
    <row r="207" spans="1:15">
      <c r="A207">
        <v>43</v>
      </c>
      <c r="B207" t="s">
        <v>12</v>
      </c>
      <c r="C207" t="s">
        <v>25</v>
      </c>
      <c r="D207" t="s">
        <v>17</v>
      </c>
      <c r="E207" t="s">
        <v>11</v>
      </c>
      <c r="F207">
        <v>1238</v>
      </c>
      <c r="G207">
        <v>9</v>
      </c>
      <c r="H207" s="3">
        <v>45464</v>
      </c>
      <c r="I207" t="s">
        <v>80</v>
      </c>
      <c r="J207">
        <v>6</v>
      </c>
      <c r="K207">
        <v>2024</v>
      </c>
      <c r="L207" t="s">
        <v>61</v>
      </c>
      <c r="M207" t="str">
        <f t="shared" si="9"/>
        <v>Friday</v>
      </c>
      <c r="N207" t="str">
        <f t="shared" si="10"/>
        <v>Weekend</v>
      </c>
      <c r="O207" t="str">
        <f t="shared" si="11"/>
        <v>Q2</v>
      </c>
    </row>
    <row r="208" spans="1:15">
      <c r="A208">
        <v>5</v>
      </c>
      <c r="B208" t="s">
        <v>8</v>
      </c>
      <c r="C208" t="s">
        <v>15</v>
      </c>
      <c r="D208" t="s">
        <v>14</v>
      </c>
      <c r="E208" t="s">
        <v>11</v>
      </c>
      <c r="F208">
        <v>1491</v>
      </c>
      <c r="G208">
        <v>4</v>
      </c>
      <c r="H208" s="3">
        <v>45000</v>
      </c>
      <c r="I208" t="s">
        <v>82</v>
      </c>
      <c r="J208">
        <v>3</v>
      </c>
      <c r="K208">
        <v>2023</v>
      </c>
      <c r="L208" t="s">
        <v>54</v>
      </c>
      <c r="M208" t="str">
        <f t="shared" si="9"/>
        <v>Wednesday</v>
      </c>
      <c r="N208" t="str">
        <f t="shared" si="10"/>
        <v>Weekday</v>
      </c>
      <c r="O208" t="str">
        <f t="shared" si="11"/>
        <v>Q1</v>
      </c>
    </row>
    <row r="209" spans="1:15">
      <c r="A209">
        <v>15</v>
      </c>
      <c r="B209" t="s">
        <v>8</v>
      </c>
      <c r="C209" t="s">
        <v>9</v>
      </c>
      <c r="D209" t="s">
        <v>10</v>
      </c>
      <c r="E209" t="s">
        <v>22</v>
      </c>
      <c r="F209">
        <v>1179</v>
      </c>
      <c r="G209">
        <v>5</v>
      </c>
      <c r="H209" s="3">
        <v>45460</v>
      </c>
      <c r="I209" t="s">
        <v>82</v>
      </c>
      <c r="J209">
        <v>6</v>
      </c>
      <c r="K209">
        <v>2024</v>
      </c>
      <c r="L209" t="s">
        <v>61</v>
      </c>
      <c r="M209" t="str">
        <f t="shared" si="9"/>
        <v>Monday</v>
      </c>
      <c r="N209" t="str">
        <f t="shared" si="10"/>
        <v>Weekday</v>
      </c>
      <c r="O209" t="str">
        <f t="shared" si="11"/>
        <v>Q2</v>
      </c>
    </row>
    <row r="210" spans="1:15">
      <c r="A210">
        <v>61</v>
      </c>
      <c r="B210" t="s">
        <v>8</v>
      </c>
      <c r="C210" t="s">
        <v>15</v>
      </c>
      <c r="D210" t="s">
        <v>16</v>
      </c>
      <c r="E210" t="s">
        <v>11</v>
      </c>
      <c r="F210">
        <v>824</v>
      </c>
      <c r="G210">
        <v>11</v>
      </c>
      <c r="H210" s="3">
        <v>45648</v>
      </c>
      <c r="I210" t="s">
        <v>79</v>
      </c>
      <c r="J210">
        <v>12</v>
      </c>
      <c r="K210">
        <v>2024</v>
      </c>
      <c r="L210" t="s">
        <v>75</v>
      </c>
      <c r="M210" t="str">
        <f t="shared" si="9"/>
        <v>Sunday</v>
      </c>
      <c r="N210" t="str">
        <f t="shared" si="10"/>
        <v>Weekday</v>
      </c>
      <c r="O210" t="str">
        <f t="shared" si="11"/>
        <v>Q4</v>
      </c>
    </row>
    <row r="211" spans="1:15">
      <c r="A211">
        <v>54</v>
      </c>
      <c r="B211" t="s">
        <v>12</v>
      </c>
      <c r="C211" t="s">
        <v>15</v>
      </c>
      <c r="D211" t="s">
        <v>20</v>
      </c>
      <c r="E211" t="s">
        <v>18</v>
      </c>
      <c r="F211">
        <v>510</v>
      </c>
      <c r="G211">
        <v>19</v>
      </c>
      <c r="H211" s="3">
        <v>45510</v>
      </c>
      <c r="I211" t="s">
        <v>80</v>
      </c>
      <c r="J211">
        <v>8</v>
      </c>
      <c r="K211">
        <v>2024</v>
      </c>
      <c r="L211" t="s">
        <v>66</v>
      </c>
      <c r="M211" t="str">
        <f t="shared" si="9"/>
        <v>Tuesday</v>
      </c>
      <c r="N211" t="str">
        <f t="shared" si="10"/>
        <v>Weekday</v>
      </c>
      <c r="O211" t="str">
        <f t="shared" si="11"/>
        <v>Q3</v>
      </c>
    </row>
    <row r="212" spans="1:15">
      <c r="A212">
        <v>27</v>
      </c>
      <c r="B212" t="s">
        <v>12</v>
      </c>
      <c r="C212" t="s">
        <v>9</v>
      </c>
      <c r="D212" t="s">
        <v>20</v>
      </c>
      <c r="E212" t="s">
        <v>11</v>
      </c>
      <c r="F212">
        <v>538</v>
      </c>
      <c r="G212">
        <v>3</v>
      </c>
      <c r="H212" s="3">
        <v>45507</v>
      </c>
      <c r="I212" t="s">
        <v>81</v>
      </c>
      <c r="J212">
        <v>8</v>
      </c>
      <c r="K212">
        <v>2024</v>
      </c>
      <c r="L212" t="s">
        <v>66</v>
      </c>
      <c r="M212" t="str">
        <f t="shared" si="9"/>
        <v>Saturday</v>
      </c>
      <c r="N212" t="str">
        <f t="shared" si="10"/>
        <v>Weekend</v>
      </c>
      <c r="O212" t="str">
        <f t="shared" si="11"/>
        <v>Q3</v>
      </c>
    </row>
    <row r="213" spans="1:15">
      <c r="A213">
        <v>35</v>
      </c>
      <c r="B213" t="s">
        <v>12</v>
      </c>
      <c r="C213" t="s">
        <v>9</v>
      </c>
      <c r="D213" t="s">
        <v>16</v>
      </c>
      <c r="E213" t="s">
        <v>11</v>
      </c>
      <c r="F213">
        <v>972</v>
      </c>
      <c r="G213">
        <v>12</v>
      </c>
      <c r="H213" s="3">
        <v>45609</v>
      </c>
      <c r="I213" t="s">
        <v>81</v>
      </c>
      <c r="J213">
        <v>11</v>
      </c>
      <c r="K213">
        <v>2024</v>
      </c>
      <c r="L213" t="s">
        <v>73</v>
      </c>
      <c r="M213" t="str">
        <f t="shared" si="9"/>
        <v>Wednesday</v>
      </c>
      <c r="N213" t="str">
        <f t="shared" si="10"/>
        <v>Weekday</v>
      </c>
      <c r="O213" t="str">
        <f t="shared" si="11"/>
        <v>Q4</v>
      </c>
    </row>
    <row r="214" spans="1:15">
      <c r="A214">
        <v>46</v>
      </c>
      <c r="B214" t="s">
        <v>8</v>
      </c>
      <c r="C214" t="s">
        <v>19</v>
      </c>
      <c r="D214" t="s">
        <v>10</v>
      </c>
      <c r="E214" t="s">
        <v>11</v>
      </c>
      <c r="F214">
        <v>998</v>
      </c>
      <c r="G214">
        <v>19</v>
      </c>
      <c r="H214" s="3">
        <v>45551</v>
      </c>
      <c r="I214" t="s">
        <v>80</v>
      </c>
      <c r="J214">
        <v>9</v>
      </c>
      <c r="K214">
        <v>2024</v>
      </c>
      <c r="L214" t="s">
        <v>68</v>
      </c>
      <c r="M214" t="str">
        <f t="shared" si="9"/>
        <v>Monday</v>
      </c>
      <c r="N214" t="str">
        <f t="shared" si="10"/>
        <v>Weekday</v>
      </c>
      <c r="O214" t="str">
        <f t="shared" si="11"/>
        <v>Q3</v>
      </c>
    </row>
    <row r="215" spans="1:15">
      <c r="A215">
        <v>11</v>
      </c>
      <c r="B215" t="s">
        <v>8</v>
      </c>
      <c r="C215" t="s">
        <v>9</v>
      </c>
      <c r="D215" t="s">
        <v>20</v>
      </c>
      <c r="E215" t="s">
        <v>22</v>
      </c>
      <c r="F215">
        <v>651</v>
      </c>
      <c r="G215">
        <v>19</v>
      </c>
      <c r="H215" s="3">
        <v>45299</v>
      </c>
      <c r="I215" t="s">
        <v>82</v>
      </c>
      <c r="J215">
        <v>1</v>
      </c>
      <c r="K215">
        <v>2024</v>
      </c>
      <c r="L215" t="s">
        <v>46</v>
      </c>
      <c r="M215" t="str">
        <f t="shared" si="9"/>
        <v>Monday</v>
      </c>
      <c r="N215" t="str">
        <f t="shared" si="10"/>
        <v>Weekday</v>
      </c>
      <c r="O215" t="str">
        <f t="shared" si="11"/>
        <v>Q1</v>
      </c>
    </row>
    <row r="216" spans="1:15">
      <c r="A216">
        <v>20</v>
      </c>
      <c r="B216" t="s">
        <v>8</v>
      </c>
      <c r="C216" t="s">
        <v>19</v>
      </c>
      <c r="D216" t="s">
        <v>20</v>
      </c>
      <c r="E216" t="s">
        <v>18</v>
      </c>
      <c r="F216">
        <v>503</v>
      </c>
      <c r="G216">
        <v>13</v>
      </c>
      <c r="H216" s="3">
        <v>44941</v>
      </c>
      <c r="I216" t="s">
        <v>81</v>
      </c>
      <c r="J216">
        <v>1</v>
      </c>
      <c r="K216">
        <v>2023</v>
      </c>
      <c r="L216" t="s">
        <v>46</v>
      </c>
      <c r="M216" t="str">
        <f t="shared" si="9"/>
        <v>Sunday</v>
      </c>
      <c r="N216" t="str">
        <f t="shared" si="10"/>
        <v>Weekday</v>
      </c>
      <c r="O216" t="str">
        <f t="shared" si="11"/>
        <v>Q1</v>
      </c>
    </row>
    <row r="217" spans="1:15">
      <c r="A217">
        <v>64</v>
      </c>
      <c r="B217" t="s">
        <v>12</v>
      </c>
      <c r="C217" t="s">
        <v>23</v>
      </c>
      <c r="D217" t="s">
        <v>20</v>
      </c>
      <c r="E217" t="s">
        <v>11</v>
      </c>
      <c r="F217">
        <v>613</v>
      </c>
      <c r="G217">
        <v>7</v>
      </c>
      <c r="H217" s="3">
        <v>45368</v>
      </c>
      <c r="I217" t="s">
        <v>79</v>
      </c>
      <c r="J217">
        <v>3</v>
      </c>
      <c r="K217">
        <v>2024</v>
      </c>
      <c r="L217" t="s">
        <v>54</v>
      </c>
      <c r="M217" t="str">
        <f t="shared" si="9"/>
        <v>Sunday</v>
      </c>
      <c r="N217" t="str">
        <f t="shared" si="10"/>
        <v>Weekday</v>
      </c>
      <c r="O217" t="str">
        <f t="shared" si="11"/>
        <v>Q1</v>
      </c>
    </row>
    <row r="218" spans="1:15">
      <c r="A218">
        <v>6</v>
      </c>
      <c r="B218" t="s">
        <v>8</v>
      </c>
      <c r="C218" t="s">
        <v>19</v>
      </c>
      <c r="D218" t="s">
        <v>17</v>
      </c>
      <c r="E218" t="s">
        <v>18</v>
      </c>
      <c r="F218">
        <v>1348</v>
      </c>
      <c r="G218">
        <v>15</v>
      </c>
      <c r="H218" s="3">
        <v>45368</v>
      </c>
      <c r="I218" t="s">
        <v>82</v>
      </c>
      <c r="J218">
        <v>3</v>
      </c>
      <c r="K218">
        <v>2024</v>
      </c>
      <c r="L218" t="s">
        <v>54</v>
      </c>
      <c r="M218" t="str">
        <f t="shared" si="9"/>
        <v>Sunday</v>
      </c>
      <c r="N218" t="str">
        <f t="shared" si="10"/>
        <v>Weekday</v>
      </c>
      <c r="O218" t="str">
        <f t="shared" si="11"/>
        <v>Q1</v>
      </c>
    </row>
    <row r="219" spans="1:15">
      <c r="A219">
        <v>5</v>
      </c>
      <c r="B219" t="s">
        <v>8</v>
      </c>
      <c r="C219" t="s">
        <v>19</v>
      </c>
      <c r="D219" t="s">
        <v>17</v>
      </c>
      <c r="E219" t="s">
        <v>11</v>
      </c>
      <c r="F219">
        <v>1251</v>
      </c>
      <c r="G219">
        <v>7</v>
      </c>
      <c r="H219" s="3">
        <v>45587</v>
      </c>
      <c r="I219" t="s">
        <v>82</v>
      </c>
      <c r="J219">
        <v>10</v>
      </c>
      <c r="K219">
        <v>2024</v>
      </c>
      <c r="L219" t="s">
        <v>71</v>
      </c>
      <c r="M219" t="str">
        <f t="shared" si="9"/>
        <v>Tuesday</v>
      </c>
      <c r="N219" t="str">
        <f t="shared" si="10"/>
        <v>Weekday</v>
      </c>
      <c r="O219" t="str">
        <f t="shared" si="11"/>
        <v>Q4</v>
      </c>
    </row>
    <row r="220" spans="1:15">
      <c r="A220">
        <v>52</v>
      </c>
      <c r="B220" t="s">
        <v>12</v>
      </c>
      <c r="C220" t="s">
        <v>19</v>
      </c>
      <c r="D220" t="s">
        <v>24</v>
      </c>
      <c r="E220" t="s">
        <v>11</v>
      </c>
      <c r="F220">
        <v>1149</v>
      </c>
      <c r="G220">
        <v>8</v>
      </c>
      <c r="H220" s="3">
        <v>45530</v>
      </c>
      <c r="I220" t="s">
        <v>80</v>
      </c>
      <c r="J220">
        <v>8</v>
      </c>
      <c r="K220">
        <v>2024</v>
      </c>
      <c r="L220" t="s">
        <v>66</v>
      </c>
      <c r="M220" t="str">
        <f t="shared" si="9"/>
        <v>Monday</v>
      </c>
      <c r="N220" t="str">
        <f t="shared" si="10"/>
        <v>Weekday</v>
      </c>
      <c r="O220" t="str">
        <f t="shared" si="11"/>
        <v>Q3</v>
      </c>
    </row>
    <row r="221" spans="1:15">
      <c r="A221">
        <v>16</v>
      </c>
      <c r="B221" t="s">
        <v>8</v>
      </c>
      <c r="C221" t="s">
        <v>9</v>
      </c>
      <c r="D221" t="s">
        <v>14</v>
      </c>
      <c r="E221" t="s">
        <v>11</v>
      </c>
      <c r="F221">
        <v>1674</v>
      </c>
      <c r="G221">
        <v>5</v>
      </c>
      <c r="H221" s="3">
        <v>45212</v>
      </c>
      <c r="I221" t="s">
        <v>82</v>
      </c>
      <c r="J221">
        <v>10</v>
      </c>
      <c r="K221">
        <v>2023</v>
      </c>
      <c r="L221" t="s">
        <v>71</v>
      </c>
      <c r="M221" t="str">
        <f t="shared" si="9"/>
        <v>Friday</v>
      </c>
      <c r="N221" t="str">
        <f t="shared" si="10"/>
        <v>Weekend</v>
      </c>
      <c r="O221" t="str">
        <f t="shared" si="11"/>
        <v>Q4</v>
      </c>
    </row>
    <row r="222" spans="1:15">
      <c r="A222">
        <v>73</v>
      </c>
      <c r="B222" t="s">
        <v>12</v>
      </c>
      <c r="C222" t="s">
        <v>15</v>
      </c>
      <c r="D222" t="s">
        <v>16</v>
      </c>
      <c r="E222" t="s">
        <v>11</v>
      </c>
      <c r="F222">
        <v>864</v>
      </c>
      <c r="G222">
        <v>14</v>
      </c>
      <c r="H222" s="3">
        <v>44943</v>
      </c>
      <c r="I222" t="s">
        <v>79</v>
      </c>
      <c r="J222">
        <v>1</v>
      </c>
      <c r="K222">
        <v>2023</v>
      </c>
      <c r="L222" t="s">
        <v>46</v>
      </c>
      <c r="M222" t="str">
        <f t="shared" si="9"/>
        <v>Tuesday</v>
      </c>
      <c r="N222" t="str">
        <f t="shared" si="10"/>
        <v>Weekday</v>
      </c>
      <c r="O222" t="str">
        <f t="shared" si="11"/>
        <v>Q1</v>
      </c>
    </row>
    <row r="223" spans="1:15">
      <c r="A223">
        <v>41</v>
      </c>
      <c r="B223" t="s">
        <v>12</v>
      </c>
      <c r="C223" t="s">
        <v>13</v>
      </c>
      <c r="D223" t="s">
        <v>16</v>
      </c>
      <c r="E223" t="s">
        <v>11</v>
      </c>
      <c r="F223">
        <v>707</v>
      </c>
      <c r="G223">
        <v>4</v>
      </c>
      <c r="H223" s="3">
        <v>44963</v>
      </c>
      <c r="I223" t="s">
        <v>80</v>
      </c>
      <c r="J223">
        <v>2</v>
      </c>
      <c r="K223">
        <v>2023</v>
      </c>
      <c r="L223" t="s">
        <v>52</v>
      </c>
      <c r="M223" t="str">
        <f t="shared" si="9"/>
        <v>Monday</v>
      </c>
      <c r="N223" t="str">
        <f t="shared" si="10"/>
        <v>Weekday</v>
      </c>
      <c r="O223" t="str">
        <f t="shared" si="11"/>
        <v>Q1</v>
      </c>
    </row>
    <row r="224" spans="1:15">
      <c r="A224">
        <v>36</v>
      </c>
      <c r="B224" t="s">
        <v>8</v>
      </c>
      <c r="C224" t="s">
        <v>19</v>
      </c>
      <c r="D224" t="s">
        <v>16</v>
      </c>
      <c r="E224" t="s">
        <v>22</v>
      </c>
      <c r="F224">
        <v>983</v>
      </c>
      <c r="G224">
        <v>10</v>
      </c>
      <c r="H224" s="3">
        <v>44974</v>
      </c>
      <c r="I224" t="s">
        <v>80</v>
      </c>
      <c r="J224">
        <v>2</v>
      </c>
      <c r="K224">
        <v>2023</v>
      </c>
      <c r="L224" t="s">
        <v>52</v>
      </c>
      <c r="M224" t="str">
        <f t="shared" si="9"/>
        <v>Friday</v>
      </c>
      <c r="N224" t="str">
        <f t="shared" si="10"/>
        <v>Weekend</v>
      </c>
      <c r="O224" t="str">
        <f t="shared" si="11"/>
        <v>Q1</v>
      </c>
    </row>
    <row r="225" spans="1:15">
      <c r="A225">
        <v>13</v>
      </c>
      <c r="B225" t="s">
        <v>12</v>
      </c>
      <c r="C225" t="s">
        <v>15</v>
      </c>
      <c r="D225" t="s">
        <v>24</v>
      </c>
      <c r="E225" t="s">
        <v>18</v>
      </c>
      <c r="F225">
        <v>904</v>
      </c>
      <c r="G225">
        <v>20</v>
      </c>
      <c r="H225" s="3">
        <v>45001</v>
      </c>
      <c r="I225" t="s">
        <v>82</v>
      </c>
      <c r="J225">
        <v>3</v>
      </c>
      <c r="K225">
        <v>2023</v>
      </c>
      <c r="L225" t="s">
        <v>54</v>
      </c>
      <c r="M225" t="str">
        <f t="shared" si="9"/>
        <v>Thursday</v>
      </c>
      <c r="N225" t="str">
        <f t="shared" si="10"/>
        <v>Weekday</v>
      </c>
      <c r="O225" t="str">
        <f t="shared" si="11"/>
        <v>Q1</v>
      </c>
    </row>
    <row r="226" spans="1:15">
      <c r="A226">
        <v>23</v>
      </c>
      <c r="B226" t="s">
        <v>8</v>
      </c>
      <c r="C226" t="s">
        <v>9</v>
      </c>
      <c r="D226" t="s">
        <v>17</v>
      </c>
      <c r="E226" t="s">
        <v>11</v>
      </c>
      <c r="F226">
        <v>1244</v>
      </c>
      <c r="G226">
        <v>15</v>
      </c>
      <c r="H226" s="3">
        <v>45091</v>
      </c>
      <c r="I226" t="s">
        <v>81</v>
      </c>
      <c r="J226">
        <v>6</v>
      </c>
      <c r="K226">
        <v>2023</v>
      </c>
      <c r="L226" t="s">
        <v>61</v>
      </c>
      <c r="M226" t="str">
        <f t="shared" si="9"/>
        <v>Wednesday</v>
      </c>
      <c r="N226" t="str">
        <f t="shared" si="10"/>
        <v>Weekday</v>
      </c>
      <c r="O226" t="str">
        <f t="shared" si="11"/>
        <v>Q2</v>
      </c>
    </row>
    <row r="227" spans="1:15">
      <c r="A227">
        <v>52</v>
      </c>
      <c r="B227" t="s">
        <v>8</v>
      </c>
      <c r="C227" t="s">
        <v>15</v>
      </c>
      <c r="D227" t="s">
        <v>10</v>
      </c>
      <c r="E227" t="s">
        <v>11</v>
      </c>
      <c r="F227">
        <v>1000</v>
      </c>
      <c r="G227">
        <v>18</v>
      </c>
      <c r="H227" s="3">
        <v>45304</v>
      </c>
      <c r="I227" t="s">
        <v>80</v>
      </c>
      <c r="J227">
        <v>1</v>
      </c>
      <c r="K227">
        <v>2024</v>
      </c>
      <c r="L227" t="s">
        <v>46</v>
      </c>
      <c r="M227" t="str">
        <f t="shared" si="9"/>
        <v>Saturday</v>
      </c>
      <c r="N227" t="str">
        <f t="shared" si="10"/>
        <v>Weekend</v>
      </c>
      <c r="O227" t="str">
        <f t="shared" si="11"/>
        <v>Q1</v>
      </c>
    </row>
    <row r="228" spans="1:15">
      <c r="A228">
        <v>7</v>
      </c>
      <c r="B228" t="s">
        <v>8</v>
      </c>
      <c r="C228" t="s">
        <v>21</v>
      </c>
      <c r="D228" t="s">
        <v>10</v>
      </c>
      <c r="E228" t="s">
        <v>22</v>
      </c>
      <c r="F228">
        <v>1063</v>
      </c>
      <c r="G228">
        <v>20</v>
      </c>
      <c r="H228" s="3">
        <v>44963</v>
      </c>
      <c r="I228" t="s">
        <v>82</v>
      </c>
      <c r="J228">
        <v>2</v>
      </c>
      <c r="K228">
        <v>2023</v>
      </c>
      <c r="L228" t="s">
        <v>52</v>
      </c>
      <c r="M228" t="str">
        <f t="shared" si="9"/>
        <v>Monday</v>
      </c>
      <c r="N228" t="str">
        <f t="shared" si="10"/>
        <v>Weekday</v>
      </c>
      <c r="O228" t="str">
        <f t="shared" si="11"/>
        <v>Q1</v>
      </c>
    </row>
    <row r="229" spans="1:15">
      <c r="A229">
        <v>24</v>
      </c>
      <c r="B229" t="s">
        <v>12</v>
      </c>
      <c r="C229" t="s">
        <v>15</v>
      </c>
      <c r="D229" t="s">
        <v>24</v>
      </c>
      <c r="E229" t="s">
        <v>22</v>
      </c>
      <c r="F229">
        <v>1046</v>
      </c>
      <c r="G229">
        <v>13</v>
      </c>
      <c r="H229" s="3">
        <v>44929</v>
      </c>
      <c r="I229" t="s">
        <v>81</v>
      </c>
      <c r="J229">
        <v>1</v>
      </c>
      <c r="K229">
        <v>2023</v>
      </c>
      <c r="L229" t="s">
        <v>46</v>
      </c>
      <c r="M229" t="str">
        <f t="shared" si="9"/>
        <v>Tuesday</v>
      </c>
      <c r="N229" t="str">
        <f t="shared" si="10"/>
        <v>Weekday</v>
      </c>
      <c r="O229" t="str">
        <f t="shared" si="11"/>
        <v>Q1</v>
      </c>
    </row>
    <row r="230" spans="1:15">
      <c r="A230">
        <v>28</v>
      </c>
      <c r="B230" t="s">
        <v>8</v>
      </c>
      <c r="C230" t="s">
        <v>15</v>
      </c>
      <c r="D230" t="s">
        <v>10</v>
      </c>
      <c r="E230" t="s">
        <v>18</v>
      </c>
      <c r="F230">
        <v>963</v>
      </c>
      <c r="G230">
        <v>8</v>
      </c>
      <c r="H230" s="3">
        <v>45426</v>
      </c>
      <c r="I230" t="s">
        <v>81</v>
      </c>
      <c r="J230">
        <v>5</v>
      </c>
      <c r="K230">
        <v>2024</v>
      </c>
      <c r="L230" t="s">
        <v>59</v>
      </c>
      <c r="M230" t="str">
        <f t="shared" si="9"/>
        <v>Tuesday</v>
      </c>
      <c r="N230" t="str">
        <f t="shared" si="10"/>
        <v>Weekday</v>
      </c>
      <c r="O230" t="str">
        <f t="shared" si="11"/>
        <v>Q2</v>
      </c>
    </row>
    <row r="231" spans="1:15">
      <c r="A231">
        <v>58</v>
      </c>
      <c r="B231" t="s">
        <v>8</v>
      </c>
      <c r="C231" t="s">
        <v>9</v>
      </c>
      <c r="D231" t="s">
        <v>16</v>
      </c>
      <c r="E231" t="s">
        <v>11</v>
      </c>
      <c r="F231">
        <v>790</v>
      </c>
      <c r="G231">
        <v>9</v>
      </c>
      <c r="H231" s="3">
        <v>45121</v>
      </c>
      <c r="I231" t="s">
        <v>79</v>
      </c>
      <c r="J231">
        <v>7</v>
      </c>
      <c r="K231">
        <v>2023</v>
      </c>
      <c r="L231" t="s">
        <v>64</v>
      </c>
      <c r="M231" t="str">
        <f t="shared" si="9"/>
        <v>Friday</v>
      </c>
      <c r="N231" t="str">
        <f t="shared" si="10"/>
        <v>Weekend</v>
      </c>
      <c r="O231" t="str">
        <f t="shared" si="11"/>
        <v>Q3</v>
      </c>
    </row>
    <row r="232" spans="1:15">
      <c r="A232">
        <v>37</v>
      </c>
      <c r="B232" t="s">
        <v>8</v>
      </c>
      <c r="C232" t="s">
        <v>9</v>
      </c>
      <c r="D232" t="s">
        <v>14</v>
      </c>
      <c r="E232" t="s">
        <v>11</v>
      </c>
      <c r="F232">
        <v>1516</v>
      </c>
      <c r="G232">
        <v>16</v>
      </c>
      <c r="H232" s="3">
        <v>45519</v>
      </c>
      <c r="I232" t="s">
        <v>80</v>
      </c>
      <c r="J232">
        <v>8</v>
      </c>
      <c r="K232">
        <v>2024</v>
      </c>
      <c r="L232" t="s">
        <v>66</v>
      </c>
      <c r="M232" t="str">
        <f t="shared" si="9"/>
        <v>Thursday</v>
      </c>
      <c r="N232" t="str">
        <f t="shared" si="10"/>
        <v>Weekday</v>
      </c>
      <c r="O232" t="str">
        <f t="shared" si="11"/>
        <v>Q3</v>
      </c>
    </row>
    <row r="233" spans="1:15">
      <c r="A233">
        <v>28</v>
      </c>
      <c r="B233" t="s">
        <v>12</v>
      </c>
      <c r="C233" t="s">
        <v>13</v>
      </c>
      <c r="D233" t="s">
        <v>20</v>
      </c>
      <c r="E233" t="s">
        <v>11</v>
      </c>
      <c r="F233">
        <v>666</v>
      </c>
      <c r="G233">
        <v>19</v>
      </c>
      <c r="H233" s="3">
        <v>45573</v>
      </c>
      <c r="I233" t="s">
        <v>81</v>
      </c>
      <c r="J233">
        <v>10</v>
      </c>
      <c r="K233">
        <v>2024</v>
      </c>
      <c r="L233" t="s">
        <v>71</v>
      </c>
      <c r="M233" t="str">
        <f t="shared" si="9"/>
        <v>Tuesday</v>
      </c>
      <c r="N233" t="str">
        <f t="shared" si="10"/>
        <v>Weekday</v>
      </c>
      <c r="O233" t="str">
        <f t="shared" si="11"/>
        <v>Q4</v>
      </c>
    </row>
    <row r="234" spans="1:15">
      <c r="A234">
        <v>79</v>
      </c>
      <c r="B234" t="s">
        <v>12</v>
      </c>
      <c r="C234" t="s">
        <v>15</v>
      </c>
      <c r="D234" t="s">
        <v>17</v>
      </c>
      <c r="E234" t="s">
        <v>11</v>
      </c>
      <c r="F234">
        <v>1272</v>
      </c>
      <c r="G234">
        <v>16</v>
      </c>
      <c r="H234" s="3">
        <v>44941</v>
      </c>
      <c r="I234" t="s">
        <v>79</v>
      </c>
      <c r="J234">
        <v>1</v>
      </c>
      <c r="K234">
        <v>2023</v>
      </c>
      <c r="L234" t="s">
        <v>46</v>
      </c>
      <c r="M234" t="str">
        <f t="shared" si="9"/>
        <v>Sunday</v>
      </c>
      <c r="N234" t="str">
        <f t="shared" si="10"/>
        <v>Weekday</v>
      </c>
      <c r="O234" t="str">
        <f t="shared" si="11"/>
        <v>Q1</v>
      </c>
    </row>
    <row r="235" spans="1:15">
      <c r="A235">
        <v>76</v>
      </c>
      <c r="B235" t="s">
        <v>8</v>
      </c>
      <c r="C235" t="s">
        <v>25</v>
      </c>
      <c r="D235" t="s">
        <v>17</v>
      </c>
      <c r="E235" t="s">
        <v>11</v>
      </c>
      <c r="F235">
        <v>1146</v>
      </c>
      <c r="G235">
        <v>7</v>
      </c>
      <c r="H235" s="3">
        <v>45495</v>
      </c>
      <c r="I235" t="s">
        <v>79</v>
      </c>
      <c r="J235">
        <v>7</v>
      </c>
      <c r="K235">
        <v>2024</v>
      </c>
      <c r="L235" t="s">
        <v>64</v>
      </c>
      <c r="M235" t="str">
        <f t="shared" si="9"/>
        <v>Monday</v>
      </c>
      <c r="N235" t="str">
        <f t="shared" si="10"/>
        <v>Weekday</v>
      </c>
      <c r="O235" t="str">
        <f t="shared" si="11"/>
        <v>Q3</v>
      </c>
    </row>
    <row r="236" spans="1:15">
      <c r="A236">
        <v>40</v>
      </c>
      <c r="B236" t="s">
        <v>12</v>
      </c>
      <c r="C236" t="s">
        <v>15</v>
      </c>
      <c r="D236" t="s">
        <v>24</v>
      </c>
      <c r="E236" t="s">
        <v>22</v>
      </c>
      <c r="F236">
        <v>1039</v>
      </c>
      <c r="G236">
        <v>14</v>
      </c>
      <c r="H236" s="3">
        <v>45073</v>
      </c>
      <c r="I236" t="s">
        <v>80</v>
      </c>
      <c r="J236">
        <v>5</v>
      </c>
      <c r="K236">
        <v>2023</v>
      </c>
      <c r="L236" t="s">
        <v>59</v>
      </c>
      <c r="M236" t="str">
        <f t="shared" si="9"/>
        <v>Saturday</v>
      </c>
      <c r="N236" t="str">
        <f t="shared" si="10"/>
        <v>Weekend</v>
      </c>
      <c r="O236" t="str">
        <f t="shared" si="11"/>
        <v>Q2</v>
      </c>
    </row>
    <row r="237" spans="1:15">
      <c r="A237">
        <v>42</v>
      </c>
      <c r="B237" t="s">
        <v>8</v>
      </c>
      <c r="C237" t="s">
        <v>25</v>
      </c>
      <c r="D237" t="s">
        <v>17</v>
      </c>
      <c r="E237" t="s">
        <v>11</v>
      </c>
      <c r="F237">
        <v>1345</v>
      </c>
      <c r="G237">
        <v>14</v>
      </c>
      <c r="H237" s="3">
        <v>45212</v>
      </c>
      <c r="I237" t="s">
        <v>80</v>
      </c>
      <c r="J237">
        <v>10</v>
      </c>
      <c r="K237">
        <v>2023</v>
      </c>
      <c r="L237" t="s">
        <v>71</v>
      </c>
      <c r="M237" t="str">
        <f t="shared" si="9"/>
        <v>Friday</v>
      </c>
      <c r="N237" t="str">
        <f t="shared" si="10"/>
        <v>Weekend</v>
      </c>
      <c r="O237" t="str">
        <f t="shared" si="11"/>
        <v>Q4</v>
      </c>
    </row>
    <row r="238" spans="1:15">
      <c r="A238">
        <v>29</v>
      </c>
      <c r="B238" t="s">
        <v>8</v>
      </c>
      <c r="C238" t="s">
        <v>15</v>
      </c>
      <c r="D238" t="s">
        <v>16</v>
      </c>
      <c r="E238" t="s">
        <v>11</v>
      </c>
      <c r="F238">
        <v>848</v>
      </c>
      <c r="G238">
        <v>4</v>
      </c>
      <c r="H238" s="3">
        <v>45308</v>
      </c>
      <c r="I238" t="s">
        <v>81</v>
      </c>
      <c r="J238">
        <v>1</v>
      </c>
      <c r="K238">
        <v>2024</v>
      </c>
      <c r="L238" t="s">
        <v>46</v>
      </c>
      <c r="M238" t="str">
        <f t="shared" si="9"/>
        <v>Wednesday</v>
      </c>
      <c r="N238" t="str">
        <f t="shared" si="10"/>
        <v>Weekday</v>
      </c>
      <c r="O238" t="str">
        <f t="shared" si="11"/>
        <v>Q1</v>
      </c>
    </row>
    <row r="239" spans="1:15">
      <c r="A239">
        <v>22</v>
      </c>
      <c r="B239" t="s">
        <v>12</v>
      </c>
      <c r="C239" t="s">
        <v>15</v>
      </c>
      <c r="D239" t="s">
        <v>10</v>
      </c>
      <c r="E239" t="s">
        <v>11</v>
      </c>
      <c r="F239">
        <v>1145</v>
      </c>
      <c r="G239">
        <v>15</v>
      </c>
      <c r="H239" s="3">
        <v>45372</v>
      </c>
      <c r="I239" t="s">
        <v>81</v>
      </c>
      <c r="J239">
        <v>3</v>
      </c>
      <c r="K239">
        <v>2024</v>
      </c>
      <c r="L239" t="s">
        <v>54</v>
      </c>
      <c r="M239" t="str">
        <f t="shared" si="9"/>
        <v>Thursday</v>
      </c>
      <c r="N239" t="str">
        <f t="shared" si="10"/>
        <v>Weekday</v>
      </c>
      <c r="O239" t="str">
        <f t="shared" si="11"/>
        <v>Q1</v>
      </c>
    </row>
    <row r="240" spans="1:15">
      <c r="A240">
        <v>70</v>
      </c>
      <c r="B240" t="s">
        <v>8</v>
      </c>
      <c r="C240" t="s">
        <v>23</v>
      </c>
      <c r="D240" t="s">
        <v>16</v>
      </c>
      <c r="E240" t="s">
        <v>11</v>
      </c>
      <c r="F240">
        <v>704</v>
      </c>
      <c r="G240">
        <v>3</v>
      </c>
      <c r="H240" s="3">
        <v>45131</v>
      </c>
      <c r="I240" t="s">
        <v>79</v>
      </c>
      <c r="J240">
        <v>7</v>
      </c>
      <c r="K240">
        <v>2023</v>
      </c>
      <c r="L240" t="s">
        <v>64</v>
      </c>
      <c r="M240" t="str">
        <f t="shared" si="9"/>
        <v>Monday</v>
      </c>
      <c r="N240" t="str">
        <f t="shared" si="10"/>
        <v>Weekday</v>
      </c>
      <c r="O240" t="str">
        <f t="shared" si="11"/>
        <v>Q3</v>
      </c>
    </row>
    <row r="241" spans="1:15">
      <c r="A241">
        <v>58</v>
      </c>
      <c r="B241" t="s">
        <v>8</v>
      </c>
      <c r="C241" t="s">
        <v>26</v>
      </c>
      <c r="D241" t="s">
        <v>24</v>
      </c>
      <c r="E241" t="s">
        <v>11</v>
      </c>
      <c r="F241">
        <v>1083</v>
      </c>
      <c r="G241">
        <v>5</v>
      </c>
      <c r="H241" s="3">
        <v>45568</v>
      </c>
      <c r="I241" t="s">
        <v>79</v>
      </c>
      <c r="J241">
        <v>10</v>
      </c>
      <c r="K241">
        <v>2024</v>
      </c>
      <c r="L241" t="s">
        <v>71</v>
      </c>
      <c r="M241" t="str">
        <f t="shared" si="9"/>
        <v>Thursday</v>
      </c>
      <c r="N241" t="str">
        <f t="shared" si="10"/>
        <v>Weekday</v>
      </c>
      <c r="O241" t="str">
        <f t="shared" si="11"/>
        <v>Q4</v>
      </c>
    </row>
    <row r="242" spans="1:15">
      <c r="A242">
        <v>39</v>
      </c>
      <c r="B242" t="s">
        <v>8</v>
      </c>
      <c r="C242" t="s">
        <v>13</v>
      </c>
      <c r="D242" t="s">
        <v>16</v>
      </c>
      <c r="E242" t="s">
        <v>11</v>
      </c>
      <c r="F242">
        <v>719</v>
      </c>
      <c r="G242">
        <v>1</v>
      </c>
      <c r="H242" s="3">
        <v>45297</v>
      </c>
      <c r="I242" t="s">
        <v>80</v>
      </c>
      <c r="J242">
        <v>1</v>
      </c>
      <c r="K242">
        <v>2024</v>
      </c>
      <c r="L242" t="s">
        <v>46</v>
      </c>
      <c r="M242" t="str">
        <f t="shared" si="9"/>
        <v>Saturday</v>
      </c>
      <c r="N242" t="str">
        <f t="shared" si="10"/>
        <v>Weekend</v>
      </c>
      <c r="O242" t="str">
        <f t="shared" si="11"/>
        <v>Q1</v>
      </c>
    </row>
    <row r="243" spans="1:15">
      <c r="A243">
        <v>65</v>
      </c>
      <c r="B243" t="s">
        <v>8</v>
      </c>
      <c r="C243" t="s">
        <v>19</v>
      </c>
      <c r="D243" t="s">
        <v>10</v>
      </c>
      <c r="E243" t="s">
        <v>11</v>
      </c>
      <c r="F243">
        <v>945</v>
      </c>
      <c r="G243">
        <v>3</v>
      </c>
      <c r="H243" s="3">
        <v>45112</v>
      </c>
      <c r="I243" t="s">
        <v>79</v>
      </c>
      <c r="J243">
        <v>7</v>
      </c>
      <c r="K243">
        <v>2023</v>
      </c>
      <c r="L243" t="s">
        <v>64</v>
      </c>
      <c r="M243" t="str">
        <f t="shared" si="9"/>
        <v>Wednesday</v>
      </c>
      <c r="N243" t="str">
        <f t="shared" si="10"/>
        <v>Weekday</v>
      </c>
      <c r="O243" t="str">
        <f t="shared" si="11"/>
        <v>Q3</v>
      </c>
    </row>
    <row r="244" spans="1:15">
      <c r="A244">
        <v>45</v>
      </c>
      <c r="B244" t="s">
        <v>8</v>
      </c>
      <c r="C244" t="s">
        <v>21</v>
      </c>
      <c r="D244" t="s">
        <v>14</v>
      </c>
      <c r="E244" t="s">
        <v>18</v>
      </c>
      <c r="F244">
        <v>1411</v>
      </c>
      <c r="G244">
        <v>15</v>
      </c>
      <c r="H244" s="3">
        <v>45068</v>
      </c>
      <c r="I244" t="s">
        <v>80</v>
      </c>
      <c r="J244">
        <v>5</v>
      </c>
      <c r="K244">
        <v>2023</v>
      </c>
      <c r="L244" t="s">
        <v>59</v>
      </c>
      <c r="M244" t="str">
        <f t="shared" si="9"/>
        <v>Monday</v>
      </c>
      <c r="N244" t="str">
        <f t="shared" si="10"/>
        <v>Weekday</v>
      </c>
      <c r="O244" t="str">
        <f t="shared" si="11"/>
        <v>Q2</v>
      </c>
    </row>
    <row r="245" spans="1:15">
      <c r="A245">
        <v>37</v>
      </c>
      <c r="B245" t="s">
        <v>12</v>
      </c>
      <c r="C245" t="s">
        <v>15</v>
      </c>
      <c r="D245" t="s">
        <v>24</v>
      </c>
      <c r="E245" t="s">
        <v>22</v>
      </c>
      <c r="F245">
        <v>969</v>
      </c>
      <c r="G245">
        <v>8</v>
      </c>
      <c r="H245" s="3">
        <v>45317</v>
      </c>
      <c r="I245" t="s">
        <v>80</v>
      </c>
      <c r="J245">
        <v>1</v>
      </c>
      <c r="K245">
        <v>2024</v>
      </c>
      <c r="L245" t="s">
        <v>46</v>
      </c>
      <c r="M245" t="str">
        <f t="shared" si="9"/>
        <v>Friday</v>
      </c>
      <c r="N245" t="str">
        <f t="shared" si="10"/>
        <v>Weekend</v>
      </c>
      <c r="O245" t="str">
        <f t="shared" si="11"/>
        <v>Q1</v>
      </c>
    </row>
    <row r="246" spans="1:15">
      <c r="A246">
        <v>72</v>
      </c>
      <c r="B246" t="s">
        <v>12</v>
      </c>
      <c r="C246" t="s">
        <v>26</v>
      </c>
      <c r="D246" t="s">
        <v>14</v>
      </c>
      <c r="E246" t="s">
        <v>11</v>
      </c>
      <c r="F246">
        <v>1416</v>
      </c>
      <c r="G246">
        <v>4</v>
      </c>
      <c r="H246" s="3">
        <v>44943</v>
      </c>
      <c r="I246" t="s">
        <v>79</v>
      </c>
      <c r="J246">
        <v>1</v>
      </c>
      <c r="K246">
        <v>2023</v>
      </c>
      <c r="L246" t="s">
        <v>46</v>
      </c>
      <c r="M246" t="str">
        <f t="shared" si="9"/>
        <v>Tuesday</v>
      </c>
      <c r="N246" t="str">
        <f t="shared" si="10"/>
        <v>Weekday</v>
      </c>
      <c r="O246" t="str">
        <f t="shared" si="11"/>
        <v>Q1</v>
      </c>
    </row>
    <row r="247" spans="1:15">
      <c r="A247">
        <v>37</v>
      </c>
      <c r="B247" t="s">
        <v>8</v>
      </c>
      <c r="C247" t="s">
        <v>9</v>
      </c>
      <c r="D247" t="s">
        <v>20</v>
      </c>
      <c r="E247" t="s">
        <v>11</v>
      </c>
      <c r="F247">
        <v>546</v>
      </c>
      <c r="G247">
        <v>2</v>
      </c>
      <c r="H247" s="3">
        <v>44949</v>
      </c>
      <c r="I247" t="s">
        <v>80</v>
      </c>
      <c r="J247">
        <v>1</v>
      </c>
      <c r="K247">
        <v>2023</v>
      </c>
      <c r="L247" t="s">
        <v>46</v>
      </c>
      <c r="M247" t="str">
        <f t="shared" si="9"/>
        <v>Monday</v>
      </c>
      <c r="N247" t="str">
        <f t="shared" si="10"/>
        <v>Weekday</v>
      </c>
      <c r="O247" t="str">
        <f t="shared" si="11"/>
        <v>Q1</v>
      </c>
    </row>
    <row r="248" spans="1:15">
      <c r="A248">
        <v>18</v>
      </c>
      <c r="B248" t="s">
        <v>12</v>
      </c>
      <c r="C248" t="s">
        <v>23</v>
      </c>
      <c r="D248" t="s">
        <v>14</v>
      </c>
      <c r="E248" t="s">
        <v>18</v>
      </c>
      <c r="F248">
        <v>1553</v>
      </c>
      <c r="G248">
        <v>10</v>
      </c>
      <c r="H248" s="3">
        <v>45255</v>
      </c>
      <c r="I248" t="s">
        <v>81</v>
      </c>
      <c r="J248">
        <v>11</v>
      </c>
      <c r="K248">
        <v>2023</v>
      </c>
      <c r="L248" t="s">
        <v>73</v>
      </c>
      <c r="M248" t="str">
        <f t="shared" si="9"/>
        <v>Saturday</v>
      </c>
      <c r="N248" t="str">
        <f t="shared" si="10"/>
        <v>Weekend</v>
      </c>
      <c r="O248" t="str">
        <f t="shared" si="11"/>
        <v>Q4</v>
      </c>
    </row>
    <row r="249" spans="1:15">
      <c r="A249">
        <v>25</v>
      </c>
      <c r="B249" t="s">
        <v>12</v>
      </c>
      <c r="C249" t="s">
        <v>25</v>
      </c>
      <c r="D249" t="s">
        <v>20</v>
      </c>
      <c r="E249" t="s">
        <v>11</v>
      </c>
      <c r="F249">
        <v>507</v>
      </c>
      <c r="G249">
        <v>4</v>
      </c>
      <c r="H249" s="3">
        <v>45171</v>
      </c>
      <c r="I249" t="s">
        <v>81</v>
      </c>
      <c r="J249">
        <v>9</v>
      </c>
      <c r="K249">
        <v>2023</v>
      </c>
      <c r="L249" t="s">
        <v>68</v>
      </c>
      <c r="M249" t="str">
        <f t="shared" si="9"/>
        <v>Saturday</v>
      </c>
      <c r="N249" t="str">
        <f t="shared" si="10"/>
        <v>Weekend</v>
      </c>
      <c r="O249" t="str">
        <f t="shared" si="11"/>
        <v>Q3</v>
      </c>
    </row>
    <row r="250" spans="1:15">
      <c r="A250">
        <v>52</v>
      </c>
      <c r="B250" t="s">
        <v>12</v>
      </c>
      <c r="C250" t="s">
        <v>23</v>
      </c>
      <c r="D250" t="s">
        <v>20</v>
      </c>
      <c r="E250" t="s">
        <v>11</v>
      </c>
      <c r="F250">
        <v>635</v>
      </c>
      <c r="G250">
        <v>3</v>
      </c>
      <c r="H250" s="3">
        <v>45256</v>
      </c>
      <c r="I250" t="s">
        <v>80</v>
      </c>
      <c r="J250">
        <v>11</v>
      </c>
      <c r="K250">
        <v>2023</v>
      </c>
      <c r="L250" t="s">
        <v>73</v>
      </c>
      <c r="M250" t="str">
        <f t="shared" si="9"/>
        <v>Sunday</v>
      </c>
      <c r="N250" t="str">
        <f t="shared" si="10"/>
        <v>Weekday</v>
      </c>
      <c r="O250" t="str">
        <f t="shared" si="11"/>
        <v>Q4</v>
      </c>
    </row>
    <row r="251" spans="1:15">
      <c r="A251">
        <v>24</v>
      </c>
      <c r="B251" t="s">
        <v>8</v>
      </c>
      <c r="C251" t="s">
        <v>9</v>
      </c>
      <c r="D251" t="s">
        <v>14</v>
      </c>
      <c r="E251" t="s">
        <v>18</v>
      </c>
      <c r="F251">
        <v>1469</v>
      </c>
      <c r="G251">
        <v>2</v>
      </c>
      <c r="H251" s="3">
        <v>45000</v>
      </c>
      <c r="I251" t="s">
        <v>81</v>
      </c>
      <c r="J251">
        <v>3</v>
      </c>
      <c r="K251">
        <v>2023</v>
      </c>
      <c r="L251" t="s">
        <v>54</v>
      </c>
      <c r="M251" t="str">
        <f t="shared" si="9"/>
        <v>Wednesday</v>
      </c>
      <c r="N251" t="str">
        <f t="shared" si="10"/>
        <v>Weekday</v>
      </c>
      <c r="O251" t="str">
        <f t="shared" si="11"/>
        <v>Q1</v>
      </c>
    </row>
    <row r="252" spans="1:15">
      <c r="A252">
        <v>12</v>
      </c>
      <c r="B252" t="s">
        <v>8</v>
      </c>
      <c r="C252" t="s">
        <v>9</v>
      </c>
      <c r="D252" t="s">
        <v>24</v>
      </c>
      <c r="E252" t="s">
        <v>11</v>
      </c>
      <c r="F252">
        <v>1082</v>
      </c>
      <c r="G252">
        <v>17</v>
      </c>
      <c r="H252" s="3">
        <v>45051</v>
      </c>
      <c r="I252" t="s">
        <v>82</v>
      </c>
      <c r="J252">
        <v>5</v>
      </c>
      <c r="K252">
        <v>2023</v>
      </c>
      <c r="L252" t="s">
        <v>59</v>
      </c>
      <c r="M252" t="str">
        <f t="shared" si="9"/>
        <v>Friday</v>
      </c>
      <c r="N252" t="str">
        <f t="shared" si="10"/>
        <v>Weekend</v>
      </c>
      <c r="O252" t="str">
        <f t="shared" si="11"/>
        <v>Q2</v>
      </c>
    </row>
    <row r="253" spans="1:15">
      <c r="A253">
        <v>11</v>
      </c>
      <c r="B253" t="s">
        <v>8</v>
      </c>
      <c r="C253" t="s">
        <v>25</v>
      </c>
      <c r="D253" t="s">
        <v>10</v>
      </c>
      <c r="E253" t="s">
        <v>11</v>
      </c>
      <c r="F253">
        <v>1149</v>
      </c>
      <c r="G253">
        <v>20</v>
      </c>
      <c r="H253" s="3">
        <v>45622</v>
      </c>
      <c r="I253" t="s">
        <v>82</v>
      </c>
      <c r="J253">
        <v>11</v>
      </c>
      <c r="K253">
        <v>2024</v>
      </c>
      <c r="L253" t="s">
        <v>73</v>
      </c>
      <c r="M253" t="str">
        <f t="shared" si="9"/>
        <v>Tuesday</v>
      </c>
      <c r="N253" t="str">
        <f t="shared" si="10"/>
        <v>Weekday</v>
      </c>
      <c r="O253" t="str">
        <f t="shared" si="11"/>
        <v>Q4</v>
      </c>
    </row>
    <row r="254" spans="1:15">
      <c r="A254">
        <v>71</v>
      </c>
      <c r="B254" t="s">
        <v>8</v>
      </c>
      <c r="C254" t="s">
        <v>15</v>
      </c>
      <c r="D254" t="s">
        <v>16</v>
      </c>
      <c r="E254" t="s">
        <v>11</v>
      </c>
      <c r="F254">
        <v>927</v>
      </c>
      <c r="G254">
        <v>13</v>
      </c>
      <c r="H254" s="3">
        <v>45219</v>
      </c>
      <c r="I254" t="s">
        <v>79</v>
      </c>
      <c r="J254">
        <v>10</v>
      </c>
      <c r="K254">
        <v>2023</v>
      </c>
      <c r="L254" t="s">
        <v>71</v>
      </c>
      <c r="M254" t="str">
        <f t="shared" si="9"/>
        <v>Friday</v>
      </c>
      <c r="N254" t="str">
        <f t="shared" si="10"/>
        <v>Weekend</v>
      </c>
      <c r="O254" t="str">
        <f t="shared" si="11"/>
        <v>Q4</v>
      </c>
    </row>
    <row r="255" spans="1:15">
      <c r="A255">
        <v>21</v>
      </c>
      <c r="B255" t="s">
        <v>8</v>
      </c>
      <c r="C255" t="s">
        <v>26</v>
      </c>
      <c r="D255" t="s">
        <v>16</v>
      </c>
      <c r="E255" t="s">
        <v>11</v>
      </c>
      <c r="F255">
        <v>801</v>
      </c>
      <c r="G255">
        <v>5</v>
      </c>
      <c r="H255" s="3">
        <v>45632</v>
      </c>
      <c r="I255" t="s">
        <v>81</v>
      </c>
      <c r="J255">
        <v>12</v>
      </c>
      <c r="K255">
        <v>2024</v>
      </c>
      <c r="L255" t="s">
        <v>75</v>
      </c>
      <c r="M255" t="str">
        <f t="shared" si="9"/>
        <v>Friday</v>
      </c>
      <c r="N255" t="str">
        <f t="shared" si="10"/>
        <v>Weekend</v>
      </c>
      <c r="O255" t="str">
        <f t="shared" si="11"/>
        <v>Q4</v>
      </c>
    </row>
    <row r="256" spans="1:15">
      <c r="A256">
        <v>37</v>
      </c>
      <c r="B256" t="s">
        <v>12</v>
      </c>
      <c r="C256" t="s">
        <v>23</v>
      </c>
      <c r="D256" t="s">
        <v>10</v>
      </c>
      <c r="E256" t="s">
        <v>11</v>
      </c>
      <c r="F256">
        <v>974</v>
      </c>
      <c r="G256">
        <v>9</v>
      </c>
      <c r="H256" s="3">
        <v>45541</v>
      </c>
      <c r="I256" t="s">
        <v>80</v>
      </c>
      <c r="J256">
        <v>9</v>
      </c>
      <c r="K256">
        <v>2024</v>
      </c>
      <c r="L256" t="s">
        <v>68</v>
      </c>
      <c r="M256" t="str">
        <f t="shared" si="9"/>
        <v>Friday</v>
      </c>
      <c r="N256" t="str">
        <f t="shared" si="10"/>
        <v>Weekend</v>
      </c>
      <c r="O256" t="str">
        <f t="shared" si="11"/>
        <v>Q3</v>
      </c>
    </row>
    <row r="257" spans="1:15">
      <c r="A257">
        <v>52</v>
      </c>
      <c r="B257" t="s">
        <v>8</v>
      </c>
      <c r="C257" t="s">
        <v>15</v>
      </c>
      <c r="D257" t="s">
        <v>20</v>
      </c>
      <c r="E257" t="s">
        <v>18</v>
      </c>
      <c r="F257">
        <v>615</v>
      </c>
      <c r="G257">
        <v>6</v>
      </c>
      <c r="H257" s="3">
        <v>45470</v>
      </c>
      <c r="I257" t="s">
        <v>80</v>
      </c>
      <c r="J257">
        <v>6</v>
      </c>
      <c r="K257">
        <v>2024</v>
      </c>
      <c r="L257" t="s">
        <v>61</v>
      </c>
      <c r="M257" t="str">
        <f t="shared" si="9"/>
        <v>Thursday</v>
      </c>
      <c r="N257" t="str">
        <f t="shared" si="10"/>
        <v>Weekday</v>
      </c>
      <c r="O257" t="str">
        <f t="shared" si="11"/>
        <v>Q2</v>
      </c>
    </row>
    <row r="258" spans="1:15">
      <c r="A258">
        <v>63</v>
      </c>
      <c r="B258" t="s">
        <v>12</v>
      </c>
      <c r="C258" t="s">
        <v>23</v>
      </c>
      <c r="D258" t="s">
        <v>20</v>
      </c>
      <c r="E258" t="s">
        <v>11</v>
      </c>
      <c r="F258">
        <v>602</v>
      </c>
      <c r="G258">
        <v>5</v>
      </c>
      <c r="H258" s="3">
        <v>45278</v>
      </c>
      <c r="I258" t="s">
        <v>79</v>
      </c>
      <c r="J258">
        <v>12</v>
      </c>
      <c r="K258">
        <v>2023</v>
      </c>
      <c r="L258" t="s">
        <v>75</v>
      </c>
      <c r="M258" t="str">
        <f t="shared" ref="M258:M321" si="12">TEXT(H258,"dddd")</f>
        <v>Monday</v>
      </c>
      <c r="N258" t="str">
        <f t="shared" ref="N258:N321" si="13">IF(WEEKDAY(H258,1)&gt;5,"Weekend","Weekday")</f>
        <v>Weekday</v>
      </c>
      <c r="O258" t="str">
        <f t="shared" ref="O258:O321" si="14">"Q"&amp;CEILING(MONTH(H258)/3,1)</f>
        <v>Q4</v>
      </c>
    </row>
    <row r="259" spans="1:15">
      <c r="A259">
        <v>26</v>
      </c>
      <c r="B259" t="s">
        <v>8</v>
      </c>
      <c r="C259" t="s">
        <v>9</v>
      </c>
      <c r="D259" t="s">
        <v>24</v>
      </c>
      <c r="E259" t="s">
        <v>11</v>
      </c>
      <c r="F259">
        <v>1091</v>
      </c>
      <c r="G259">
        <v>10</v>
      </c>
      <c r="H259" s="3">
        <v>45187</v>
      </c>
      <c r="I259" t="s">
        <v>81</v>
      </c>
      <c r="J259">
        <v>9</v>
      </c>
      <c r="K259">
        <v>2023</v>
      </c>
      <c r="L259" t="s">
        <v>68</v>
      </c>
      <c r="M259" t="str">
        <f t="shared" si="12"/>
        <v>Monday</v>
      </c>
      <c r="N259" t="str">
        <f t="shared" si="13"/>
        <v>Weekday</v>
      </c>
      <c r="O259" t="str">
        <f t="shared" si="14"/>
        <v>Q3</v>
      </c>
    </row>
    <row r="260" spans="1:15">
      <c r="A260">
        <v>34</v>
      </c>
      <c r="B260" t="s">
        <v>8</v>
      </c>
      <c r="C260" t="s">
        <v>23</v>
      </c>
      <c r="D260" t="s">
        <v>17</v>
      </c>
      <c r="E260" t="s">
        <v>18</v>
      </c>
      <c r="F260">
        <v>1348</v>
      </c>
      <c r="G260">
        <v>8</v>
      </c>
      <c r="H260" s="3">
        <v>45508</v>
      </c>
      <c r="I260" t="s">
        <v>81</v>
      </c>
      <c r="J260">
        <v>8</v>
      </c>
      <c r="K260">
        <v>2024</v>
      </c>
      <c r="L260" t="s">
        <v>66</v>
      </c>
      <c r="M260" t="str">
        <f t="shared" si="12"/>
        <v>Sunday</v>
      </c>
      <c r="N260" t="str">
        <f t="shared" si="13"/>
        <v>Weekday</v>
      </c>
      <c r="O260" t="str">
        <f t="shared" si="14"/>
        <v>Q3</v>
      </c>
    </row>
    <row r="261" spans="1:15">
      <c r="A261">
        <v>42</v>
      </c>
      <c r="B261" t="s">
        <v>12</v>
      </c>
      <c r="C261" t="s">
        <v>23</v>
      </c>
      <c r="D261" t="s">
        <v>14</v>
      </c>
      <c r="E261" t="s">
        <v>11</v>
      </c>
      <c r="F261">
        <v>1641</v>
      </c>
      <c r="G261">
        <v>7</v>
      </c>
      <c r="H261" s="3">
        <v>45155</v>
      </c>
      <c r="I261" t="s">
        <v>80</v>
      </c>
      <c r="J261">
        <v>8</v>
      </c>
      <c r="K261">
        <v>2023</v>
      </c>
      <c r="L261" t="s">
        <v>66</v>
      </c>
      <c r="M261" t="str">
        <f t="shared" si="12"/>
        <v>Thursday</v>
      </c>
      <c r="N261" t="str">
        <f t="shared" si="13"/>
        <v>Weekday</v>
      </c>
      <c r="O261" t="str">
        <f t="shared" si="14"/>
        <v>Q3</v>
      </c>
    </row>
    <row r="262" spans="1:15">
      <c r="A262">
        <v>55</v>
      </c>
      <c r="B262" t="s">
        <v>12</v>
      </c>
      <c r="C262" t="s">
        <v>15</v>
      </c>
      <c r="D262" t="s">
        <v>20</v>
      </c>
      <c r="E262" t="s">
        <v>11</v>
      </c>
      <c r="F262">
        <v>578</v>
      </c>
      <c r="G262">
        <v>7</v>
      </c>
      <c r="H262" s="3">
        <v>45316</v>
      </c>
      <c r="I262" t="s">
        <v>80</v>
      </c>
      <c r="J262">
        <v>1</v>
      </c>
      <c r="K262">
        <v>2024</v>
      </c>
      <c r="L262" t="s">
        <v>46</v>
      </c>
      <c r="M262" t="str">
        <f t="shared" si="12"/>
        <v>Thursday</v>
      </c>
      <c r="N262" t="str">
        <f t="shared" si="13"/>
        <v>Weekday</v>
      </c>
      <c r="O262" t="str">
        <f t="shared" si="14"/>
        <v>Q1</v>
      </c>
    </row>
    <row r="263" spans="1:15">
      <c r="A263">
        <v>58</v>
      </c>
      <c r="B263" t="s">
        <v>12</v>
      </c>
      <c r="C263" t="s">
        <v>9</v>
      </c>
      <c r="D263" t="s">
        <v>16</v>
      </c>
      <c r="E263" t="s">
        <v>22</v>
      </c>
      <c r="F263">
        <v>918</v>
      </c>
      <c r="G263">
        <v>6</v>
      </c>
      <c r="H263" s="3">
        <v>45183</v>
      </c>
      <c r="I263" t="s">
        <v>79</v>
      </c>
      <c r="J263">
        <v>9</v>
      </c>
      <c r="K263">
        <v>2023</v>
      </c>
      <c r="L263" t="s">
        <v>68</v>
      </c>
      <c r="M263" t="str">
        <f t="shared" si="12"/>
        <v>Thursday</v>
      </c>
      <c r="N263" t="str">
        <f t="shared" si="13"/>
        <v>Weekday</v>
      </c>
      <c r="O263" t="str">
        <f t="shared" si="14"/>
        <v>Q3</v>
      </c>
    </row>
    <row r="264" spans="1:15">
      <c r="A264">
        <v>12</v>
      </c>
      <c r="B264" t="s">
        <v>12</v>
      </c>
      <c r="C264" t="s">
        <v>21</v>
      </c>
      <c r="D264" t="s">
        <v>24</v>
      </c>
      <c r="E264" t="s">
        <v>11</v>
      </c>
      <c r="F264">
        <v>981</v>
      </c>
      <c r="G264">
        <v>20</v>
      </c>
      <c r="H264" s="3">
        <v>45091</v>
      </c>
      <c r="I264" t="s">
        <v>82</v>
      </c>
      <c r="J264">
        <v>6</v>
      </c>
      <c r="K264">
        <v>2023</v>
      </c>
      <c r="L264" t="s">
        <v>61</v>
      </c>
      <c r="M264" t="str">
        <f t="shared" si="12"/>
        <v>Wednesday</v>
      </c>
      <c r="N264" t="str">
        <f t="shared" si="13"/>
        <v>Weekday</v>
      </c>
      <c r="O264" t="str">
        <f t="shared" si="14"/>
        <v>Q2</v>
      </c>
    </row>
    <row r="265" spans="1:15">
      <c r="A265">
        <v>31</v>
      </c>
      <c r="B265" t="s">
        <v>12</v>
      </c>
      <c r="C265" t="s">
        <v>15</v>
      </c>
      <c r="D265" t="s">
        <v>14</v>
      </c>
      <c r="E265" t="s">
        <v>18</v>
      </c>
      <c r="F265">
        <v>1491</v>
      </c>
      <c r="G265">
        <v>3</v>
      </c>
      <c r="H265" s="3">
        <v>45548</v>
      </c>
      <c r="I265" t="s">
        <v>81</v>
      </c>
      <c r="J265">
        <v>9</v>
      </c>
      <c r="K265">
        <v>2024</v>
      </c>
      <c r="L265" t="s">
        <v>68</v>
      </c>
      <c r="M265" t="str">
        <f t="shared" si="12"/>
        <v>Friday</v>
      </c>
      <c r="N265" t="str">
        <f t="shared" si="13"/>
        <v>Weekend</v>
      </c>
      <c r="O265" t="str">
        <f t="shared" si="14"/>
        <v>Q3</v>
      </c>
    </row>
    <row r="266" spans="1:15">
      <c r="A266">
        <v>31</v>
      </c>
      <c r="B266" t="s">
        <v>8</v>
      </c>
      <c r="C266" t="s">
        <v>19</v>
      </c>
      <c r="D266" t="s">
        <v>24</v>
      </c>
      <c r="E266" t="s">
        <v>18</v>
      </c>
      <c r="F266">
        <v>1074</v>
      </c>
      <c r="G266">
        <v>19</v>
      </c>
      <c r="H266" s="3">
        <v>45358</v>
      </c>
      <c r="I266" t="s">
        <v>81</v>
      </c>
      <c r="J266">
        <v>3</v>
      </c>
      <c r="K266">
        <v>2024</v>
      </c>
      <c r="L266" t="s">
        <v>54</v>
      </c>
      <c r="M266" t="str">
        <f t="shared" si="12"/>
        <v>Thursday</v>
      </c>
      <c r="N266" t="str">
        <f t="shared" si="13"/>
        <v>Weekday</v>
      </c>
      <c r="O266" t="str">
        <f t="shared" si="14"/>
        <v>Q1</v>
      </c>
    </row>
    <row r="267" spans="1:15">
      <c r="A267">
        <v>25</v>
      </c>
      <c r="B267" t="s">
        <v>8</v>
      </c>
      <c r="C267" t="s">
        <v>9</v>
      </c>
      <c r="D267" t="s">
        <v>14</v>
      </c>
      <c r="E267" t="s">
        <v>11</v>
      </c>
      <c r="F267">
        <v>1638</v>
      </c>
      <c r="G267">
        <v>15</v>
      </c>
      <c r="H267" s="3">
        <v>45638</v>
      </c>
      <c r="I267" t="s">
        <v>81</v>
      </c>
      <c r="J267">
        <v>12</v>
      </c>
      <c r="K267">
        <v>2024</v>
      </c>
      <c r="L267" t="s">
        <v>75</v>
      </c>
      <c r="M267" t="str">
        <f t="shared" si="12"/>
        <v>Thursday</v>
      </c>
      <c r="N267" t="str">
        <f t="shared" si="13"/>
        <v>Weekday</v>
      </c>
      <c r="O267" t="str">
        <f t="shared" si="14"/>
        <v>Q4</v>
      </c>
    </row>
    <row r="268" spans="1:15">
      <c r="A268">
        <v>34</v>
      </c>
      <c r="B268" t="s">
        <v>8</v>
      </c>
      <c r="C268" t="s">
        <v>9</v>
      </c>
      <c r="D268" t="s">
        <v>14</v>
      </c>
      <c r="E268" t="s">
        <v>11</v>
      </c>
      <c r="F268">
        <v>1659</v>
      </c>
      <c r="G268">
        <v>4</v>
      </c>
      <c r="H268" s="3">
        <v>45008</v>
      </c>
      <c r="I268" t="s">
        <v>81</v>
      </c>
      <c r="J268">
        <v>3</v>
      </c>
      <c r="K268">
        <v>2023</v>
      </c>
      <c r="L268" t="s">
        <v>54</v>
      </c>
      <c r="M268" t="str">
        <f t="shared" si="12"/>
        <v>Thursday</v>
      </c>
      <c r="N268" t="str">
        <f t="shared" si="13"/>
        <v>Weekday</v>
      </c>
      <c r="O268" t="str">
        <f t="shared" si="14"/>
        <v>Q1</v>
      </c>
    </row>
    <row r="269" spans="1:15">
      <c r="A269">
        <v>32</v>
      </c>
      <c r="B269" t="s">
        <v>8</v>
      </c>
      <c r="C269" t="s">
        <v>9</v>
      </c>
      <c r="D269" t="s">
        <v>10</v>
      </c>
      <c r="E269" t="s">
        <v>22</v>
      </c>
      <c r="F269">
        <v>1062</v>
      </c>
      <c r="G269">
        <v>12</v>
      </c>
      <c r="H269" s="3">
        <v>45458</v>
      </c>
      <c r="I269" t="s">
        <v>81</v>
      </c>
      <c r="J269">
        <v>6</v>
      </c>
      <c r="K269">
        <v>2024</v>
      </c>
      <c r="L269" t="s">
        <v>61</v>
      </c>
      <c r="M269" t="str">
        <f t="shared" si="12"/>
        <v>Saturday</v>
      </c>
      <c r="N269" t="str">
        <f t="shared" si="13"/>
        <v>Weekend</v>
      </c>
      <c r="O269" t="str">
        <f t="shared" si="14"/>
        <v>Q2</v>
      </c>
    </row>
    <row r="270" spans="1:15">
      <c r="A270">
        <v>68</v>
      </c>
      <c r="B270" t="s">
        <v>8</v>
      </c>
      <c r="C270" t="s">
        <v>9</v>
      </c>
      <c r="D270" t="s">
        <v>20</v>
      </c>
      <c r="E270" t="s">
        <v>11</v>
      </c>
      <c r="F270">
        <v>447</v>
      </c>
      <c r="G270">
        <v>6</v>
      </c>
      <c r="H270" s="3">
        <v>45188</v>
      </c>
      <c r="I270" t="s">
        <v>79</v>
      </c>
      <c r="J270">
        <v>9</v>
      </c>
      <c r="K270">
        <v>2023</v>
      </c>
      <c r="L270" t="s">
        <v>68</v>
      </c>
      <c r="M270" t="str">
        <f t="shared" si="12"/>
        <v>Tuesday</v>
      </c>
      <c r="N270" t="str">
        <f t="shared" si="13"/>
        <v>Weekday</v>
      </c>
      <c r="O270" t="str">
        <f t="shared" si="14"/>
        <v>Q3</v>
      </c>
    </row>
    <row r="271" spans="1:15">
      <c r="A271">
        <v>73</v>
      </c>
      <c r="B271" t="s">
        <v>8</v>
      </c>
      <c r="C271" t="s">
        <v>15</v>
      </c>
      <c r="D271" t="s">
        <v>24</v>
      </c>
      <c r="E271" t="s">
        <v>18</v>
      </c>
      <c r="F271">
        <v>1015</v>
      </c>
      <c r="G271">
        <v>19</v>
      </c>
      <c r="H271" s="3">
        <v>45118</v>
      </c>
      <c r="I271" t="s">
        <v>79</v>
      </c>
      <c r="J271">
        <v>7</v>
      </c>
      <c r="K271">
        <v>2023</v>
      </c>
      <c r="L271" t="s">
        <v>64</v>
      </c>
      <c r="M271" t="str">
        <f t="shared" si="12"/>
        <v>Tuesday</v>
      </c>
      <c r="N271" t="str">
        <f t="shared" si="13"/>
        <v>Weekday</v>
      </c>
      <c r="O271" t="str">
        <f t="shared" si="14"/>
        <v>Q3</v>
      </c>
    </row>
    <row r="272" spans="1:15">
      <c r="A272">
        <v>65</v>
      </c>
      <c r="B272" t="s">
        <v>12</v>
      </c>
      <c r="C272" t="s">
        <v>23</v>
      </c>
      <c r="D272" t="s">
        <v>24</v>
      </c>
      <c r="E272" t="s">
        <v>11</v>
      </c>
      <c r="F272">
        <v>1124</v>
      </c>
      <c r="G272">
        <v>4</v>
      </c>
      <c r="H272" s="3">
        <v>45000</v>
      </c>
      <c r="I272" t="s">
        <v>79</v>
      </c>
      <c r="J272">
        <v>3</v>
      </c>
      <c r="K272">
        <v>2023</v>
      </c>
      <c r="L272" t="s">
        <v>54</v>
      </c>
      <c r="M272" t="str">
        <f t="shared" si="12"/>
        <v>Wednesday</v>
      </c>
      <c r="N272" t="str">
        <f t="shared" si="13"/>
        <v>Weekday</v>
      </c>
      <c r="O272" t="str">
        <f t="shared" si="14"/>
        <v>Q1</v>
      </c>
    </row>
    <row r="273" spans="1:15">
      <c r="A273">
        <v>52</v>
      </c>
      <c r="B273" t="s">
        <v>8</v>
      </c>
      <c r="C273" t="s">
        <v>15</v>
      </c>
      <c r="D273" t="s">
        <v>10</v>
      </c>
      <c r="E273" t="s">
        <v>11</v>
      </c>
      <c r="F273">
        <v>1046</v>
      </c>
      <c r="G273">
        <v>15</v>
      </c>
      <c r="H273" s="3">
        <v>45363</v>
      </c>
      <c r="I273" t="s">
        <v>80</v>
      </c>
      <c r="J273">
        <v>3</v>
      </c>
      <c r="K273">
        <v>2024</v>
      </c>
      <c r="L273" t="s">
        <v>54</v>
      </c>
      <c r="M273" t="str">
        <f t="shared" si="12"/>
        <v>Tuesday</v>
      </c>
      <c r="N273" t="str">
        <f t="shared" si="13"/>
        <v>Weekday</v>
      </c>
      <c r="O273" t="str">
        <f t="shared" si="14"/>
        <v>Q1</v>
      </c>
    </row>
    <row r="274" spans="1:15">
      <c r="A274">
        <v>23</v>
      </c>
      <c r="B274" t="s">
        <v>12</v>
      </c>
      <c r="C274" t="s">
        <v>15</v>
      </c>
      <c r="D274" t="s">
        <v>16</v>
      </c>
      <c r="E274" t="s">
        <v>11</v>
      </c>
      <c r="F274">
        <v>762</v>
      </c>
      <c r="G274">
        <v>9</v>
      </c>
      <c r="H274" s="3">
        <v>45325</v>
      </c>
      <c r="I274" t="s">
        <v>81</v>
      </c>
      <c r="J274">
        <v>2</v>
      </c>
      <c r="K274">
        <v>2024</v>
      </c>
      <c r="L274" t="s">
        <v>52</v>
      </c>
      <c r="M274" t="str">
        <f t="shared" si="12"/>
        <v>Saturday</v>
      </c>
      <c r="N274" t="str">
        <f t="shared" si="13"/>
        <v>Weekend</v>
      </c>
      <c r="O274" t="str">
        <f t="shared" si="14"/>
        <v>Q1</v>
      </c>
    </row>
    <row r="275" spans="1:15">
      <c r="A275">
        <v>8</v>
      </c>
      <c r="B275" t="s">
        <v>8</v>
      </c>
      <c r="C275" t="s">
        <v>15</v>
      </c>
      <c r="D275" t="s">
        <v>16</v>
      </c>
      <c r="E275" t="s">
        <v>22</v>
      </c>
      <c r="F275">
        <v>993</v>
      </c>
      <c r="G275">
        <v>5</v>
      </c>
      <c r="H275" s="3">
        <v>45552</v>
      </c>
      <c r="I275" t="s">
        <v>82</v>
      </c>
      <c r="J275">
        <v>9</v>
      </c>
      <c r="K275">
        <v>2024</v>
      </c>
      <c r="L275" t="s">
        <v>68</v>
      </c>
      <c r="M275" t="str">
        <f t="shared" si="12"/>
        <v>Tuesday</v>
      </c>
      <c r="N275" t="str">
        <f t="shared" si="13"/>
        <v>Weekday</v>
      </c>
      <c r="O275" t="str">
        <f t="shared" si="14"/>
        <v>Q3</v>
      </c>
    </row>
    <row r="276" spans="1:15">
      <c r="A276">
        <v>39</v>
      </c>
      <c r="B276" t="s">
        <v>8</v>
      </c>
      <c r="C276" t="s">
        <v>15</v>
      </c>
      <c r="D276" t="s">
        <v>20</v>
      </c>
      <c r="E276" t="s">
        <v>22</v>
      </c>
      <c r="F276">
        <v>412</v>
      </c>
      <c r="G276">
        <v>13</v>
      </c>
      <c r="H276" s="3">
        <v>44988</v>
      </c>
      <c r="I276" t="s">
        <v>80</v>
      </c>
      <c r="J276">
        <v>3</v>
      </c>
      <c r="K276">
        <v>2023</v>
      </c>
      <c r="L276" t="s">
        <v>54</v>
      </c>
      <c r="M276" t="str">
        <f t="shared" si="12"/>
        <v>Friday</v>
      </c>
      <c r="N276" t="str">
        <f t="shared" si="13"/>
        <v>Weekend</v>
      </c>
      <c r="O276" t="str">
        <f t="shared" si="14"/>
        <v>Q1</v>
      </c>
    </row>
    <row r="277" spans="1:15">
      <c r="A277">
        <v>68</v>
      </c>
      <c r="B277" t="s">
        <v>8</v>
      </c>
      <c r="C277" t="s">
        <v>9</v>
      </c>
      <c r="D277" t="s">
        <v>20</v>
      </c>
      <c r="E277" t="s">
        <v>11</v>
      </c>
      <c r="F277">
        <v>588</v>
      </c>
      <c r="G277">
        <v>18</v>
      </c>
      <c r="H277" s="3">
        <v>45249</v>
      </c>
      <c r="I277" t="s">
        <v>79</v>
      </c>
      <c r="J277">
        <v>11</v>
      </c>
      <c r="K277">
        <v>2023</v>
      </c>
      <c r="L277" t="s">
        <v>73</v>
      </c>
      <c r="M277" t="str">
        <f t="shared" si="12"/>
        <v>Sunday</v>
      </c>
      <c r="N277" t="str">
        <f t="shared" si="13"/>
        <v>Weekday</v>
      </c>
      <c r="O277" t="str">
        <f t="shared" si="14"/>
        <v>Q4</v>
      </c>
    </row>
    <row r="278" spans="1:15">
      <c r="A278">
        <v>53</v>
      </c>
      <c r="B278" t="s">
        <v>12</v>
      </c>
      <c r="C278" t="s">
        <v>19</v>
      </c>
      <c r="D278" t="s">
        <v>17</v>
      </c>
      <c r="E278" t="s">
        <v>11</v>
      </c>
      <c r="F278">
        <v>1386</v>
      </c>
      <c r="G278">
        <v>5</v>
      </c>
      <c r="H278" s="3">
        <v>45432</v>
      </c>
      <c r="I278" t="s">
        <v>80</v>
      </c>
      <c r="J278">
        <v>5</v>
      </c>
      <c r="K278">
        <v>2024</v>
      </c>
      <c r="L278" t="s">
        <v>59</v>
      </c>
      <c r="M278" t="str">
        <f t="shared" si="12"/>
        <v>Monday</v>
      </c>
      <c r="N278" t="str">
        <f t="shared" si="13"/>
        <v>Weekday</v>
      </c>
      <c r="O278" t="str">
        <f t="shared" si="14"/>
        <v>Q2</v>
      </c>
    </row>
    <row r="279" spans="1:15">
      <c r="A279">
        <v>21</v>
      </c>
      <c r="B279" t="s">
        <v>8</v>
      </c>
      <c r="C279" t="s">
        <v>25</v>
      </c>
      <c r="D279" t="s">
        <v>10</v>
      </c>
      <c r="E279" t="s">
        <v>18</v>
      </c>
      <c r="F279">
        <v>1107</v>
      </c>
      <c r="G279">
        <v>16</v>
      </c>
      <c r="H279" s="3">
        <v>45173</v>
      </c>
      <c r="I279" t="s">
        <v>81</v>
      </c>
      <c r="J279">
        <v>9</v>
      </c>
      <c r="K279">
        <v>2023</v>
      </c>
      <c r="L279" t="s">
        <v>68</v>
      </c>
      <c r="M279" t="str">
        <f t="shared" si="12"/>
        <v>Monday</v>
      </c>
      <c r="N279" t="str">
        <f t="shared" si="13"/>
        <v>Weekday</v>
      </c>
      <c r="O279" t="str">
        <f t="shared" si="14"/>
        <v>Q3</v>
      </c>
    </row>
    <row r="280" spans="1:15">
      <c r="A280">
        <v>48</v>
      </c>
      <c r="B280" t="s">
        <v>8</v>
      </c>
      <c r="C280" t="s">
        <v>15</v>
      </c>
      <c r="D280" t="s">
        <v>16</v>
      </c>
      <c r="E280" t="s">
        <v>11</v>
      </c>
      <c r="F280">
        <v>813</v>
      </c>
      <c r="G280">
        <v>19</v>
      </c>
      <c r="H280" s="3">
        <v>45141</v>
      </c>
      <c r="I280" t="s">
        <v>80</v>
      </c>
      <c r="J280">
        <v>8</v>
      </c>
      <c r="K280">
        <v>2023</v>
      </c>
      <c r="L280" t="s">
        <v>66</v>
      </c>
      <c r="M280" t="str">
        <f t="shared" si="12"/>
        <v>Thursday</v>
      </c>
      <c r="N280" t="str">
        <f t="shared" si="13"/>
        <v>Weekday</v>
      </c>
      <c r="O280" t="str">
        <f t="shared" si="14"/>
        <v>Q3</v>
      </c>
    </row>
    <row r="281" spans="1:15">
      <c r="A281">
        <v>34</v>
      </c>
      <c r="B281" t="s">
        <v>12</v>
      </c>
      <c r="C281" t="s">
        <v>13</v>
      </c>
      <c r="D281" t="s">
        <v>14</v>
      </c>
      <c r="E281" t="s">
        <v>11</v>
      </c>
      <c r="F281">
        <v>1421</v>
      </c>
      <c r="G281">
        <v>14</v>
      </c>
      <c r="H281" s="3">
        <v>45348</v>
      </c>
      <c r="I281" t="s">
        <v>81</v>
      </c>
      <c r="J281">
        <v>2</v>
      </c>
      <c r="K281">
        <v>2024</v>
      </c>
      <c r="L281" t="s">
        <v>52</v>
      </c>
      <c r="M281" t="str">
        <f t="shared" si="12"/>
        <v>Monday</v>
      </c>
      <c r="N281" t="str">
        <f t="shared" si="13"/>
        <v>Weekday</v>
      </c>
      <c r="O281" t="str">
        <f t="shared" si="14"/>
        <v>Q1</v>
      </c>
    </row>
    <row r="282" spans="1:15">
      <c r="A282">
        <v>50</v>
      </c>
      <c r="B282" t="s">
        <v>12</v>
      </c>
      <c r="C282" t="s">
        <v>23</v>
      </c>
      <c r="D282" t="s">
        <v>24</v>
      </c>
      <c r="E282" t="s">
        <v>11</v>
      </c>
      <c r="F282">
        <v>1113</v>
      </c>
      <c r="G282">
        <v>16</v>
      </c>
      <c r="H282" s="3">
        <v>45367</v>
      </c>
      <c r="I282" t="s">
        <v>80</v>
      </c>
      <c r="J282">
        <v>3</v>
      </c>
      <c r="K282">
        <v>2024</v>
      </c>
      <c r="L282" t="s">
        <v>54</v>
      </c>
      <c r="M282" t="str">
        <f t="shared" si="12"/>
        <v>Saturday</v>
      </c>
      <c r="N282" t="str">
        <f t="shared" si="13"/>
        <v>Weekend</v>
      </c>
      <c r="O282" t="str">
        <f t="shared" si="14"/>
        <v>Q1</v>
      </c>
    </row>
    <row r="283" spans="1:15">
      <c r="A283">
        <v>10</v>
      </c>
      <c r="B283" t="s">
        <v>8</v>
      </c>
      <c r="C283" t="s">
        <v>9</v>
      </c>
      <c r="D283" t="s">
        <v>20</v>
      </c>
      <c r="E283" t="s">
        <v>11</v>
      </c>
      <c r="F283">
        <v>570</v>
      </c>
      <c r="G283">
        <v>15</v>
      </c>
      <c r="H283" s="3">
        <v>45334</v>
      </c>
      <c r="I283" t="s">
        <v>82</v>
      </c>
      <c r="J283">
        <v>2</v>
      </c>
      <c r="K283">
        <v>2024</v>
      </c>
      <c r="L283" t="s">
        <v>52</v>
      </c>
      <c r="M283" t="str">
        <f t="shared" si="12"/>
        <v>Monday</v>
      </c>
      <c r="N283" t="str">
        <f t="shared" si="13"/>
        <v>Weekday</v>
      </c>
      <c r="O283" t="str">
        <f t="shared" si="14"/>
        <v>Q1</v>
      </c>
    </row>
    <row r="284" spans="1:15">
      <c r="A284">
        <v>41</v>
      </c>
      <c r="B284" t="s">
        <v>12</v>
      </c>
      <c r="C284" t="s">
        <v>21</v>
      </c>
      <c r="D284" t="s">
        <v>24</v>
      </c>
      <c r="E284" t="s">
        <v>22</v>
      </c>
      <c r="F284">
        <v>953</v>
      </c>
      <c r="G284">
        <v>4</v>
      </c>
      <c r="H284" s="3">
        <v>45146</v>
      </c>
      <c r="I284" t="s">
        <v>80</v>
      </c>
      <c r="J284">
        <v>8</v>
      </c>
      <c r="K284">
        <v>2023</v>
      </c>
      <c r="L284" t="s">
        <v>66</v>
      </c>
      <c r="M284" t="str">
        <f t="shared" si="12"/>
        <v>Tuesday</v>
      </c>
      <c r="N284" t="str">
        <f t="shared" si="13"/>
        <v>Weekday</v>
      </c>
      <c r="O284" t="str">
        <f t="shared" si="14"/>
        <v>Q3</v>
      </c>
    </row>
    <row r="285" spans="1:15">
      <c r="A285">
        <v>28</v>
      </c>
      <c r="B285" t="s">
        <v>8</v>
      </c>
      <c r="C285" t="s">
        <v>26</v>
      </c>
      <c r="D285" t="s">
        <v>24</v>
      </c>
      <c r="E285" t="s">
        <v>11</v>
      </c>
      <c r="F285">
        <v>1197</v>
      </c>
      <c r="G285">
        <v>7</v>
      </c>
      <c r="H285" s="3">
        <v>45101</v>
      </c>
      <c r="I285" t="s">
        <v>81</v>
      </c>
      <c r="J285">
        <v>6</v>
      </c>
      <c r="K285">
        <v>2023</v>
      </c>
      <c r="L285" t="s">
        <v>61</v>
      </c>
      <c r="M285" t="str">
        <f t="shared" si="12"/>
        <v>Saturday</v>
      </c>
      <c r="N285" t="str">
        <f t="shared" si="13"/>
        <v>Weekend</v>
      </c>
      <c r="O285" t="str">
        <f t="shared" si="14"/>
        <v>Q2</v>
      </c>
    </row>
    <row r="286" spans="1:15">
      <c r="A286">
        <v>50</v>
      </c>
      <c r="B286" t="s">
        <v>12</v>
      </c>
      <c r="C286" t="s">
        <v>15</v>
      </c>
      <c r="D286" t="s">
        <v>17</v>
      </c>
      <c r="E286" t="s">
        <v>11</v>
      </c>
      <c r="F286">
        <v>1225</v>
      </c>
      <c r="G286">
        <v>16</v>
      </c>
      <c r="H286" s="3">
        <v>45094</v>
      </c>
      <c r="I286" t="s">
        <v>80</v>
      </c>
      <c r="J286">
        <v>6</v>
      </c>
      <c r="K286">
        <v>2023</v>
      </c>
      <c r="L286" t="s">
        <v>61</v>
      </c>
      <c r="M286" t="str">
        <f t="shared" si="12"/>
        <v>Saturday</v>
      </c>
      <c r="N286" t="str">
        <f t="shared" si="13"/>
        <v>Weekend</v>
      </c>
      <c r="O286" t="str">
        <f t="shared" si="14"/>
        <v>Q2</v>
      </c>
    </row>
    <row r="287" spans="1:15">
      <c r="A287">
        <v>57</v>
      </c>
      <c r="B287" t="s">
        <v>12</v>
      </c>
      <c r="C287" t="s">
        <v>9</v>
      </c>
      <c r="D287" t="s">
        <v>16</v>
      </c>
      <c r="E287" t="s">
        <v>11</v>
      </c>
      <c r="F287">
        <v>976</v>
      </c>
      <c r="G287">
        <v>8</v>
      </c>
      <c r="H287" s="3">
        <v>45267</v>
      </c>
      <c r="I287" t="s">
        <v>79</v>
      </c>
      <c r="J287">
        <v>12</v>
      </c>
      <c r="K287">
        <v>2023</v>
      </c>
      <c r="L287" t="s">
        <v>75</v>
      </c>
      <c r="M287" t="str">
        <f t="shared" si="12"/>
        <v>Thursday</v>
      </c>
      <c r="N287" t="str">
        <f t="shared" si="13"/>
        <v>Weekday</v>
      </c>
      <c r="O287" t="str">
        <f t="shared" si="14"/>
        <v>Q4</v>
      </c>
    </row>
    <row r="288" spans="1:15">
      <c r="A288">
        <v>64</v>
      </c>
      <c r="B288" t="s">
        <v>8</v>
      </c>
      <c r="C288" t="s">
        <v>21</v>
      </c>
      <c r="D288" t="s">
        <v>20</v>
      </c>
      <c r="E288" t="s">
        <v>18</v>
      </c>
      <c r="F288">
        <v>603</v>
      </c>
      <c r="G288">
        <v>17</v>
      </c>
      <c r="H288" s="3">
        <v>45180</v>
      </c>
      <c r="I288" t="s">
        <v>79</v>
      </c>
      <c r="J288">
        <v>9</v>
      </c>
      <c r="K288">
        <v>2023</v>
      </c>
      <c r="L288" t="s">
        <v>68</v>
      </c>
      <c r="M288" t="str">
        <f t="shared" si="12"/>
        <v>Monday</v>
      </c>
      <c r="N288" t="str">
        <f t="shared" si="13"/>
        <v>Weekday</v>
      </c>
      <c r="O288" t="str">
        <f t="shared" si="14"/>
        <v>Q3</v>
      </c>
    </row>
    <row r="289" spans="1:15">
      <c r="A289">
        <v>67</v>
      </c>
      <c r="B289" t="s">
        <v>12</v>
      </c>
      <c r="C289" t="s">
        <v>23</v>
      </c>
      <c r="D289" t="s">
        <v>24</v>
      </c>
      <c r="E289" t="s">
        <v>11</v>
      </c>
      <c r="F289">
        <v>1093</v>
      </c>
      <c r="G289">
        <v>16</v>
      </c>
      <c r="H289" s="3">
        <v>45522</v>
      </c>
      <c r="I289" t="s">
        <v>79</v>
      </c>
      <c r="J289">
        <v>8</v>
      </c>
      <c r="K289">
        <v>2024</v>
      </c>
      <c r="L289" t="s">
        <v>66</v>
      </c>
      <c r="M289" t="str">
        <f t="shared" si="12"/>
        <v>Sunday</v>
      </c>
      <c r="N289" t="str">
        <f t="shared" si="13"/>
        <v>Weekday</v>
      </c>
      <c r="O289" t="str">
        <f t="shared" si="14"/>
        <v>Q3</v>
      </c>
    </row>
    <row r="290" spans="1:15">
      <c r="A290">
        <v>36</v>
      </c>
      <c r="B290" t="s">
        <v>8</v>
      </c>
      <c r="C290" t="s">
        <v>15</v>
      </c>
      <c r="D290" t="s">
        <v>20</v>
      </c>
      <c r="E290" t="s">
        <v>11</v>
      </c>
      <c r="F290">
        <v>568</v>
      </c>
      <c r="G290">
        <v>10</v>
      </c>
      <c r="H290" s="3">
        <v>45017</v>
      </c>
      <c r="I290" t="s">
        <v>80</v>
      </c>
      <c r="J290">
        <v>4</v>
      </c>
      <c r="K290">
        <v>2023</v>
      </c>
      <c r="L290" t="s">
        <v>57</v>
      </c>
      <c r="M290" t="str">
        <f t="shared" si="12"/>
        <v>Saturday</v>
      </c>
      <c r="N290" t="str">
        <f t="shared" si="13"/>
        <v>Weekend</v>
      </c>
      <c r="O290" t="str">
        <f t="shared" si="14"/>
        <v>Q2</v>
      </c>
    </row>
    <row r="291" spans="1:15">
      <c r="A291">
        <v>37</v>
      </c>
      <c r="B291" t="s">
        <v>12</v>
      </c>
      <c r="C291" t="s">
        <v>25</v>
      </c>
      <c r="D291" t="s">
        <v>14</v>
      </c>
      <c r="E291" t="s">
        <v>11</v>
      </c>
      <c r="F291">
        <v>1551</v>
      </c>
      <c r="G291">
        <v>10</v>
      </c>
      <c r="H291" s="3">
        <v>45263</v>
      </c>
      <c r="I291" t="s">
        <v>80</v>
      </c>
      <c r="J291">
        <v>12</v>
      </c>
      <c r="K291">
        <v>2023</v>
      </c>
      <c r="L291" t="s">
        <v>75</v>
      </c>
      <c r="M291" t="str">
        <f t="shared" si="12"/>
        <v>Sunday</v>
      </c>
      <c r="N291" t="str">
        <f t="shared" si="13"/>
        <v>Weekday</v>
      </c>
      <c r="O291" t="str">
        <f t="shared" si="14"/>
        <v>Q4</v>
      </c>
    </row>
    <row r="292" spans="1:15">
      <c r="A292">
        <v>71</v>
      </c>
      <c r="B292" t="s">
        <v>12</v>
      </c>
      <c r="C292" t="s">
        <v>25</v>
      </c>
      <c r="D292" t="s">
        <v>17</v>
      </c>
      <c r="E292" t="s">
        <v>18</v>
      </c>
      <c r="F292">
        <v>1134</v>
      </c>
      <c r="G292">
        <v>2</v>
      </c>
      <c r="H292" s="3">
        <v>45020</v>
      </c>
      <c r="I292" t="s">
        <v>79</v>
      </c>
      <c r="J292">
        <v>4</v>
      </c>
      <c r="K292">
        <v>2023</v>
      </c>
      <c r="L292" t="s">
        <v>57</v>
      </c>
      <c r="M292" t="str">
        <f t="shared" si="12"/>
        <v>Tuesday</v>
      </c>
      <c r="N292" t="str">
        <f t="shared" si="13"/>
        <v>Weekday</v>
      </c>
      <c r="O292" t="str">
        <f t="shared" si="14"/>
        <v>Q2</v>
      </c>
    </row>
    <row r="293" spans="1:15">
      <c r="A293">
        <v>22</v>
      </c>
      <c r="B293" t="s">
        <v>8</v>
      </c>
      <c r="C293" t="s">
        <v>23</v>
      </c>
      <c r="D293" t="s">
        <v>14</v>
      </c>
      <c r="E293" t="s">
        <v>11</v>
      </c>
      <c r="F293">
        <v>1583</v>
      </c>
      <c r="G293">
        <v>9</v>
      </c>
      <c r="H293" s="3">
        <v>45548</v>
      </c>
      <c r="I293" t="s">
        <v>81</v>
      </c>
      <c r="J293">
        <v>9</v>
      </c>
      <c r="K293">
        <v>2024</v>
      </c>
      <c r="L293" t="s">
        <v>68</v>
      </c>
      <c r="M293" t="str">
        <f t="shared" si="12"/>
        <v>Friday</v>
      </c>
      <c r="N293" t="str">
        <f t="shared" si="13"/>
        <v>Weekend</v>
      </c>
      <c r="O293" t="str">
        <f t="shared" si="14"/>
        <v>Q3</v>
      </c>
    </row>
    <row r="294" spans="1:15">
      <c r="A294">
        <v>29</v>
      </c>
      <c r="B294" t="s">
        <v>12</v>
      </c>
      <c r="C294" t="s">
        <v>25</v>
      </c>
      <c r="D294" t="s">
        <v>20</v>
      </c>
      <c r="E294" t="s">
        <v>11</v>
      </c>
      <c r="F294">
        <v>685</v>
      </c>
      <c r="G294">
        <v>17</v>
      </c>
      <c r="H294" s="3">
        <v>45297</v>
      </c>
      <c r="I294" t="s">
        <v>81</v>
      </c>
      <c r="J294">
        <v>1</v>
      </c>
      <c r="K294">
        <v>2024</v>
      </c>
      <c r="L294" t="s">
        <v>46</v>
      </c>
      <c r="M294" t="str">
        <f t="shared" si="12"/>
        <v>Saturday</v>
      </c>
      <c r="N294" t="str">
        <f t="shared" si="13"/>
        <v>Weekend</v>
      </c>
      <c r="O294" t="str">
        <f t="shared" si="14"/>
        <v>Q1</v>
      </c>
    </row>
    <row r="295" spans="1:15">
      <c r="A295">
        <v>58</v>
      </c>
      <c r="B295" t="s">
        <v>8</v>
      </c>
      <c r="C295" t="s">
        <v>25</v>
      </c>
      <c r="D295" t="s">
        <v>20</v>
      </c>
      <c r="E295" t="s">
        <v>11</v>
      </c>
      <c r="F295">
        <v>456</v>
      </c>
      <c r="G295">
        <v>11</v>
      </c>
      <c r="H295" s="3">
        <v>45348</v>
      </c>
      <c r="I295" t="s">
        <v>79</v>
      </c>
      <c r="J295">
        <v>2</v>
      </c>
      <c r="K295">
        <v>2024</v>
      </c>
      <c r="L295" t="s">
        <v>52</v>
      </c>
      <c r="M295" t="str">
        <f t="shared" si="12"/>
        <v>Monday</v>
      </c>
      <c r="N295" t="str">
        <f t="shared" si="13"/>
        <v>Weekday</v>
      </c>
      <c r="O295" t="str">
        <f t="shared" si="14"/>
        <v>Q1</v>
      </c>
    </row>
    <row r="296" spans="1:15">
      <c r="A296">
        <v>62</v>
      </c>
      <c r="B296" t="s">
        <v>8</v>
      </c>
      <c r="C296" t="s">
        <v>15</v>
      </c>
      <c r="D296" t="s">
        <v>16</v>
      </c>
      <c r="E296" t="s">
        <v>11</v>
      </c>
      <c r="F296">
        <v>921</v>
      </c>
      <c r="G296">
        <v>10</v>
      </c>
      <c r="H296" s="3">
        <v>44971</v>
      </c>
      <c r="I296" t="s">
        <v>79</v>
      </c>
      <c r="J296">
        <v>2</v>
      </c>
      <c r="K296">
        <v>2023</v>
      </c>
      <c r="L296" t="s">
        <v>52</v>
      </c>
      <c r="M296" t="str">
        <f t="shared" si="12"/>
        <v>Tuesday</v>
      </c>
      <c r="N296" t="str">
        <f t="shared" si="13"/>
        <v>Weekday</v>
      </c>
      <c r="O296" t="str">
        <f t="shared" si="14"/>
        <v>Q1</v>
      </c>
    </row>
    <row r="297" spans="1:15">
      <c r="A297">
        <v>71</v>
      </c>
      <c r="B297" t="s">
        <v>8</v>
      </c>
      <c r="C297" t="s">
        <v>15</v>
      </c>
      <c r="D297" t="s">
        <v>24</v>
      </c>
      <c r="E297" t="s">
        <v>11</v>
      </c>
      <c r="F297">
        <v>1062</v>
      </c>
      <c r="G297">
        <v>17</v>
      </c>
      <c r="H297" s="3">
        <v>45448</v>
      </c>
      <c r="I297" t="s">
        <v>79</v>
      </c>
      <c r="J297">
        <v>6</v>
      </c>
      <c r="K297">
        <v>2024</v>
      </c>
      <c r="L297" t="s">
        <v>61</v>
      </c>
      <c r="M297" t="str">
        <f t="shared" si="12"/>
        <v>Wednesday</v>
      </c>
      <c r="N297" t="str">
        <f t="shared" si="13"/>
        <v>Weekday</v>
      </c>
      <c r="O297" t="str">
        <f t="shared" si="14"/>
        <v>Q2</v>
      </c>
    </row>
    <row r="298" spans="1:15">
      <c r="A298">
        <v>50</v>
      </c>
      <c r="B298" t="s">
        <v>12</v>
      </c>
      <c r="C298" t="s">
        <v>19</v>
      </c>
      <c r="D298" t="s">
        <v>24</v>
      </c>
      <c r="E298" t="s">
        <v>18</v>
      </c>
      <c r="F298">
        <v>918</v>
      </c>
      <c r="G298">
        <v>4</v>
      </c>
      <c r="H298" s="3">
        <v>45398</v>
      </c>
      <c r="I298" t="s">
        <v>80</v>
      </c>
      <c r="J298">
        <v>4</v>
      </c>
      <c r="K298">
        <v>2024</v>
      </c>
      <c r="L298" t="s">
        <v>57</v>
      </c>
      <c r="M298" t="str">
        <f t="shared" si="12"/>
        <v>Tuesday</v>
      </c>
      <c r="N298" t="str">
        <f t="shared" si="13"/>
        <v>Weekday</v>
      </c>
      <c r="O298" t="str">
        <f t="shared" si="14"/>
        <v>Q2</v>
      </c>
    </row>
    <row r="299" spans="1:15">
      <c r="A299">
        <v>28</v>
      </c>
      <c r="B299" t="s">
        <v>12</v>
      </c>
      <c r="C299" t="s">
        <v>21</v>
      </c>
      <c r="D299" t="s">
        <v>14</v>
      </c>
      <c r="E299" t="s">
        <v>11</v>
      </c>
      <c r="F299">
        <v>1663</v>
      </c>
      <c r="G299">
        <v>16</v>
      </c>
      <c r="H299" s="3">
        <v>45611</v>
      </c>
      <c r="I299" t="s">
        <v>81</v>
      </c>
      <c r="J299">
        <v>11</v>
      </c>
      <c r="K299">
        <v>2024</v>
      </c>
      <c r="L299" t="s">
        <v>73</v>
      </c>
      <c r="M299" t="str">
        <f t="shared" si="12"/>
        <v>Friday</v>
      </c>
      <c r="N299" t="str">
        <f t="shared" si="13"/>
        <v>Weekend</v>
      </c>
      <c r="O299" t="str">
        <f t="shared" si="14"/>
        <v>Q4</v>
      </c>
    </row>
    <row r="300" spans="1:15">
      <c r="A300">
        <v>36</v>
      </c>
      <c r="B300" t="s">
        <v>8</v>
      </c>
      <c r="C300" t="s">
        <v>15</v>
      </c>
      <c r="D300" t="s">
        <v>17</v>
      </c>
      <c r="E300" t="s">
        <v>18</v>
      </c>
      <c r="F300">
        <v>1381</v>
      </c>
      <c r="G300">
        <v>20</v>
      </c>
      <c r="H300" s="3">
        <v>45214</v>
      </c>
      <c r="I300" t="s">
        <v>80</v>
      </c>
      <c r="J300">
        <v>10</v>
      </c>
      <c r="K300">
        <v>2023</v>
      </c>
      <c r="L300" t="s">
        <v>71</v>
      </c>
      <c r="M300" t="str">
        <f t="shared" si="12"/>
        <v>Sunday</v>
      </c>
      <c r="N300" t="str">
        <f t="shared" si="13"/>
        <v>Weekday</v>
      </c>
      <c r="O300" t="str">
        <f t="shared" si="14"/>
        <v>Q4</v>
      </c>
    </row>
    <row r="301" spans="1:15">
      <c r="A301">
        <v>51</v>
      </c>
      <c r="B301" t="s">
        <v>8</v>
      </c>
      <c r="C301" t="s">
        <v>19</v>
      </c>
      <c r="D301" t="s">
        <v>10</v>
      </c>
      <c r="E301" t="s">
        <v>11</v>
      </c>
      <c r="F301">
        <v>1012</v>
      </c>
      <c r="G301">
        <v>15</v>
      </c>
      <c r="H301" s="3">
        <v>45355</v>
      </c>
      <c r="I301" t="s">
        <v>80</v>
      </c>
      <c r="J301">
        <v>3</v>
      </c>
      <c r="K301">
        <v>2024</v>
      </c>
      <c r="L301" t="s">
        <v>54</v>
      </c>
      <c r="M301" t="str">
        <f t="shared" si="12"/>
        <v>Monday</v>
      </c>
      <c r="N301" t="str">
        <f t="shared" si="13"/>
        <v>Weekday</v>
      </c>
      <c r="O301" t="str">
        <f t="shared" si="14"/>
        <v>Q1</v>
      </c>
    </row>
    <row r="302" spans="1:15">
      <c r="A302">
        <v>27</v>
      </c>
      <c r="B302" t="s">
        <v>8</v>
      </c>
      <c r="C302" t="s">
        <v>23</v>
      </c>
      <c r="D302" t="s">
        <v>24</v>
      </c>
      <c r="E302" t="s">
        <v>18</v>
      </c>
      <c r="F302">
        <v>929</v>
      </c>
      <c r="G302">
        <v>5</v>
      </c>
      <c r="H302" s="3">
        <v>44993</v>
      </c>
      <c r="I302" t="s">
        <v>81</v>
      </c>
      <c r="J302">
        <v>3</v>
      </c>
      <c r="K302">
        <v>2023</v>
      </c>
      <c r="L302" t="s">
        <v>54</v>
      </c>
      <c r="M302" t="str">
        <f t="shared" si="12"/>
        <v>Wednesday</v>
      </c>
      <c r="N302" t="str">
        <f t="shared" si="13"/>
        <v>Weekday</v>
      </c>
      <c r="O302" t="str">
        <f t="shared" si="14"/>
        <v>Q1</v>
      </c>
    </row>
    <row r="303" spans="1:15">
      <c r="A303">
        <v>70</v>
      </c>
      <c r="B303" t="s">
        <v>12</v>
      </c>
      <c r="C303" t="s">
        <v>9</v>
      </c>
      <c r="D303" t="s">
        <v>16</v>
      </c>
      <c r="E303" t="s">
        <v>11</v>
      </c>
      <c r="F303">
        <v>834</v>
      </c>
      <c r="G303">
        <v>6</v>
      </c>
      <c r="H303" s="3">
        <v>45012</v>
      </c>
      <c r="I303" t="s">
        <v>79</v>
      </c>
      <c r="J303">
        <v>3</v>
      </c>
      <c r="K303">
        <v>2023</v>
      </c>
      <c r="L303" t="s">
        <v>54</v>
      </c>
      <c r="M303" t="str">
        <f t="shared" si="12"/>
        <v>Monday</v>
      </c>
      <c r="N303" t="str">
        <f t="shared" si="13"/>
        <v>Weekday</v>
      </c>
      <c r="O303" t="str">
        <f t="shared" si="14"/>
        <v>Q1</v>
      </c>
    </row>
    <row r="304" spans="1:15">
      <c r="A304">
        <v>31</v>
      </c>
      <c r="B304" t="s">
        <v>12</v>
      </c>
      <c r="C304" t="s">
        <v>23</v>
      </c>
      <c r="D304" t="s">
        <v>14</v>
      </c>
      <c r="E304" t="s">
        <v>11</v>
      </c>
      <c r="F304">
        <v>1466</v>
      </c>
      <c r="G304">
        <v>17</v>
      </c>
      <c r="H304" s="3">
        <v>45459</v>
      </c>
      <c r="I304" t="s">
        <v>81</v>
      </c>
      <c r="J304">
        <v>6</v>
      </c>
      <c r="K304">
        <v>2024</v>
      </c>
      <c r="L304" t="s">
        <v>61</v>
      </c>
      <c r="M304" t="str">
        <f t="shared" si="12"/>
        <v>Sunday</v>
      </c>
      <c r="N304" t="str">
        <f t="shared" si="13"/>
        <v>Weekday</v>
      </c>
      <c r="O304" t="str">
        <f t="shared" si="14"/>
        <v>Q2</v>
      </c>
    </row>
    <row r="305" spans="1:15">
      <c r="A305">
        <v>6</v>
      </c>
      <c r="B305" t="s">
        <v>8</v>
      </c>
      <c r="C305" t="s">
        <v>13</v>
      </c>
      <c r="D305" t="s">
        <v>14</v>
      </c>
      <c r="E305" t="s">
        <v>22</v>
      </c>
      <c r="F305">
        <v>1464</v>
      </c>
      <c r="G305">
        <v>1</v>
      </c>
      <c r="H305" s="3">
        <v>45154</v>
      </c>
      <c r="I305" t="s">
        <v>82</v>
      </c>
      <c r="J305">
        <v>8</v>
      </c>
      <c r="K305">
        <v>2023</v>
      </c>
      <c r="L305" t="s">
        <v>66</v>
      </c>
      <c r="M305" t="str">
        <f t="shared" si="12"/>
        <v>Wednesday</v>
      </c>
      <c r="N305" t="str">
        <f t="shared" si="13"/>
        <v>Weekday</v>
      </c>
      <c r="O305" t="str">
        <f t="shared" si="14"/>
        <v>Q3</v>
      </c>
    </row>
    <row r="306" spans="1:15">
      <c r="A306">
        <v>21</v>
      </c>
      <c r="B306" t="s">
        <v>8</v>
      </c>
      <c r="C306" t="s">
        <v>19</v>
      </c>
      <c r="D306" t="s">
        <v>10</v>
      </c>
      <c r="E306" t="s">
        <v>18</v>
      </c>
      <c r="F306">
        <v>1191</v>
      </c>
      <c r="G306">
        <v>19</v>
      </c>
      <c r="H306" s="3">
        <v>45600</v>
      </c>
      <c r="I306" t="s">
        <v>81</v>
      </c>
      <c r="J306">
        <v>11</v>
      </c>
      <c r="K306">
        <v>2024</v>
      </c>
      <c r="L306" t="s">
        <v>73</v>
      </c>
      <c r="M306" t="str">
        <f t="shared" si="12"/>
        <v>Monday</v>
      </c>
      <c r="N306" t="str">
        <f t="shared" si="13"/>
        <v>Weekday</v>
      </c>
      <c r="O306" t="str">
        <f t="shared" si="14"/>
        <v>Q4</v>
      </c>
    </row>
    <row r="307" spans="1:15">
      <c r="A307">
        <v>37</v>
      </c>
      <c r="B307" t="s">
        <v>8</v>
      </c>
      <c r="C307" t="s">
        <v>9</v>
      </c>
      <c r="D307" t="s">
        <v>16</v>
      </c>
      <c r="E307" t="s">
        <v>11</v>
      </c>
      <c r="F307">
        <v>724</v>
      </c>
      <c r="G307">
        <v>4</v>
      </c>
      <c r="H307" s="3">
        <v>45120</v>
      </c>
      <c r="I307" t="s">
        <v>80</v>
      </c>
      <c r="J307">
        <v>7</v>
      </c>
      <c r="K307">
        <v>2023</v>
      </c>
      <c r="L307" t="s">
        <v>64</v>
      </c>
      <c r="M307" t="str">
        <f t="shared" si="12"/>
        <v>Thursday</v>
      </c>
      <c r="N307" t="str">
        <f t="shared" si="13"/>
        <v>Weekday</v>
      </c>
      <c r="O307" t="str">
        <f t="shared" si="14"/>
        <v>Q3</v>
      </c>
    </row>
    <row r="308" spans="1:15">
      <c r="A308">
        <v>13</v>
      </c>
      <c r="B308" t="s">
        <v>8</v>
      </c>
      <c r="C308" t="s">
        <v>9</v>
      </c>
      <c r="D308" t="s">
        <v>17</v>
      </c>
      <c r="E308" t="s">
        <v>11</v>
      </c>
      <c r="F308">
        <v>1136</v>
      </c>
      <c r="G308">
        <v>17</v>
      </c>
      <c r="H308" s="3">
        <v>45408</v>
      </c>
      <c r="I308" t="s">
        <v>82</v>
      </c>
      <c r="J308">
        <v>4</v>
      </c>
      <c r="K308">
        <v>2024</v>
      </c>
      <c r="L308" t="s">
        <v>57</v>
      </c>
      <c r="M308" t="str">
        <f t="shared" si="12"/>
        <v>Friday</v>
      </c>
      <c r="N308" t="str">
        <f t="shared" si="13"/>
        <v>Weekend</v>
      </c>
      <c r="O308" t="str">
        <f t="shared" si="14"/>
        <v>Q2</v>
      </c>
    </row>
    <row r="309" spans="1:15">
      <c r="A309">
        <v>47</v>
      </c>
      <c r="B309" t="s">
        <v>8</v>
      </c>
      <c r="C309" t="s">
        <v>19</v>
      </c>
      <c r="D309" t="s">
        <v>16</v>
      </c>
      <c r="E309" t="s">
        <v>18</v>
      </c>
      <c r="F309">
        <v>700</v>
      </c>
      <c r="G309">
        <v>9</v>
      </c>
      <c r="H309" s="3">
        <v>45609</v>
      </c>
      <c r="I309" t="s">
        <v>80</v>
      </c>
      <c r="J309">
        <v>11</v>
      </c>
      <c r="K309">
        <v>2024</v>
      </c>
      <c r="L309" t="s">
        <v>73</v>
      </c>
      <c r="M309" t="str">
        <f t="shared" si="12"/>
        <v>Wednesday</v>
      </c>
      <c r="N309" t="str">
        <f t="shared" si="13"/>
        <v>Weekday</v>
      </c>
      <c r="O309" t="str">
        <f t="shared" si="14"/>
        <v>Q4</v>
      </c>
    </row>
    <row r="310" spans="1:15">
      <c r="A310">
        <v>52</v>
      </c>
      <c r="B310" t="s">
        <v>12</v>
      </c>
      <c r="C310" t="s">
        <v>9</v>
      </c>
      <c r="D310" t="s">
        <v>17</v>
      </c>
      <c r="E310" t="s">
        <v>11</v>
      </c>
      <c r="F310">
        <v>1136</v>
      </c>
      <c r="G310">
        <v>2</v>
      </c>
      <c r="H310" s="3">
        <v>45628</v>
      </c>
      <c r="I310" t="s">
        <v>80</v>
      </c>
      <c r="J310">
        <v>12</v>
      </c>
      <c r="K310">
        <v>2024</v>
      </c>
      <c r="L310" t="s">
        <v>75</v>
      </c>
      <c r="M310" t="str">
        <f t="shared" si="12"/>
        <v>Monday</v>
      </c>
      <c r="N310" t="str">
        <f t="shared" si="13"/>
        <v>Weekday</v>
      </c>
      <c r="O310" t="str">
        <f t="shared" si="14"/>
        <v>Q4</v>
      </c>
    </row>
    <row r="311" spans="1:15">
      <c r="A311">
        <v>43</v>
      </c>
      <c r="B311" t="s">
        <v>12</v>
      </c>
      <c r="C311" t="s">
        <v>9</v>
      </c>
      <c r="D311" t="s">
        <v>16</v>
      </c>
      <c r="E311" t="s">
        <v>18</v>
      </c>
      <c r="F311">
        <v>840</v>
      </c>
      <c r="G311">
        <v>8</v>
      </c>
      <c r="H311" s="3">
        <v>45019</v>
      </c>
      <c r="I311" t="s">
        <v>80</v>
      </c>
      <c r="J311">
        <v>4</v>
      </c>
      <c r="K311">
        <v>2023</v>
      </c>
      <c r="L311" t="s">
        <v>57</v>
      </c>
      <c r="M311" t="str">
        <f t="shared" si="12"/>
        <v>Monday</v>
      </c>
      <c r="N311" t="str">
        <f t="shared" si="13"/>
        <v>Weekday</v>
      </c>
      <c r="O311" t="str">
        <f t="shared" si="14"/>
        <v>Q2</v>
      </c>
    </row>
    <row r="312" spans="1:15">
      <c r="A312">
        <v>46</v>
      </c>
      <c r="B312" t="s">
        <v>12</v>
      </c>
      <c r="C312" t="s">
        <v>9</v>
      </c>
      <c r="D312" t="s">
        <v>16</v>
      </c>
      <c r="E312" t="s">
        <v>18</v>
      </c>
      <c r="F312">
        <v>931</v>
      </c>
      <c r="G312">
        <v>15</v>
      </c>
      <c r="H312" s="3">
        <v>45618</v>
      </c>
      <c r="I312" t="s">
        <v>80</v>
      </c>
      <c r="J312">
        <v>11</v>
      </c>
      <c r="K312">
        <v>2024</v>
      </c>
      <c r="L312" t="s">
        <v>73</v>
      </c>
      <c r="M312" t="str">
        <f t="shared" si="12"/>
        <v>Friday</v>
      </c>
      <c r="N312" t="str">
        <f t="shared" si="13"/>
        <v>Weekend</v>
      </c>
      <c r="O312" t="str">
        <f t="shared" si="14"/>
        <v>Q4</v>
      </c>
    </row>
    <row r="313" spans="1:15">
      <c r="A313">
        <v>30</v>
      </c>
      <c r="B313" t="s">
        <v>12</v>
      </c>
      <c r="C313" t="s">
        <v>15</v>
      </c>
      <c r="D313" t="s">
        <v>20</v>
      </c>
      <c r="E313" t="s">
        <v>11</v>
      </c>
      <c r="F313">
        <v>535</v>
      </c>
      <c r="G313">
        <v>7</v>
      </c>
      <c r="H313" s="3">
        <v>45207</v>
      </c>
      <c r="I313" t="s">
        <v>81</v>
      </c>
      <c r="J313">
        <v>10</v>
      </c>
      <c r="K313">
        <v>2023</v>
      </c>
      <c r="L313" t="s">
        <v>71</v>
      </c>
      <c r="M313" t="str">
        <f t="shared" si="12"/>
        <v>Sunday</v>
      </c>
      <c r="N313" t="str">
        <f t="shared" si="13"/>
        <v>Weekday</v>
      </c>
      <c r="O313" t="str">
        <f t="shared" si="14"/>
        <v>Q4</v>
      </c>
    </row>
    <row r="314" spans="1:15">
      <c r="A314">
        <v>54</v>
      </c>
      <c r="B314" t="s">
        <v>8</v>
      </c>
      <c r="C314" t="s">
        <v>15</v>
      </c>
      <c r="D314" t="s">
        <v>14</v>
      </c>
      <c r="E314" t="s">
        <v>11</v>
      </c>
      <c r="F314">
        <v>1587</v>
      </c>
      <c r="G314">
        <v>6</v>
      </c>
      <c r="H314" s="3">
        <v>45620</v>
      </c>
      <c r="I314" t="s">
        <v>80</v>
      </c>
      <c r="J314">
        <v>11</v>
      </c>
      <c r="K314">
        <v>2024</v>
      </c>
      <c r="L314" t="s">
        <v>73</v>
      </c>
      <c r="M314" t="str">
        <f t="shared" si="12"/>
        <v>Sunday</v>
      </c>
      <c r="N314" t="str">
        <f t="shared" si="13"/>
        <v>Weekday</v>
      </c>
      <c r="O314" t="str">
        <f t="shared" si="14"/>
        <v>Q4</v>
      </c>
    </row>
    <row r="315" spans="1:15">
      <c r="A315">
        <v>29</v>
      </c>
      <c r="B315" t="s">
        <v>12</v>
      </c>
      <c r="C315" t="s">
        <v>9</v>
      </c>
      <c r="D315" t="s">
        <v>16</v>
      </c>
      <c r="E315" t="s">
        <v>11</v>
      </c>
      <c r="F315">
        <v>827</v>
      </c>
      <c r="G315">
        <v>1</v>
      </c>
      <c r="H315" s="3">
        <v>45245</v>
      </c>
      <c r="I315" t="s">
        <v>81</v>
      </c>
      <c r="J315">
        <v>11</v>
      </c>
      <c r="K315">
        <v>2023</v>
      </c>
      <c r="L315" t="s">
        <v>73</v>
      </c>
      <c r="M315" t="str">
        <f t="shared" si="12"/>
        <v>Wednesday</v>
      </c>
      <c r="N315" t="str">
        <f t="shared" si="13"/>
        <v>Weekday</v>
      </c>
      <c r="O315" t="str">
        <f t="shared" si="14"/>
        <v>Q4</v>
      </c>
    </row>
    <row r="316" spans="1:15">
      <c r="A316">
        <v>28</v>
      </c>
      <c r="B316" t="s">
        <v>8</v>
      </c>
      <c r="C316" t="s">
        <v>9</v>
      </c>
      <c r="D316" t="s">
        <v>10</v>
      </c>
      <c r="E316" t="s">
        <v>11</v>
      </c>
      <c r="F316">
        <v>1100</v>
      </c>
      <c r="G316">
        <v>15</v>
      </c>
      <c r="H316" s="3">
        <v>45241</v>
      </c>
      <c r="I316" t="s">
        <v>81</v>
      </c>
      <c r="J316">
        <v>11</v>
      </c>
      <c r="K316">
        <v>2023</v>
      </c>
      <c r="L316" t="s">
        <v>73</v>
      </c>
      <c r="M316" t="str">
        <f t="shared" si="12"/>
        <v>Saturday</v>
      </c>
      <c r="N316" t="str">
        <f t="shared" si="13"/>
        <v>Weekend</v>
      </c>
      <c r="O316" t="str">
        <f t="shared" si="14"/>
        <v>Q4</v>
      </c>
    </row>
    <row r="317" spans="1:15">
      <c r="A317">
        <v>17</v>
      </c>
      <c r="B317" t="s">
        <v>12</v>
      </c>
      <c r="C317" t="s">
        <v>15</v>
      </c>
      <c r="D317" t="s">
        <v>16</v>
      </c>
      <c r="E317" t="s">
        <v>11</v>
      </c>
      <c r="F317">
        <v>826</v>
      </c>
      <c r="G317">
        <v>7</v>
      </c>
      <c r="H317" s="3">
        <v>45331</v>
      </c>
      <c r="I317" t="s">
        <v>82</v>
      </c>
      <c r="J317">
        <v>2</v>
      </c>
      <c r="K317">
        <v>2024</v>
      </c>
      <c r="L317" t="s">
        <v>52</v>
      </c>
      <c r="M317" t="str">
        <f t="shared" si="12"/>
        <v>Friday</v>
      </c>
      <c r="N317" t="str">
        <f t="shared" si="13"/>
        <v>Weekend</v>
      </c>
      <c r="O317" t="str">
        <f t="shared" si="14"/>
        <v>Q1</v>
      </c>
    </row>
    <row r="318" spans="1:15">
      <c r="A318">
        <v>64</v>
      </c>
      <c r="B318" t="s">
        <v>12</v>
      </c>
      <c r="C318" t="s">
        <v>23</v>
      </c>
      <c r="D318" t="s">
        <v>24</v>
      </c>
      <c r="E318" t="s">
        <v>22</v>
      </c>
      <c r="F318">
        <v>1156</v>
      </c>
      <c r="G318">
        <v>17</v>
      </c>
      <c r="H318" s="3">
        <v>45298</v>
      </c>
      <c r="I318" t="s">
        <v>79</v>
      </c>
      <c r="J318">
        <v>1</v>
      </c>
      <c r="K318">
        <v>2024</v>
      </c>
      <c r="L318" t="s">
        <v>46</v>
      </c>
      <c r="M318" t="str">
        <f t="shared" si="12"/>
        <v>Sunday</v>
      </c>
      <c r="N318" t="str">
        <f t="shared" si="13"/>
        <v>Weekday</v>
      </c>
      <c r="O318" t="str">
        <f t="shared" si="14"/>
        <v>Q1</v>
      </c>
    </row>
    <row r="319" spans="1:15">
      <c r="A319">
        <v>11</v>
      </c>
      <c r="B319" t="s">
        <v>12</v>
      </c>
      <c r="C319" t="s">
        <v>23</v>
      </c>
      <c r="D319" t="s">
        <v>14</v>
      </c>
      <c r="E319" t="s">
        <v>11</v>
      </c>
      <c r="F319">
        <v>1563</v>
      </c>
      <c r="G319">
        <v>2</v>
      </c>
      <c r="H319" s="3">
        <v>45548</v>
      </c>
      <c r="I319" t="s">
        <v>82</v>
      </c>
      <c r="J319">
        <v>9</v>
      </c>
      <c r="K319">
        <v>2024</v>
      </c>
      <c r="L319" t="s">
        <v>68</v>
      </c>
      <c r="M319" t="str">
        <f t="shared" si="12"/>
        <v>Friday</v>
      </c>
      <c r="N319" t="str">
        <f t="shared" si="13"/>
        <v>Weekend</v>
      </c>
      <c r="O319" t="str">
        <f t="shared" si="14"/>
        <v>Q3</v>
      </c>
    </row>
    <row r="320" spans="1:15">
      <c r="A320">
        <v>61</v>
      </c>
      <c r="B320" t="s">
        <v>12</v>
      </c>
      <c r="C320" t="s">
        <v>15</v>
      </c>
      <c r="D320" t="s">
        <v>24</v>
      </c>
      <c r="E320" t="s">
        <v>18</v>
      </c>
      <c r="F320">
        <v>934</v>
      </c>
      <c r="G320">
        <v>9</v>
      </c>
      <c r="H320" s="3">
        <v>45628</v>
      </c>
      <c r="I320" t="s">
        <v>79</v>
      </c>
      <c r="J320">
        <v>12</v>
      </c>
      <c r="K320">
        <v>2024</v>
      </c>
      <c r="L320" t="s">
        <v>75</v>
      </c>
      <c r="M320" t="str">
        <f t="shared" si="12"/>
        <v>Monday</v>
      </c>
      <c r="N320" t="str">
        <f t="shared" si="13"/>
        <v>Weekday</v>
      </c>
      <c r="O320" t="str">
        <f t="shared" si="14"/>
        <v>Q4</v>
      </c>
    </row>
    <row r="321" spans="1:15">
      <c r="A321">
        <v>40</v>
      </c>
      <c r="B321" t="s">
        <v>8</v>
      </c>
      <c r="C321" t="s">
        <v>13</v>
      </c>
      <c r="D321" t="s">
        <v>14</v>
      </c>
      <c r="E321" t="s">
        <v>11</v>
      </c>
      <c r="F321">
        <v>1593</v>
      </c>
      <c r="G321">
        <v>9</v>
      </c>
      <c r="H321" s="3">
        <v>45634</v>
      </c>
      <c r="I321" t="s">
        <v>80</v>
      </c>
      <c r="J321">
        <v>12</v>
      </c>
      <c r="K321">
        <v>2024</v>
      </c>
      <c r="L321" t="s">
        <v>75</v>
      </c>
      <c r="M321" t="str">
        <f t="shared" si="12"/>
        <v>Sunday</v>
      </c>
      <c r="N321" t="str">
        <f t="shared" si="13"/>
        <v>Weekday</v>
      </c>
      <c r="O321" t="str">
        <f t="shared" si="14"/>
        <v>Q4</v>
      </c>
    </row>
    <row r="322" spans="1:15">
      <c r="A322">
        <v>49</v>
      </c>
      <c r="B322" t="s">
        <v>12</v>
      </c>
      <c r="C322" t="s">
        <v>9</v>
      </c>
      <c r="D322" t="s">
        <v>24</v>
      </c>
      <c r="E322" t="s">
        <v>11</v>
      </c>
      <c r="F322">
        <v>1090</v>
      </c>
      <c r="G322">
        <v>13</v>
      </c>
      <c r="H322" s="3">
        <v>44964</v>
      </c>
      <c r="I322" t="s">
        <v>80</v>
      </c>
      <c r="J322">
        <v>2</v>
      </c>
      <c r="K322">
        <v>2023</v>
      </c>
      <c r="L322" t="s">
        <v>52</v>
      </c>
      <c r="M322" t="str">
        <f t="shared" ref="M322:M385" si="15">TEXT(H322,"dddd")</f>
        <v>Tuesday</v>
      </c>
      <c r="N322" t="str">
        <f t="shared" ref="N322:N385" si="16">IF(WEEKDAY(H322,1)&gt;5,"Weekend","Weekday")</f>
        <v>Weekday</v>
      </c>
      <c r="O322" t="str">
        <f t="shared" ref="O322:O385" si="17">"Q"&amp;CEILING(MONTH(H322)/3,1)</f>
        <v>Q1</v>
      </c>
    </row>
    <row r="323" spans="1:15">
      <c r="A323">
        <v>24</v>
      </c>
      <c r="B323" t="s">
        <v>8</v>
      </c>
      <c r="C323" t="s">
        <v>23</v>
      </c>
      <c r="D323" t="s">
        <v>16</v>
      </c>
      <c r="E323" t="s">
        <v>11</v>
      </c>
      <c r="F323">
        <v>803</v>
      </c>
      <c r="G323">
        <v>6</v>
      </c>
      <c r="H323" s="3">
        <v>45528</v>
      </c>
      <c r="I323" t="s">
        <v>81</v>
      </c>
      <c r="J323">
        <v>8</v>
      </c>
      <c r="K323">
        <v>2024</v>
      </c>
      <c r="L323" t="s">
        <v>66</v>
      </c>
      <c r="M323" t="str">
        <f t="shared" si="15"/>
        <v>Saturday</v>
      </c>
      <c r="N323" t="str">
        <f t="shared" si="16"/>
        <v>Weekend</v>
      </c>
      <c r="O323" t="str">
        <f t="shared" si="17"/>
        <v>Q3</v>
      </c>
    </row>
    <row r="324" spans="1:15">
      <c r="A324">
        <v>69</v>
      </c>
      <c r="B324" t="s">
        <v>12</v>
      </c>
      <c r="C324" t="s">
        <v>19</v>
      </c>
      <c r="D324" t="s">
        <v>16</v>
      </c>
      <c r="E324" t="s">
        <v>11</v>
      </c>
      <c r="F324">
        <v>722</v>
      </c>
      <c r="G324">
        <v>6</v>
      </c>
      <c r="H324" s="3">
        <v>45547</v>
      </c>
      <c r="I324" t="s">
        <v>79</v>
      </c>
      <c r="J324">
        <v>9</v>
      </c>
      <c r="K324">
        <v>2024</v>
      </c>
      <c r="L324" t="s">
        <v>68</v>
      </c>
      <c r="M324" t="str">
        <f t="shared" si="15"/>
        <v>Thursday</v>
      </c>
      <c r="N324" t="str">
        <f t="shared" si="16"/>
        <v>Weekday</v>
      </c>
      <c r="O324" t="str">
        <f t="shared" si="17"/>
        <v>Q3</v>
      </c>
    </row>
    <row r="325" spans="1:15">
      <c r="A325">
        <v>12</v>
      </c>
      <c r="B325" t="s">
        <v>12</v>
      </c>
      <c r="C325" t="s">
        <v>26</v>
      </c>
      <c r="D325" t="s">
        <v>20</v>
      </c>
      <c r="E325" t="s">
        <v>11</v>
      </c>
      <c r="F325">
        <v>664</v>
      </c>
      <c r="G325">
        <v>20</v>
      </c>
      <c r="H325" s="3">
        <v>45035</v>
      </c>
      <c r="I325" t="s">
        <v>82</v>
      </c>
      <c r="J325">
        <v>4</v>
      </c>
      <c r="K325">
        <v>2023</v>
      </c>
      <c r="L325" t="s">
        <v>57</v>
      </c>
      <c r="M325" t="str">
        <f t="shared" si="15"/>
        <v>Wednesday</v>
      </c>
      <c r="N325" t="str">
        <f t="shared" si="16"/>
        <v>Weekday</v>
      </c>
      <c r="O325" t="str">
        <f t="shared" si="17"/>
        <v>Q2</v>
      </c>
    </row>
    <row r="326" spans="1:15">
      <c r="A326">
        <v>20</v>
      </c>
      <c r="B326" t="s">
        <v>12</v>
      </c>
      <c r="C326" t="s">
        <v>23</v>
      </c>
      <c r="D326" t="s">
        <v>10</v>
      </c>
      <c r="E326" t="s">
        <v>11</v>
      </c>
      <c r="F326">
        <v>1189</v>
      </c>
      <c r="G326">
        <v>20</v>
      </c>
      <c r="H326" s="3">
        <v>45511</v>
      </c>
      <c r="I326" t="s">
        <v>81</v>
      </c>
      <c r="J326">
        <v>8</v>
      </c>
      <c r="K326">
        <v>2024</v>
      </c>
      <c r="L326" t="s">
        <v>66</v>
      </c>
      <c r="M326" t="str">
        <f t="shared" si="15"/>
        <v>Wednesday</v>
      </c>
      <c r="N326" t="str">
        <f t="shared" si="16"/>
        <v>Weekday</v>
      </c>
      <c r="O326" t="str">
        <f t="shared" si="17"/>
        <v>Q3</v>
      </c>
    </row>
    <row r="327" spans="1:15">
      <c r="A327">
        <v>18</v>
      </c>
      <c r="B327" t="s">
        <v>8</v>
      </c>
      <c r="C327" t="s">
        <v>23</v>
      </c>
      <c r="D327" t="s">
        <v>24</v>
      </c>
      <c r="E327" t="s">
        <v>18</v>
      </c>
      <c r="F327">
        <v>1159</v>
      </c>
      <c r="G327">
        <v>3</v>
      </c>
      <c r="H327" s="3">
        <v>45545</v>
      </c>
      <c r="I327" t="s">
        <v>81</v>
      </c>
      <c r="J327">
        <v>9</v>
      </c>
      <c r="K327">
        <v>2024</v>
      </c>
      <c r="L327" t="s">
        <v>68</v>
      </c>
      <c r="M327" t="str">
        <f t="shared" si="15"/>
        <v>Tuesday</v>
      </c>
      <c r="N327" t="str">
        <f t="shared" si="16"/>
        <v>Weekday</v>
      </c>
      <c r="O327" t="str">
        <f t="shared" si="17"/>
        <v>Q3</v>
      </c>
    </row>
    <row r="328" spans="1:15">
      <c r="A328">
        <v>19</v>
      </c>
      <c r="B328" t="s">
        <v>8</v>
      </c>
      <c r="C328" t="s">
        <v>25</v>
      </c>
      <c r="D328" t="s">
        <v>17</v>
      </c>
      <c r="E328" t="s">
        <v>11</v>
      </c>
      <c r="F328">
        <v>1174</v>
      </c>
      <c r="G328">
        <v>17</v>
      </c>
      <c r="H328" s="3">
        <v>45224</v>
      </c>
      <c r="I328" t="s">
        <v>81</v>
      </c>
      <c r="J328">
        <v>10</v>
      </c>
      <c r="K328">
        <v>2023</v>
      </c>
      <c r="L328" t="s">
        <v>71</v>
      </c>
      <c r="M328" t="str">
        <f t="shared" si="15"/>
        <v>Wednesday</v>
      </c>
      <c r="N328" t="str">
        <f t="shared" si="16"/>
        <v>Weekday</v>
      </c>
      <c r="O328" t="str">
        <f t="shared" si="17"/>
        <v>Q4</v>
      </c>
    </row>
    <row r="329" spans="1:15">
      <c r="A329">
        <v>70</v>
      </c>
      <c r="B329" t="s">
        <v>12</v>
      </c>
      <c r="C329" t="s">
        <v>15</v>
      </c>
      <c r="D329" t="s">
        <v>20</v>
      </c>
      <c r="E329" t="s">
        <v>11</v>
      </c>
      <c r="F329">
        <v>471</v>
      </c>
      <c r="G329">
        <v>17</v>
      </c>
      <c r="H329" s="3">
        <v>45581</v>
      </c>
      <c r="I329" t="s">
        <v>79</v>
      </c>
      <c r="J329">
        <v>10</v>
      </c>
      <c r="K329">
        <v>2024</v>
      </c>
      <c r="L329" t="s">
        <v>71</v>
      </c>
      <c r="M329" t="str">
        <f t="shared" si="15"/>
        <v>Wednesday</v>
      </c>
      <c r="N329" t="str">
        <f t="shared" si="16"/>
        <v>Weekday</v>
      </c>
      <c r="O329" t="str">
        <f t="shared" si="17"/>
        <v>Q4</v>
      </c>
    </row>
    <row r="330" spans="1:15">
      <c r="A330">
        <v>36</v>
      </c>
      <c r="B330" t="s">
        <v>12</v>
      </c>
      <c r="C330" t="s">
        <v>15</v>
      </c>
      <c r="D330" t="s">
        <v>24</v>
      </c>
      <c r="E330" t="s">
        <v>11</v>
      </c>
      <c r="F330">
        <v>1158</v>
      </c>
      <c r="G330">
        <v>12</v>
      </c>
      <c r="H330" s="3">
        <v>45415</v>
      </c>
      <c r="I330" t="s">
        <v>80</v>
      </c>
      <c r="J330">
        <v>5</v>
      </c>
      <c r="K330">
        <v>2024</v>
      </c>
      <c r="L330" t="s">
        <v>59</v>
      </c>
      <c r="M330" t="str">
        <f t="shared" si="15"/>
        <v>Friday</v>
      </c>
      <c r="N330" t="str">
        <f t="shared" si="16"/>
        <v>Weekend</v>
      </c>
      <c r="O330" t="str">
        <f t="shared" si="17"/>
        <v>Q2</v>
      </c>
    </row>
    <row r="331" spans="1:15">
      <c r="A331">
        <v>67</v>
      </c>
      <c r="B331" t="s">
        <v>8</v>
      </c>
      <c r="C331" t="s">
        <v>23</v>
      </c>
      <c r="D331" t="s">
        <v>24</v>
      </c>
      <c r="E331" t="s">
        <v>11</v>
      </c>
      <c r="F331">
        <v>1087</v>
      </c>
      <c r="G331">
        <v>16</v>
      </c>
      <c r="H331" s="3">
        <v>45483</v>
      </c>
      <c r="I331" t="s">
        <v>79</v>
      </c>
      <c r="J331">
        <v>7</v>
      </c>
      <c r="K331">
        <v>2024</v>
      </c>
      <c r="L331" t="s">
        <v>64</v>
      </c>
      <c r="M331" t="str">
        <f t="shared" si="15"/>
        <v>Wednesday</v>
      </c>
      <c r="N331" t="str">
        <f t="shared" si="16"/>
        <v>Weekday</v>
      </c>
      <c r="O331" t="str">
        <f t="shared" si="17"/>
        <v>Q3</v>
      </c>
    </row>
    <row r="332" spans="1:15">
      <c r="A332">
        <v>55</v>
      </c>
      <c r="B332" t="s">
        <v>12</v>
      </c>
      <c r="C332" t="s">
        <v>9</v>
      </c>
      <c r="D332" t="s">
        <v>20</v>
      </c>
      <c r="E332" t="s">
        <v>11</v>
      </c>
      <c r="F332">
        <v>572</v>
      </c>
      <c r="G332">
        <v>15</v>
      </c>
      <c r="H332" s="3">
        <v>45205</v>
      </c>
      <c r="I332" t="s">
        <v>80</v>
      </c>
      <c r="J332">
        <v>10</v>
      </c>
      <c r="K332">
        <v>2023</v>
      </c>
      <c r="L332" t="s">
        <v>71</v>
      </c>
      <c r="M332" t="str">
        <f t="shared" si="15"/>
        <v>Friday</v>
      </c>
      <c r="N332" t="str">
        <f t="shared" si="16"/>
        <v>Weekend</v>
      </c>
      <c r="O332" t="str">
        <f t="shared" si="17"/>
        <v>Q4</v>
      </c>
    </row>
    <row r="333" spans="1:15">
      <c r="A333">
        <v>29</v>
      </c>
      <c r="B333" t="s">
        <v>12</v>
      </c>
      <c r="C333" t="s">
        <v>23</v>
      </c>
      <c r="D333" t="s">
        <v>16</v>
      </c>
      <c r="E333" t="s">
        <v>11</v>
      </c>
      <c r="F333">
        <v>989</v>
      </c>
      <c r="G333">
        <v>13</v>
      </c>
      <c r="H333" s="3">
        <v>45400</v>
      </c>
      <c r="I333" t="s">
        <v>81</v>
      </c>
      <c r="J333">
        <v>4</v>
      </c>
      <c r="K333">
        <v>2024</v>
      </c>
      <c r="L333" t="s">
        <v>57</v>
      </c>
      <c r="M333" t="str">
        <f t="shared" si="15"/>
        <v>Thursday</v>
      </c>
      <c r="N333" t="str">
        <f t="shared" si="16"/>
        <v>Weekday</v>
      </c>
      <c r="O333" t="str">
        <f t="shared" si="17"/>
        <v>Q2</v>
      </c>
    </row>
    <row r="334" spans="1:15">
      <c r="A334">
        <v>62</v>
      </c>
      <c r="B334" t="s">
        <v>8</v>
      </c>
      <c r="C334" t="s">
        <v>15</v>
      </c>
      <c r="D334" t="s">
        <v>24</v>
      </c>
      <c r="E334" t="s">
        <v>11</v>
      </c>
      <c r="F334">
        <v>944</v>
      </c>
      <c r="G334">
        <v>1</v>
      </c>
      <c r="H334" s="3">
        <v>44944</v>
      </c>
      <c r="I334" t="s">
        <v>79</v>
      </c>
      <c r="J334">
        <v>1</v>
      </c>
      <c r="K334">
        <v>2023</v>
      </c>
      <c r="L334" t="s">
        <v>46</v>
      </c>
      <c r="M334" t="str">
        <f t="shared" si="15"/>
        <v>Wednesday</v>
      </c>
      <c r="N334" t="str">
        <f t="shared" si="16"/>
        <v>Weekday</v>
      </c>
      <c r="O334" t="str">
        <f t="shared" si="17"/>
        <v>Q1</v>
      </c>
    </row>
    <row r="335" spans="1:15">
      <c r="A335">
        <v>67</v>
      </c>
      <c r="B335" t="s">
        <v>8</v>
      </c>
      <c r="C335" t="s">
        <v>9</v>
      </c>
      <c r="D335" t="s">
        <v>16</v>
      </c>
      <c r="E335" t="s">
        <v>11</v>
      </c>
      <c r="F335">
        <v>760</v>
      </c>
      <c r="G335">
        <v>17</v>
      </c>
      <c r="H335" s="3">
        <v>45356</v>
      </c>
      <c r="I335" t="s">
        <v>79</v>
      </c>
      <c r="J335">
        <v>3</v>
      </c>
      <c r="K335">
        <v>2024</v>
      </c>
      <c r="L335" t="s">
        <v>54</v>
      </c>
      <c r="M335" t="str">
        <f t="shared" si="15"/>
        <v>Tuesday</v>
      </c>
      <c r="N335" t="str">
        <f t="shared" si="16"/>
        <v>Weekday</v>
      </c>
      <c r="O335" t="str">
        <f t="shared" si="17"/>
        <v>Q1</v>
      </c>
    </row>
    <row r="336" spans="1:15">
      <c r="A336">
        <v>66</v>
      </c>
      <c r="B336" t="s">
        <v>12</v>
      </c>
      <c r="C336" t="s">
        <v>9</v>
      </c>
      <c r="D336" t="s">
        <v>20</v>
      </c>
      <c r="E336" t="s">
        <v>11</v>
      </c>
      <c r="F336">
        <v>482</v>
      </c>
      <c r="G336">
        <v>3</v>
      </c>
      <c r="H336" s="3">
        <v>45067</v>
      </c>
      <c r="I336" t="s">
        <v>79</v>
      </c>
      <c r="J336">
        <v>5</v>
      </c>
      <c r="K336">
        <v>2023</v>
      </c>
      <c r="L336" t="s">
        <v>59</v>
      </c>
      <c r="M336" t="str">
        <f t="shared" si="15"/>
        <v>Sunday</v>
      </c>
      <c r="N336" t="str">
        <f t="shared" si="16"/>
        <v>Weekday</v>
      </c>
      <c r="O336" t="str">
        <f t="shared" si="17"/>
        <v>Q2</v>
      </c>
    </row>
    <row r="337" spans="1:15">
      <c r="A337">
        <v>26</v>
      </c>
      <c r="B337" t="s">
        <v>8</v>
      </c>
      <c r="C337" t="s">
        <v>9</v>
      </c>
      <c r="D337" t="s">
        <v>16</v>
      </c>
      <c r="E337" t="s">
        <v>18</v>
      </c>
      <c r="F337">
        <v>822</v>
      </c>
      <c r="G337">
        <v>15</v>
      </c>
      <c r="H337" s="3">
        <v>45358</v>
      </c>
      <c r="I337" t="s">
        <v>81</v>
      </c>
      <c r="J337">
        <v>3</v>
      </c>
      <c r="K337">
        <v>2024</v>
      </c>
      <c r="L337" t="s">
        <v>54</v>
      </c>
      <c r="M337" t="str">
        <f t="shared" si="15"/>
        <v>Thursday</v>
      </c>
      <c r="N337" t="str">
        <f t="shared" si="16"/>
        <v>Weekday</v>
      </c>
      <c r="O337" t="str">
        <f t="shared" si="17"/>
        <v>Q1</v>
      </c>
    </row>
    <row r="338" spans="1:15">
      <c r="A338">
        <v>62</v>
      </c>
      <c r="B338" t="s">
        <v>8</v>
      </c>
      <c r="C338" t="s">
        <v>19</v>
      </c>
      <c r="D338" t="s">
        <v>14</v>
      </c>
      <c r="E338" t="s">
        <v>11</v>
      </c>
      <c r="F338">
        <v>1415</v>
      </c>
      <c r="G338">
        <v>4</v>
      </c>
      <c r="H338" s="3">
        <v>45262</v>
      </c>
      <c r="I338" t="s">
        <v>79</v>
      </c>
      <c r="J338">
        <v>12</v>
      </c>
      <c r="K338">
        <v>2023</v>
      </c>
      <c r="L338" t="s">
        <v>75</v>
      </c>
      <c r="M338" t="str">
        <f t="shared" si="15"/>
        <v>Saturday</v>
      </c>
      <c r="N338" t="str">
        <f t="shared" si="16"/>
        <v>Weekend</v>
      </c>
      <c r="O338" t="str">
        <f t="shared" si="17"/>
        <v>Q4</v>
      </c>
    </row>
    <row r="339" spans="1:15">
      <c r="A339">
        <v>62</v>
      </c>
      <c r="B339" t="s">
        <v>12</v>
      </c>
      <c r="C339" t="s">
        <v>9</v>
      </c>
      <c r="D339" t="s">
        <v>17</v>
      </c>
      <c r="E339" t="s">
        <v>11</v>
      </c>
      <c r="F339">
        <v>1165</v>
      </c>
      <c r="G339">
        <v>4</v>
      </c>
      <c r="H339" s="3">
        <v>45241</v>
      </c>
      <c r="I339" t="s">
        <v>79</v>
      </c>
      <c r="J339">
        <v>11</v>
      </c>
      <c r="K339">
        <v>2023</v>
      </c>
      <c r="L339" t="s">
        <v>73</v>
      </c>
      <c r="M339" t="str">
        <f t="shared" si="15"/>
        <v>Saturday</v>
      </c>
      <c r="N339" t="str">
        <f t="shared" si="16"/>
        <v>Weekend</v>
      </c>
      <c r="O339" t="str">
        <f t="shared" si="17"/>
        <v>Q4</v>
      </c>
    </row>
    <row r="340" spans="1:15">
      <c r="A340">
        <v>53</v>
      </c>
      <c r="B340" t="s">
        <v>8</v>
      </c>
      <c r="C340" t="s">
        <v>9</v>
      </c>
      <c r="D340" t="s">
        <v>24</v>
      </c>
      <c r="E340" t="s">
        <v>11</v>
      </c>
      <c r="F340">
        <v>1044</v>
      </c>
      <c r="G340">
        <v>18</v>
      </c>
      <c r="H340" s="3">
        <v>45120</v>
      </c>
      <c r="I340" t="s">
        <v>80</v>
      </c>
      <c r="J340">
        <v>7</v>
      </c>
      <c r="K340">
        <v>2023</v>
      </c>
      <c r="L340" t="s">
        <v>64</v>
      </c>
      <c r="M340" t="str">
        <f t="shared" si="15"/>
        <v>Thursday</v>
      </c>
      <c r="N340" t="str">
        <f t="shared" si="16"/>
        <v>Weekday</v>
      </c>
      <c r="O340" t="str">
        <f t="shared" si="17"/>
        <v>Q3</v>
      </c>
    </row>
    <row r="341" spans="1:15">
      <c r="A341">
        <v>56</v>
      </c>
      <c r="B341" t="s">
        <v>8</v>
      </c>
      <c r="C341" t="s">
        <v>9</v>
      </c>
      <c r="D341" t="s">
        <v>10</v>
      </c>
      <c r="E341" t="s">
        <v>11</v>
      </c>
      <c r="F341">
        <v>1061</v>
      </c>
      <c r="G341">
        <v>17</v>
      </c>
      <c r="H341" s="3">
        <v>45283</v>
      </c>
      <c r="I341" t="s">
        <v>79</v>
      </c>
      <c r="J341">
        <v>12</v>
      </c>
      <c r="K341">
        <v>2023</v>
      </c>
      <c r="L341" t="s">
        <v>75</v>
      </c>
      <c r="M341" t="str">
        <f t="shared" si="15"/>
        <v>Saturday</v>
      </c>
      <c r="N341" t="str">
        <f t="shared" si="16"/>
        <v>Weekend</v>
      </c>
      <c r="O341" t="str">
        <f t="shared" si="17"/>
        <v>Q4</v>
      </c>
    </row>
    <row r="342" spans="1:15">
      <c r="A342">
        <v>46</v>
      </c>
      <c r="B342" t="s">
        <v>12</v>
      </c>
      <c r="C342" t="s">
        <v>9</v>
      </c>
      <c r="D342" t="s">
        <v>17</v>
      </c>
      <c r="E342" t="s">
        <v>22</v>
      </c>
      <c r="F342">
        <v>1333</v>
      </c>
      <c r="G342">
        <v>19</v>
      </c>
      <c r="H342" s="3">
        <v>45174</v>
      </c>
      <c r="I342" t="s">
        <v>80</v>
      </c>
      <c r="J342">
        <v>9</v>
      </c>
      <c r="K342">
        <v>2023</v>
      </c>
      <c r="L342" t="s">
        <v>68</v>
      </c>
      <c r="M342" t="str">
        <f t="shared" si="15"/>
        <v>Tuesday</v>
      </c>
      <c r="N342" t="str">
        <f t="shared" si="16"/>
        <v>Weekday</v>
      </c>
      <c r="O342" t="str">
        <f t="shared" si="17"/>
        <v>Q3</v>
      </c>
    </row>
    <row r="343" spans="1:15">
      <c r="A343">
        <v>74</v>
      </c>
      <c r="B343" t="s">
        <v>12</v>
      </c>
      <c r="C343" t="s">
        <v>25</v>
      </c>
      <c r="D343" t="s">
        <v>16</v>
      </c>
      <c r="E343" t="s">
        <v>11</v>
      </c>
      <c r="F343">
        <v>843</v>
      </c>
      <c r="G343">
        <v>11</v>
      </c>
      <c r="H343" s="3">
        <v>45266</v>
      </c>
      <c r="I343" t="s">
        <v>79</v>
      </c>
      <c r="J343">
        <v>12</v>
      </c>
      <c r="K343">
        <v>2023</v>
      </c>
      <c r="L343" t="s">
        <v>75</v>
      </c>
      <c r="M343" t="str">
        <f t="shared" si="15"/>
        <v>Wednesday</v>
      </c>
      <c r="N343" t="str">
        <f t="shared" si="16"/>
        <v>Weekday</v>
      </c>
      <c r="O343" t="str">
        <f t="shared" si="17"/>
        <v>Q4</v>
      </c>
    </row>
    <row r="344" spans="1:15">
      <c r="A344">
        <v>19</v>
      </c>
      <c r="B344" t="s">
        <v>12</v>
      </c>
      <c r="C344" t="s">
        <v>15</v>
      </c>
      <c r="D344" t="s">
        <v>24</v>
      </c>
      <c r="E344" t="s">
        <v>11</v>
      </c>
      <c r="F344">
        <v>1087</v>
      </c>
      <c r="G344">
        <v>20</v>
      </c>
      <c r="H344" s="3">
        <v>45467</v>
      </c>
      <c r="I344" t="s">
        <v>81</v>
      </c>
      <c r="J344">
        <v>6</v>
      </c>
      <c r="K344">
        <v>2024</v>
      </c>
      <c r="L344" t="s">
        <v>61</v>
      </c>
      <c r="M344" t="str">
        <f t="shared" si="15"/>
        <v>Monday</v>
      </c>
      <c r="N344" t="str">
        <f t="shared" si="16"/>
        <v>Weekday</v>
      </c>
      <c r="O344" t="str">
        <f t="shared" si="17"/>
        <v>Q2</v>
      </c>
    </row>
    <row r="345" spans="1:15">
      <c r="A345">
        <v>58</v>
      </c>
      <c r="B345" t="s">
        <v>8</v>
      </c>
      <c r="C345" t="s">
        <v>19</v>
      </c>
      <c r="D345" t="s">
        <v>16</v>
      </c>
      <c r="E345" t="s">
        <v>11</v>
      </c>
      <c r="F345">
        <v>712</v>
      </c>
      <c r="G345">
        <v>3</v>
      </c>
      <c r="H345" s="3">
        <v>45591</v>
      </c>
      <c r="I345" t="s">
        <v>79</v>
      </c>
      <c r="J345">
        <v>10</v>
      </c>
      <c r="K345">
        <v>2024</v>
      </c>
      <c r="L345" t="s">
        <v>71</v>
      </c>
      <c r="M345" t="str">
        <f t="shared" si="15"/>
        <v>Saturday</v>
      </c>
      <c r="N345" t="str">
        <f t="shared" si="16"/>
        <v>Weekend</v>
      </c>
      <c r="O345" t="str">
        <f t="shared" si="17"/>
        <v>Q4</v>
      </c>
    </row>
    <row r="346" spans="1:15">
      <c r="A346">
        <v>64</v>
      </c>
      <c r="B346" t="s">
        <v>12</v>
      </c>
      <c r="C346" t="s">
        <v>19</v>
      </c>
      <c r="D346" t="s">
        <v>14</v>
      </c>
      <c r="E346" t="s">
        <v>11</v>
      </c>
      <c r="F346">
        <v>1583</v>
      </c>
      <c r="G346">
        <v>8</v>
      </c>
      <c r="H346" s="3">
        <v>44940</v>
      </c>
      <c r="I346" t="s">
        <v>79</v>
      </c>
      <c r="J346">
        <v>1</v>
      </c>
      <c r="K346">
        <v>2023</v>
      </c>
      <c r="L346" t="s">
        <v>46</v>
      </c>
      <c r="M346" t="str">
        <f t="shared" si="15"/>
        <v>Saturday</v>
      </c>
      <c r="N346" t="str">
        <f t="shared" si="16"/>
        <v>Weekend</v>
      </c>
      <c r="O346" t="str">
        <f t="shared" si="17"/>
        <v>Q1</v>
      </c>
    </row>
    <row r="347" spans="1:15">
      <c r="A347">
        <v>12</v>
      </c>
      <c r="B347" t="s">
        <v>8</v>
      </c>
      <c r="C347" t="s">
        <v>23</v>
      </c>
      <c r="D347" t="s">
        <v>20</v>
      </c>
      <c r="E347" t="s">
        <v>11</v>
      </c>
      <c r="F347">
        <v>510</v>
      </c>
      <c r="G347">
        <v>14</v>
      </c>
      <c r="H347" s="3">
        <v>45119</v>
      </c>
      <c r="I347" t="s">
        <v>82</v>
      </c>
      <c r="J347">
        <v>7</v>
      </c>
      <c r="K347">
        <v>2023</v>
      </c>
      <c r="L347" t="s">
        <v>64</v>
      </c>
      <c r="M347" t="str">
        <f t="shared" si="15"/>
        <v>Wednesday</v>
      </c>
      <c r="N347" t="str">
        <f t="shared" si="16"/>
        <v>Weekday</v>
      </c>
      <c r="O347" t="str">
        <f t="shared" si="17"/>
        <v>Q3</v>
      </c>
    </row>
    <row r="348" spans="1:15">
      <c r="A348">
        <v>57</v>
      </c>
      <c r="B348" t="s">
        <v>8</v>
      </c>
      <c r="C348" t="s">
        <v>19</v>
      </c>
      <c r="D348" t="s">
        <v>24</v>
      </c>
      <c r="E348" t="s">
        <v>11</v>
      </c>
      <c r="F348">
        <v>1189</v>
      </c>
      <c r="G348">
        <v>1</v>
      </c>
      <c r="H348" s="3">
        <v>44989</v>
      </c>
      <c r="I348" t="s">
        <v>79</v>
      </c>
      <c r="J348">
        <v>3</v>
      </c>
      <c r="K348">
        <v>2023</v>
      </c>
      <c r="L348" t="s">
        <v>54</v>
      </c>
      <c r="M348" t="str">
        <f t="shared" si="15"/>
        <v>Saturday</v>
      </c>
      <c r="N348" t="str">
        <f t="shared" si="16"/>
        <v>Weekend</v>
      </c>
      <c r="O348" t="str">
        <f t="shared" si="17"/>
        <v>Q1</v>
      </c>
    </row>
    <row r="349" spans="1:15">
      <c r="A349">
        <v>64</v>
      </c>
      <c r="B349" t="s">
        <v>12</v>
      </c>
      <c r="C349" t="s">
        <v>25</v>
      </c>
      <c r="D349" t="s">
        <v>14</v>
      </c>
      <c r="E349" t="s">
        <v>22</v>
      </c>
      <c r="F349">
        <v>1694</v>
      </c>
      <c r="G349">
        <v>14</v>
      </c>
      <c r="H349" s="3">
        <v>45069</v>
      </c>
      <c r="I349" t="s">
        <v>79</v>
      </c>
      <c r="J349">
        <v>5</v>
      </c>
      <c r="K349">
        <v>2023</v>
      </c>
      <c r="L349" t="s">
        <v>59</v>
      </c>
      <c r="M349" t="str">
        <f t="shared" si="15"/>
        <v>Tuesday</v>
      </c>
      <c r="N349" t="str">
        <f t="shared" si="16"/>
        <v>Weekday</v>
      </c>
      <c r="O349" t="str">
        <f t="shared" si="17"/>
        <v>Q2</v>
      </c>
    </row>
    <row r="350" spans="1:15">
      <c r="A350">
        <v>9</v>
      </c>
      <c r="B350" t="s">
        <v>8</v>
      </c>
      <c r="C350" t="s">
        <v>26</v>
      </c>
      <c r="D350" t="s">
        <v>14</v>
      </c>
      <c r="E350" t="s">
        <v>11</v>
      </c>
      <c r="F350">
        <v>1614</v>
      </c>
      <c r="G350">
        <v>2</v>
      </c>
      <c r="H350" s="3">
        <v>45571</v>
      </c>
      <c r="I350" t="s">
        <v>82</v>
      </c>
      <c r="J350">
        <v>10</v>
      </c>
      <c r="K350">
        <v>2024</v>
      </c>
      <c r="L350" t="s">
        <v>71</v>
      </c>
      <c r="M350" t="str">
        <f t="shared" si="15"/>
        <v>Sunday</v>
      </c>
      <c r="N350" t="str">
        <f t="shared" si="16"/>
        <v>Weekday</v>
      </c>
      <c r="O350" t="str">
        <f t="shared" si="17"/>
        <v>Q4</v>
      </c>
    </row>
    <row r="351" spans="1:15">
      <c r="A351">
        <v>72</v>
      </c>
      <c r="B351" t="s">
        <v>12</v>
      </c>
      <c r="C351" t="s">
        <v>15</v>
      </c>
      <c r="D351" t="s">
        <v>24</v>
      </c>
      <c r="E351" t="s">
        <v>11</v>
      </c>
      <c r="F351">
        <v>1019</v>
      </c>
      <c r="G351">
        <v>4</v>
      </c>
      <c r="H351" s="3">
        <v>45026</v>
      </c>
      <c r="I351" t="s">
        <v>79</v>
      </c>
      <c r="J351">
        <v>4</v>
      </c>
      <c r="K351">
        <v>2023</v>
      </c>
      <c r="L351" t="s">
        <v>57</v>
      </c>
      <c r="M351" t="str">
        <f t="shared" si="15"/>
        <v>Monday</v>
      </c>
      <c r="N351" t="str">
        <f t="shared" si="16"/>
        <v>Weekday</v>
      </c>
      <c r="O351" t="str">
        <f t="shared" si="17"/>
        <v>Q2</v>
      </c>
    </row>
    <row r="352" spans="1:15">
      <c r="A352">
        <v>10</v>
      </c>
      <c r="B352" t="s">
        <v>8</v>
      </c>
      <c r="C352" t="s">
        <v>15</v>
      </c>
      <c r="D352" t="s">
        <v>16</v>
      </c>
      <c r="E352" t="s">
        <v>11</v>
      </c>
      <c r="F352">
        <v>754</v>
      </c>
      <c r="G352">
        <v>19</v>
      </c>
      <c r="H352" s="3">
        <v>45583</v>
      </c>
      <c r="I352" t="s">
        <v>82</v>
      </c>
      <c r="J352">
        <v>10</v>
      </c>
      <c r="K352">
        <v>2024</v>
      </c>
      <c r="L352" t="s">
        <v>71</v>
      </c>
      <c r="M352" t="str">
        <f t="shared" si="15"/>
        <v>Friday</v>
      </c>
      <c r="N352" t="str">
        <f t="shared" si="16"/>
        <v>Weekend</v>
      </c>
      <c r="O352" t="str">
        <f t="shared" si="17"/>
        <v>Q4</v>
      </c>
    </row>
    <row r="353" spans="1:15">
      <c r="A353">
        <v>51</v>
      </c>
      <c r="B353" t="s">
        <v>8</v>
      </c>
      <c r="C353" t="s">
        <v>9</v>
      </c>
      <c r="D353" t="s">
        <v>10</v>
      </c>
      <c r="E353" t="s">
        <v>11</v>
      </c>
      <c r="F353">
        <v>926</v>
      </c>
      <c r="G353">
        <v>6</v>
      </c>
      <c r="H353" s="3">
        <v>45427</v>
      </c>
      <c r="I353" t="s">
        <v>80</v>
      </c>
      <c r="J353">
        <v>5</v>
      </c>
      <c r="K353">
        <v>2024</v>
      </c>
      <c r="L353" t="s">
        <v>59</v>
      </c>
      <c r="M353" t="str">
        <f t="shared" si="15"/>
        <v>Wednesday</v>
      </c>
      <c r="N353" t="str">
        <f t="shared" si="16"/>
        <v>Weekday</v>
      </c>
      <c r="O353" t="str">
        <f t="shared" si="17"/>
        <v>Q2</v>
      </c>
    </row>
    <row r="354" spans="1:15">
      <c r="A354">
        <v>59</v>
      </c>
      <c r="B354" t="s">
        <v>12</v>
      </c>
      <c r="C354" t="s">
        <v>15</v>
      </c>
      <c r="D354" t="s">
        <v>14</v>
      </c>
      <c r="E354" t="s">
        <v>11</v>
      </c>
      <c r="F354">
        <v>1517</v>
      </c>
      <c r="G354">
        <v>1</v>
      </c>
      <c r="H354" s="3">
        <v>45054</v>
      </c>
      <c r="I354" t="s">
        <v>79</v>
      </c>
      <c r="J354">
        <v>5</v>
      </c>
      <c r="K354">
        <v>2023</v>
      </c>
      <c r="L354" t="s">
        <v>59</v>
      </c>
      <c r="M354" t="str">
        <f t="shared" si="15"/>
        <v>Monday</v>
      </c>
      <c r="N354" t="str">
        <f t="shared" si="16"/>
        <v>Weekday</v>
      </c>
      <c r="O354" t="str">
        <f t="shared" si="17"/>
        <v>Q2</v>
      </c>
    </row>
    <row r="355" spans="1:15">
      <c r="A355">
        <v>44</v>
      </c>
      <c r="B355" t="s">
        <v>12</v>
      </c>
      <c r="C355" t="s">
        <v>19</v>
      </c>
      <c r="D355" t="s">
        <v>17</v>
      </c>
      <c r="E355" t="s">
        <v>18</v>
      </c>
      <c r="F355">
        <v>1320</v>
      </c>
      <c r="G355">
        <v>17</v>
      </c>
      <c r="H355" s="3">
        <v>45103</v>
      </c>
      <c r="I355" t="s">
        <v>80</v>
      </c>
      <c r="J355">
        <v>6</v>
      </c>
      <c r="K355">
        <v>2023</v>
      </c>
      <c r="L355" t="s">
        <v>61</v>
      </c>
      <c r="M355" t="str">
        <f t="shared" si="15"/>
        <v>Monday</v>
      </c>
      <c r="N355" t="str">
        <f t="shared" si="16"/>
        <v>Weekday</v>
      </c>
      <c r="O355" t="str">
        <f t="shared" si="17"/>
        <v>Q2</v>
      </c>
    </row>
    <row r="356" spans="1:15">
      <c r="A356">
        <v>56</v>
      </c>
      <c r="B356" t="s">
        <v>12</v>
      </c>
      <c r="C356" t="s">
        <v>21</v>
      </c>
      <c r="D356" t="s">
        <v>14</v>
      </c>
      <c r="E356" t="s">
        <v>18</v>
      </c>
      <c r="F356">
        <v>1630</v>
      </c>
      <c r="G356">
        <v>8</v>
      </c>
      <c r="H356" s="3">
        <v>45574</v>
      </c>
      <c r="I356" t="s">
        <v>79</v>
      </c>
      <c r="J356">
        <v>10</v>
      </c>
      <c r="K356">
        <v>2024</v>
      </c>
      <c r="L356" t="s">
        <v>71</v>
      </c>
      <c r="M356" t="str">
        <f t="shared" si="15"/>
        <v>Wednesday</v>
      </c>
      <c r="N356" t="str">
        <f t="shared" si="16"/>
        <v>Weekday</v>
      </c>
      <c r="O356" t="str">
        <f t="shared" si="17"/>
        <v>Q4</v>
      </c>
    </row>
    <row r="357" spans="1:15">
      <c r="A357">
        <v>20</v>
      </c>
      <c r="B357" t="s">
        <v>12</v>
      </c>
      <c r="C357" t="s">
        <v>15</v>
      </c>
      <c r="D357" t="s">
        <v>10</v>
      </c>
      <c r="E357" t="s">
        <v>11</v>
      </c>
      <c r="F357">
        <v>952</v>
      </c>
      <c r="G357">
        <v>19</v>
      </c>
      <c r="H357" s="3">
        <v>45631</v>
      </c>
      <c r="I357" t="s">
        <v>81</v>
      </c>
      <c r="J357">
        <v>12</v>
      </c>
      <c r="K357">
        <v>2024</v>
      </c>
      <c r="L357" t="s">
        <v>75</v>
      </c>
      <c r="M357" t="str">
        <f t="shared" si="15"/>
        <v>Thursday</v>
      </c>
      <c r="N357" t="str">
        <f t="shared" si="16"/>
        <v>Weekday</v>
      </c>
      <c r="O357" t="str">
        <f t="shared" si="17"/>
        <v>Q4</v>
      </c>
    </row>
    <row r="358" spans="1:15">
      <c r="A358">
        <v>17</v>
      </c>
      <c r="B358" t="s">
        <v>12</v>
      </c>
      <c r="C358" t="s">
        <v>15</v>
      </c>
      <c r="D358" t="s">
        <v>16</v>
      </c>
      <c r="E358" t="s">
        <v>18</v>
      </c>
      <c r="F358">
        <v>994</v>
      </c>
      <c r="G358">
        <v>1</v>
      </c>
      <c r="H358" s="3">
        <v>45209</v>
      </c>
      <c r="I358" t="s">
        <v>82</v>
      </c>
      <c r="J358">
        <v>10</v>
      </c>
      <c r="K358">
        <v>2023</v>
      </c>
      <c r="L358" t="s">
        <v>71</v>
      </c>
      <c r="M358" t="str">
        <f t="shared" si="15"/>
        <v>Tuesday</v>
      </c>
      <c r="N358" t="str">
        <f t="shared" si="16"/>
        <v>Weekday</v>
      </c>
      <c r="O358" t="str">
        <f t="shared" si="17"/>
        <v>Q4</v>
      </c>
    </row>
    <row r="359" spans="1:15">
      <c r="A359">
        <v>34</v>
      </c>
      <c r="B359" t="s">
        <v>12</v>
      </c>
      <c r="C359" t="s">
        <v>15</v>
      </c>
      <c r="D359" t="s">
        <v>16</v>
      </c>
      <c r="E359" t="s">
        <v>22</v>
      </c>
      <c r="F359">
        <v>932</v>
      </c>
      <c r="G359">
        <v>5</v>
      </c>
      <c r="H359" s="3">
        <v>45250</v>
      </c>
      <c r="I359" t="s">
        <v>81</v>
      </c>
      <c r="J359">
        <v>11</v>
      </c>
      <c r="K359">
        <v>2023</v>
      </c>
      <c r="L359" t="s">
        <v>73</v>
      </c>
      <c r="M359" t="str">
        <f t="shared" si="15"/>
        <v>Monday</v>
      </c>
      <c r="N359" t="str">
        <f t="shared" si="16"/>
        <v>Weekday</v>
      </c>
      <c r="O359" t="str">
        <f t="shared" si="17"/>
        <v>Q4</v>
      </c>
    </row>
    <row r="360" spans="1:15">
      <c r="A360">
        <v>23</v>
      </c>
      <c r="B360" t="s">
        <v>8</v>
      </c>
      <c r="C360" t="s">
        <v>23</v>
      </c>
      <c r="D360" t="s">
        <v>17</v>
      </c>
      <c r="E360" t="s">
        <v>18</v>
      </c>
      <c r="F360">
        <v>1257</v>
      </c>
      <c r="G360">
        <v>16</v>
      </c>
      <c r="H360" s="3">
        <v>45083</v>
      </c>
      <c r="I360" t="s">
        <v>81</v>
      </c>
      <c r="J360">
        <v>6</v>
      </c>
      <c r="K360">
        <v>2023</v>
      </c>
      <c r="L360" t="s">
        <v>61</v>
      </c>
      <c r="M360" t="str">
        <f t="shared" si="15"/>
        <v>Tuesday</v>
      </c>
      <c r="N360" t="str">
        <f t="shared" si="16"/>
        <v>Weekday</v>
      </c>
      <c r="O360" t="str">
        <f t="shared" si="17"/>
        <v>Q2</v>
      </c>
    </row>
    <row r="361" spans="1:15">
      <c r="A361">
        <v>21</v>
      </c>
      <c r="B361" t="s">
        <v>12</v>
      </c>
      <c r="C361" t="s">
        <v>19</v>
      </c>
      <c r="D361" t="s">
        <v>14</v>
      </c>
      <c r="E361" t="s">
        <v>11</v>
      </c>
      <c r="F361">
        <v>1668</v>
      </c>
      <c r="G361">
        <v>6</v>
      </c>
      <c r="H361" s="3">
        <v>45520</v>
      </c>
      <c r="I361" t="s">
        <v>81</v>
      </c>
      <c r="J361">
        <v>8</v>
      </c>
      <c r="K361">
        <v>2024</v>
      </c>
      <c r="L361" t="s">
        <v>66</v>
      </c>
      <c r="M361" t="str">
        <f t="shared" si="15"/>
        <v>Friday</v>
      </c>
      <c r="N361" t="str">
        <f t="shared" si="16"/>
        <v>Weekend</v>
      </c>
      <c r="O361" t="str">
        <f t="shared" si="17"/>
        <v>Q3</v>
      </c>
    </row>
    <row r="362" spans="1:15">
      <c r="A362">
        <v>67</v>
      </c>
      <c r="B362" t="s">
        <v>12</v>
      </c>
      <c r="C362" t="s">
        <v>15</v>
      </c>
      <c r="D362" t="s">
        <v>16</v>
      </c>
      <c r="E362" t="s">
        <v>18</v>
      </c>
      <c r="F362">
        <v>720</v>
      </c>
      <c r="G362">
        <v>8</v>
      </c>
      <c r="H362" s="3">
        <v>45528</v>
      </c>
      <c r="I362" t="s">
        <v>79</v>
      </c>
      <c r="J362">
        <v>8</v>
      </c>
      <c r="K362">
        <v>2024</v>
      </c>
      <c r="L362" t="s">
        <v>66</v>
      </c>
      <c r="M362" t="str">
        <f t="shared" si="15"/>
        <v>Saturday</v>
      </c>
      <c r="N362" t="str">
        <f t="shared" si="16"/>
        <v>Weekend</v>
      </c>
      <c r="O362" t="str">
        <f t="shared" si="17"/>
        <v>Q3</v>
      </c>
    </row>
    <row r="363" spans="1:15">
      <c r="A363">
        <v>23</v>
      </c>
      <c r="B363" t="s">
        <v>8</v>
      </c>
      <c r="C363" t="s">
        <v>21</v>
      </c>
      <c r="D363" t="s">
        <v>10</v>
      </c>
      <c r="E363" t="s">
        <v>11</v>
      </c>
      <c r="F363">
        <v>952</v>
      </c>
      <c r="G363">
        <v>13</v>
      </c>
      <c r="H363" s="3">
        <v>45257</v>
      </c>
      <c r="I363" t="s">
        <v>81</v>
      </c>
      <c r="J363">
        <v>11</v>
      </c>
      <c r="K363">
        <v>2023</v>
      </c>
      <c r="L363" t="s">
        <v>73</v>
      </c>
      <c r="M363" t="str">
        <f t="shared" si="15"/>
        <v>Monday</v>
      </c>
      <c r="N363" t="str">
        <f t="shared" si="16"/>
        <v>Weekday</v>
      </c>
      <c r="O363" t="str">
        <f t="shared" si="17"/>
        <v>Q4</v>
      </c>
    </row>
    <row r="364" spans="1:15">
      <c r="A364">
        <v>62</v>
      </c>
      <c r="B364" t="s">
        <v>12</v>
      </c>
      <c r="C364" t="s">
        <v>25</v>
      </c>
      <c r="D364" t="s">
        <v>24</v>
      </c>
      <c r="E364" t="s">
        <v>22</v>
      </c>
      <c r="F364">
        <v>1174</v>
      </c>
      <c r="G364">
        <v>16</v>
      </c>
      <c r="H364" s="3">
        <v>45538</v>
      </c>
      <c r="I364" t="s">
        <v>79</v>
      </c>
      <c r="J364">
        <v>9</v>
      </c>
      <c r="K364">
        <v>2024</v>
      </c>
      <c r="L364" t="s">
        <v>68</v>
      </c>
      <c r="M364" t="str">
        <f t="shared" si="15"/>
        <v>Tuesday</v>
      </c>
      <c r="N364" t="str">
        <f t="shared" si="16"/>
        <v>Weekday</v>
      </c>
      <c r="O364" t="str">
        <f t="shared" si="17"/>
        <v>Q3</v>
      </c>
    </row>
    <row r="365" spans="1:15">
      <c r="A365">
        <v>59</v>
      </c>
      <c r="B365" t="s">
        <v>8</v>
      </c>
      <c r="C365" t="s">
        <v>15</v>
      </c>
      <c r="D365" t="s">
        <v>20</v>
      </c>
      <c r="E365" t="s">
        <v>11</v>
      </c>
      <c r="F365">
        <v>680</v>
      </c>
      <c r="G365">
        <v>3</v>
      </c>
      <c r="H365" s="3">
        <v>45514</v>
      </c>
      <c r="I365" t="s">
        <v>79</v>
      </c>
      <c r="J365">
        <v>8</v>
      </c>
      <c r="K365">
        <v>2024</v>
      </c>
      <c r="L365" t="s">
        <v>66</v>
      </c>
      <c r="M365" t="str">
        <f t="shared" si="15"/>
        <v>Saturday</v>
      </c>
      <c r="N365" t="str">
        <f t="shared" si="16"/>
        <v>Weekend</v>
      </c>
      <c r="O365" t="str">
        <f t="shared" si="17"/>
        <v>Q3</v>
      </c>
    </row>
    <row r="366" spans="1:15">
      <c r="A366">
        <v>66</v>
      </c>
      <c r="B366" t="s">
        <v>8</v>
      </c>
      <c r="C366" t="s">
        <v>19</v>
      </c>
      <c r="D366" t="s">
        <v>20</v>
      </c>
      <c r="E366" t="s">
        <v>11</v>
      </c>
      <c r="F366">
        <v>613</v>
      </c>
      <c r="G366">
        <v>19</v>
      </c>
      <c r="H366" s="3">
        <v>45241</v>
      </c>
      <c r="I366" t="s">
        <v>79</v>
      </c>
      <c r="J366">
        <v>11</v>
      </c>
      <c r="K366">
        <v>2023</v>
      </c>
      <c r="L366" t="s">
        <v>73</v>
      </c>
      <c r="M366" t="str">
        <f t="shared" si="15"/>
        <v>Saturday</v>
      </c>
      <c r="N366" t="str">
        <f t="shared" si="16"/>
        <v>Weekend</v>
      </c>
      <c r="O366" t="str">
        <f t="shared" si="17"/>
        <v>Q4</v>
      </c>
    </row>
    <row r="367" spans="1:15">
      <c r="A367">
        <v>27</v>
      </c>
      <c r="B367" t="s">
        <v>8</v>
      </c>
      <c r="C367" t="s">
        <v>25</v>
      </c>
      <c r="D367" t="s">
        <v>20</v>
      </c>
      <c r="E367" t="s">
        <v>18</v>
      </c>
      <c r="F367">
        <v>430</v>
      </c>
      <c r="G367">
        <v>12</v>
      </c>
      <c r="H367" s="3">
        <v>44968</v>
      </c>
      <c r="I367" t="s">
        <v>81</v>
      </c>
      <c r="J367">
        <v>2</v>
      </c>
      <c r="K367">
        <v>2023</v>
      </c>
      <c r="L367" t="s">
        <v>52</v>
      </c>
      <c r="M367" t="str">
        <f t="shared" si="15"/>
        <v>Saturday</v>
      </c>
      <c r="N367" t="str">
        <f t="shared" si="16"/>
        <v>Weekend</v>
      </c>
      <c r="O367" t="str">
        <f t="shared" si="17"/>
        <v>Q1</v>
      </c>
    </row>
    <row r="368" spans="1:15">
      <c r="A368">
        <v>13</v>
      </c>
      <c r="B368" t="s">
        <v>12</v>
      </c>
      <c r="C368" t="s">
        <v>9</v>
      </c>
      <c r="D368" t="s">
        <v>14</v>
      </c>
      <c r="E368" t="s">
        <v>11</v>
      </c>
      <c r="F368">
        <v>1582</v>
      </c>
      <c r="G368">
        <v>16</v>
      </c>
      <c r="H368" s="3">
        <v>45643</v>
      </c>
      <c r="I368" t="s">
        <v>82</v>
      </c>
      <c r="J368">
        <v>12</v>
      </c>
      <c r="K368">
        <v>2024</v>
      </c>
      <c r="L368" t="s">
        <v>75</v>
      </c>
      <c r="M368" t="str">
        <f t="shared" si="15"/>
        <v>Tuesday</v>
      </c>
      <c r="N368" t="str">
        <f t="shared" si="16"/>
        <v>Weekday</v>
      </c>
      <c r="O368" t="str">
        <f t="shared" si="17"/>
        <v>Q4</v>
      </c>
    </row>
    <row r="369" spans="1:15">
      <c r="A369">
        <v>16</v>
      </c>
      <c r="B369" t="s">
        <v>12</v>
      </c>
      <c r="C369" t="s">
        <v>15</v>
      </c>
      <c r="D369" t="s">
        <v>17</v>
      </c>
      <c r="E369" t="s">
        <v>22</v>
      </c>
      <c r="F369">
        <v>1122</v>
      </c>
      <c r="G369">
        <v>11</v>
      </c>
      <c r="H369" s="3">
        <v>45569</v>
      </c>
      <c r="I369" t="s">
        <v>82</v>
      </c>
      <c r="J369">
        <v>10</v>
      </c>
      <c r="K369">
        <v>2024</v>
      </c>
      <c r="L369" t="s">
        <v>71</v>
      </c>
      <c r="M369" t="str">
        <f t="shared" si="15"/>
        <v>Friday</v>
      </c>
      <c r="N369" t="str">
        <f t="shared" si="16"/>
        <v>Weekend</v>
      </c>
      <c r="O369" t="str">
        <f t="shared" si="17"/>
        <v>Q4</v>
      </c>
    </row>
    <row r="370" spans="1:15">
      <c r="A370">
        <v>5</v>
      </c>
      <c r="B370" t="s">
        <v>12</v>
      </c>
      <c r="C370" t="s">
        <v>15</v>
      </c>
      <c r="D370" t="s">
        <v>16</v>
      </c>
      <c r="E370" t="s">
        <v>22</v>
      </c>
      <c r="F370">
        <v>731</v>
      </c>
      <c r="G370">
        <v>10</v>
      </c>
      <c r="H370" s="3">
        <v>45264</v>
      </c>
      <c r="I370" t="s">
        <v>82</v>
      </c>
      <c r="J370">
        <v>12</v>
      </c>
      <c r="K370">
        <v>2023</v>
      </c>
      <c r="L370" t="s">
        <v>75</v>
      </c>
      <c r="M370" t="str">
        <f t="shared" si="15"/>
        <v>Monday</v>
      </c>
      <c r="N370" t="str">
        <f t="shared" si="16"/>
        <v>Weekday</v>
      </c>
      <c r="O370" t="str">
        <f t="shared" si="17"/>
        <v>Q4</v>
      </c>
    </row>
    <row r="371" spans="1:15">
      <c r="A371">
        <v>62</v>
      </c>
      <c r="B371" t="s">
        <v>8</v>
      </c>
      <c r="C371" t="s">
        <v>15</v>
      </c>
      <c r="D371" t="s">
        <v>24</v>
      </c>
      <c r="E371" t="s">
        <v>11</v>
      </c>
      <c r="F371">
        <v>973</v>
      </c>
      <c r="G371">
        <v>20</v>
      </c>
      <c r="H371" s="3">
        <v>45247</v>
      </c>
      <c r="I371" t="s">
        <v>79</v>
      </c>
      <c r="J371">
        <v>11</v>
      </c>
      <c r="K371">
        <v>2023</v>
      </c>
      <c r="L371" t="s">
        <v>73</v>
      </c>
      <c r="M371" t="str">
        <f t="shared" si="15"/>
        <v>Friday</v>
      </c>
      <c r="N371" t="str">
        <f t="shared" si="16"/>
        <v>Weekend</v>
      </c>
      <c r="O371" t="str">
        <f t="shared" si="17"/>
        <v>Q4</v>
      </c>
    </row>
    <row r="372" spans="1:15">
      <c r="A372">
        <v>5</v>
      </c>
      <c r="B372" t="s">
        <v>12</v>
      </c>
      <c r="C372" t="s">
        <v>25</v>
      </c>
      <c r="D372" t="s">
        <v>10</v>
      </c>
      <c r="E372" t="s">
        <v>11</v>
      </c>
      <c r="F372">
        <v>909</v>
      </c>
      <c r="G372">
        <v>4</v>
      </c>
      <c r="H372" s="3">
        <v>44935</v>
      </c>
      <c r="I372" t="s">
        <v>82</v>
      </c>
      <c r="J372">
        <v>1</v>
      </c>
      <c r="K372">
        <v>2023</v>
      </c>
      <c r="L372" t="s">
        <v>46</v>
      </c>
      <c r="M372" t="str">
        <f t="shared" si="15"/>
        <v>Monday</v>
      </c>
      <c r="N372" t="str">
        <f t="shared" si="16"/>
        <v>Weekday</v>
      </c>
      <c r="O372" t="str">
        <f t="shared" si="17"/>
        <v>Q1</v>
      </c>
    </row>
    <row r="373" spans="1:15">
      <c r="A373">
        <v>38</v>
      </c>
      <c r="B373" t="s">
        <v>12</v>
      </c>
      <c r="C373" t="s">
        <v>21</v>
      </c>
      <c r="D373" t="s">
        <v>24</v>
      </c>
      <c r="E373" t="s">
        <v>11</v>
      </c>
      <c r="F373">
        <v>953</v>
      </c>
      <c r="G373">
        <v>12</v>
      </c>
      <c r="H373" s="3">
        <v>45218</v>
      </c>
      <c r="I373" t="s">
        <v>80</v>
      </c>
      <c r="J373">
        <v>10</v>
      </c>
      <c r="K373">
        <v>2023</v>
      </c>
      <c r="L373" t="s">
        <v>71</v>
      </c>
      <c r="M373" t="str">
        <f t="shared" si="15"/>
        <v>Thursday</v>
      </c>
      <c r="N373" t="str">
        <f t="shared" si="16"/>
        <v>Weekday</v>
      </c>
      <c r="O373" t="str">
        <f t="shared" si="17"/>
        <v>Q4</v>
      </c>
    </row>
    <row r="374" spans="1:15">
      <c r="A374">
        <v>52</v>
      </c>
      <c r="B374" t="s">
        <v>8</v>
      </c>
      <c r="C374" t="s">
        <v>15</v>
      </c>
      <c r="D374" t="s">
        <v>10</v>
      </c>
      <c r="E374" t="s">
        <v>11</v>
      </c>
      <c r="F374">
        <v>951</v>
      </c>
      <c r="G374">
        <v>2</v>
      </c>
      <c r="H374" s="3">
        <v>44962</v>
      </c>
      <c r="I374" t="s">
        <v>80</v>
      </c>
      <c r="J374">
        <v>2</v>
      </c>
      <c r="K374">
        <v>2023</v>
      </c>
      <c r="L374" t="s">
        <v>52</v>
      </c>
      <c r="M374" t="str">
        <f t="shared" si="15"/>
        <v>Sunday</v>
      </c>
      <c r="N374" t="str">
        <f t="shared" si="16"/>
        <v>Weekday</v>
      </c>
      <c r="O374" t="str">
        <f t="shared" si="17"/>
        <v>Q1</v>
      </c>
    </row>
    <row r="375" spans="1:15">
      <c r="A375">
        <v>5</v>
      </c>
      <c r="B375" t="s">
        <v>12</v>
      </c>
      <c r="C375" t="s">
        <v>15</v>
      </c>
      <c r="D375" t="s">
        <v>14</v>
      </c>
      <c r="E375" t="s">
        <v>11</v>
      </c>
      <c r="F375">
        <v>1547</v>
      </c>
      <c r="G375">
        <v>19</v>
      </c>
      <c r="H375" s="3">
        <v>45344</v>
      </c>
      <c r="I375" t="s">
        <v>82</v>
      </c>
      <c r="J375">
        <v>2</v>
      </c>
      <c r="K375">
        <v>2024</v>
      </c>
      <c r="L375" t="s">
        <v>52</v>
      </c>
      <c r="M375" t="str">
        <f t="shared" si="15"/>
        <v>Thursday</v>
      </c>
      <c r="N375" t="str">
        <f t="shared" si="16"/>
        <v>Weekday</v>
      </c>
      <c r="O375" t="str">
        <f t="shared" si="17"/>
        <v>Q1</v>
      </c>
    </row>
    <row r="376" spans="1:15">
      <c r="A376">
        <v>20</v>
      </c>
      <c r="B376" t="s">
        <v>12</v>
      </c>
      <c r="C376" t="s">
        <v>15</v>
      </c>
      <c r="D376" t="s">
        <v>20</v>
      </c>
      <c r="E376" t="s">
        <v>18</v>
      </c>
      <c r="F376">
        <v>559</v>
      </c>
      <c r="G376">
        <v>5</v>
      </c>
      <c r="H376" s="3">
        <v>45650</v>
      </c>
      <c r="I376" t="s">
        <v>81</v>
      </c>
      <c r="J376">
        <v>12</v>
      </c>
      <c r="K376">
        <v>2024</v>
      </c>
      <c r="L376" t="s">
        <v>75</v>
      </c>
      <c r="M376" t="str">
        <f t="shared" si="15"/>
        <v>Tuesday</v>
      </c>
      <c r="N376" t="str">
        <f t="shared" si="16"/>
        <v>Weekday</v>
      </c>
      <c r="O376" t="str">
        <f t="shared" si="17"/>
        <v>Q4</v>
      </c>
    </row>
    <row r="377" spans="1:15">
      <c r="A377">
        <v>65</v>
      </c>
      <c r="B377" t="s">
        <v>12</v>
      </c>
      <c r="C377" t="s">
        <v>15</v>
      </c>
      <c r="D377" t="s">
        <v>14</v>
      </c>
      <c r="E377" t="s">
        <v>11</v>
      </c>
      <c r="F377">
        <v>1413</v>
      </c>
      <c r="G377">
        <v>8</v>
      </c>
      <c r="H377" s="3">
        <v>45357</v>
      </c>
      <c r="I377" t="s">
        <v>79</v>
      </c>
      <c r="J377">
        <v>3</v>
      </c>
      <c r="K377">
        <v>2024</v>
      </c>
      <c r="L377" t="s">
        <v>54</v>
      </c>
      <c r="M377" t="str">
        <f t="shared" si="15"/>
        <v>Wednesday</v>
      </c>
      <c r="N377" t="str">
        <f t="shared" si="16"/>
        <v>Weekday</v>
      </c>
      <c r="O377" t="str">
        <f t="shared" si="17"/>
        <v>Q1</v>
      </c>
    </row>
    <row r="378" spans="1:15">
      <c r="A378">
        <v>68</v>
      </c>
      <c r="B378" t="s">
        <v>8</v>
      </c>
      <c r="C378" t="s">
        <v>25</v>
      </c>
      <c r="D378" t="s">
        <v>17</v>
      </c>
      <c r="E378" t="s">
        <v>11</v>
      </c>
      <c r="F378">
        <v>1277</v>
      </c>
      <c r="G378">
        <v>7</v>
      </c>
      <c r="H378" s="3">
        <v>45568</v>
      </c>
      <c r="I378" t="s">
        <v>79</v>
      </c>
      <c r="J378">
        <v>10</v>
      </c>
      <c r="K378">
        <v>2024</v>
      </c>
      <c r="L378" t="s">
        <v>71</v>
      </c>
      <c r="M378" t="str">
        <f t="shared" si="15"/>
        <v>Thursday</v>
      </c>
      <c r="N378" t="str">
        <f t="shared" si="16"/>
        <v>Weekday</v>
      </c>
      <c r="O378" t="str">
        <f t="shared" si="17"/>
        <v>Q4</v>
      </c>
    </row>
    <row r="379" spans="1:15">
      <c r="A379">
        <v>67</v>
      </c>
      <c r="B379" t="s">
        <v>12</v>
      </c>
      <c r="C379" t="s">
        <v>15</v>
      </c>
      <c r="D379" t="s">
        <v>17</v>
      </c>
      <c r="E379" t="s">
        <v>22</v>
      </c>
      <c r="F379">
        <v>1152</v>
      </c>
      <c r="G379">
        <v>14</v>
      </c>
      <c r="H379" s="3">
        <v>45129</v>
      </c>
      <c r="I379" t="s">
        <v>79</v>
      </c>
      <c r="J379">
        <v>7</v>
      </c>
      <c r="K379">
        <v>2023</v>
      </c>
      <c r="L379" t="s">
        <v>64</v>
      </c>
      <c r="M379" t="str">
        <f t="shared" si="15"/>
        <v>Saturday</v>
      </c>
      <c r="N379" t="str">
        <f t="shared" si="16"/>
        <v>Weekend</v>
      </c>
      <c r="O379" t="str">
        <f t="shared" si="17"/>
        <v>Q3</v>
      </c>
    </row>
    <row r="380" spans="1:15">
      <c r="A380">
        <v>73</v>
      </c>
      <c r="B380" t="s">
        <v>8</v>
      </c>
      <c r="C380" t="s">
        <v>15</v>
      </c>
      <c r="D380" t="s">
        <v>10</v>
      </c>
      <c r="E380" t="s">
        <v>11</v>
      </c>
      <c r="F380">
        <v>921</v>
      </c>
      <c r="G380">
        <v>3</v>
      </c>
      <c r="H380" s="3">
        <v>44958</v>
      </c>
      <c r="I380" t="s">
        <v>79</v>
      </c>
      <c r="J380">
        <v>2</v>
      </c>
      <c r="K380">
        <v>2023</v>
      </c>
      <c r="L380" t="s">
        <v>52</v>
      </c>
      <c r="M380" t="str">
        <f t="shared" si="15"/>
        <v>Wednesday</v>
      </c>
      <c r="N380" t="str">
        <f t="shared" si="16"/>
        <v>Weekday</v>
      </c>
      <c r="O380" t="str">
        <f t="shared" si="17"/>
        <v>Q1</v>
      </c>
    </row>
    <row r="381" spans="1:15">
      <c r="A381">
        <v>26</v>
      </c>
      <c r="B381" t="s">
        <v>8</v>
      </c>
      <c r="C381" t="s">
        <v>15</v>
      </c>
      <c r="D381" t="s">
        <v>16</v>
      </c>
      <c r="E381" t="s">
        <v>11</v>
      </c>
      <c r="F381">
        <v>729</v>
      </c>
      <c r="G381">
        <v>18</v>
      </c>
      <c r="H381" s="3">
        <v>44946</v>
      </c>
      <c r="I381" t="s">
        <v>81</v>
      </c>
      <c r="J381">
        <v>1</v>
      </c>
      <c r="K381">
        <v>2023</v>
      </c>
      <c r="L381" t="s">
        <v>46</v>
      </c>
      <c r="M381" t="str">
        <f t="shared" si="15"/>
        <v>Friday</v>
      </c>
      <c r="N381" t="str">
        <f t="shared" si="16"/>
        <v>Weekend</v>
      </c>
      <c r="O381" t="str">
        <f t="shared" si="17"/>
        <v>Q1</v>
      </c>
    </row>
    <row r="382" spans="1:15">
      <c r="A382">
        <v>71</v>
      </c>
      <c r="B382" t="s">
        <v>12</v>
      </c>
      <c r="C382" t="s">
        <v>19</v>
      </c>
      <c r="D382" t="s">
        <v>16</v>
      </c>
      <c r="E382" t="s">
        <v>22</v>
      </c>
      <c r="F382">
        <v>890</v>
      </c>
      <c r="G382">
        <v>16</v>
      </c>
      <c r="H382" s="3">
        <v>45465</v>
      </c>
      <c r="I382" t="s">
        <v>79</v>
      </c>
      <c r="J382">
        <v>6</v>
      </c>
      <c r="K382">
        <v>2024</v>
      </c>
      <c r="L382" t="s">
        <v>61</v>
      </c>
      <c r="M382" t="str">
        <f t="shared" si="15"/>
        <v>Saturday</v>
      </c>
      <c r="N382" t="str">
        <f t="shared" si="16"/>
        <v>Weekend</v>
      </c>
      <c r="O382" t="str">
        <f t="shared" si="17"/>
        <v>Q2</v>
      </c>
    </row>
    <row r="383" spans="1:15">
      <c r="A383">
        <v>30</v>
      </c>
      <c r="B383" t="s">
        <v>8</v>
      </c>
      <c r="C383" t="s">
        <v>9</v>
      </c>
      <c r="D383" t="s">
        <v>10</v>
      </c>
      <c r="E383" t="s">
        <v>11</v>
      </c>
      <c r="F383">
        <v>1159</v>
      </c>
      <c r="G383">
        <v>19</v>
      </c>
      <c r="H383" s="3">
        <v>45551</v>
      </c>
      <c r="I383" t="s">
        <v>81</v>
      </c>
      <c r="J383">
        <v>9</v>
      </c>
      <c r="K383">
        <v>2024</v>
      </c>
      <c r="L383" t="s">
        <v>68</v>
      </c>
      <c r="M383" t="str">
        <f t="shared" si="15"/>
        <v>Monday</v>
      </c>
      <c r="N383" t="str">
        <f t="shared" si="16"/>
        <v>Weekday</v>
      </c>
      <c r="O383" t="str">
        <f t="shared" si="17"/>
        <v>Q3</v>
      </c>
    </row>
    <row r="384" spans="1:15">
      <c r="A384">
        <v>20</v>
      </c>
      <c r="B384" t="s">
        <v>12</v>
      </c>
      <c r="C384" t="s">
        <v>23</v>
      </c>
      <c r="D384" t="s">
        <v>17</v>
      </c>
      <c r="E384" t="s">
        <v>18</v>
      </c>
      <c r="F384">
        <v>1304</v>
      </c>
      <c r="G384">
        <v>19</v>
      </c>
      <c r="H384" s="3">
        <v>45374</v>
      </c>
      <c r="I384" t="s">
        <v>81</v>
      </c>
      <c r="J384">
        <v>3</v>
      </c>
      <c r="K384">
        <v>2024</v>
      </c>
      <c r="L384" t="s">
        <v>54</v>
      </c>
      <c r="M384" t="str">
        <f t="shared" si="15"/>
        <v>Saturday</v>
      </c>
      <c r="N384" t="str">
        <f t="shared" si="16"/>
        <v>Weekend</v>
      </c>
      <c r="O384" t="str">
        <f t="shared" si="17"/>
        <v>Q1</v>
      </c>
    </row>
    <row r="385" spans="1:15">
      <c r="A385">
        <v>55</v>
      </c>
      <c r="B385" t="s">
        <v>12</v>
      </c>
      <c r="C385" t="s">
        <v>15</v>
      </c>
      <c r="D385" t="s">
        <v>17</v>
      </c>
      <c r="E385" t="s">
        <v>22</v>
      </c>
      <c r="F385">
        <v>1158</v>
      </c>
      <c r="G385">
        <v>18</v>
      </c>
      <c r="H385" s="3">
        <v>45088</v>
      </c>
      <c r="I385" t="s">
        <v>80</v>
      </c>
      <c r="J385">
        <v>6</v>
      </c>
      <c r="K385">
        <v>2023</v>
      </c>
      <c r="L385" t="s">
        <v>61</v>
      </c>
      <c r="M385" t="str">
        <f t="shared" si="15"/>
        <v>Sunday</v>
      </c>
      <c r="N385" t="str">
        <f t="shared" si="16"/>
        <v>Weekday</v>
      </c>
      <c r="O385" t="str">
        <f t="shared" si="17"/>
        <v>Q2</v>
      </c>
    </row>
    <row r="386" spans="1:15">
      <c r="A386">
        <v>61</v>
      </c>
      <c r="B386" t="s">
        <v>8</v>
      </c>
      <c r="C386" t="s">
        <v>25</v>
      </c>
      <c r="D386" t="s">
        <v>17</v>
      </c>
      <c r="E386" t="s">
        <v>22</v>
      </c>
      <c r="F386">
        <v>1363</v>
      </c>
      <c r="G386">
        <v>20</v>
      </c>
      <c r="H386" s="3">
        <v>45364</v>
      </c>
      <c r="I386" t="s">
        <v>79</v>
      </c>
      <c r="J386">
        <v>3</v>
      </c>
      <c r="K386">
        <v>2024</v>
      </c>
      <c r="L386" t="s">
        <v>54</v>
      </c>
      <c r="M386" t="str">
        <f t="shared" ref="M386:M449" si="18">TEXT(H386,"dddd")</f>
        <v>Wednesday</v>
      </c>
      <c r="N386" t="str">
        <f t="shared" ref="N386:N449" si="19">IF(WEEKDAY(H386,1)&gt;5,"Weekend","Weekday")</f>
        <v>Weekday</v>
      </c>
      <c r="O386" t="str">
        <f t="shared" ref="O386:O449" si="20">"Q"&amp;CEILING(MONTH(H386)/3,1)</f>
        <v>Q1</v>
      </c>
    </row>
    <row r="387" spans="1:15">
      <c r="A387">
        <v>33</v>
      </c>
      <c r="B387" t="s">
        <v>8</v>
      </c>
      <c r="C387" t="s">
        <v>19</v>
      </c>
      <c r="D387" t="s">
        <v>14</v>
      </c>
      <c r="E387" t="s">
        <v>11</v>
      </c>
      <c r="F387">
        <v>1411</v>
      </c>
      <c r="G387">
        <v>16</v>
      </c>
      <c r="H387" s="3">
        <v>44953</v>
      </c>
      <c r="I387" t="s">
        <v>81</v>
      </c>
      <c r="J387">
        <v>1</v>
      </c>
      <c r="K387">
        <v>2023</v>
      </c>
      <c r="L387" t="s">
        <v>46</v>
      </c>
      <c r="M387" t="str">
        <f t="shared" si="18"/>
        <v>Friday</v>
      </c>
      <c r="N387" t="str">
        <f t="shared" si="19"/>
        <v>Weekend</v>
      </c>
      <c r="O387" t="str">
        <f t="shared" si="20"/>
        <v>Q1</v>
      </c>
    </row>
    <row r="388" spans="1:15">
      <c r="A388">
        <v>73</v>
      </c>
      <c r="B388" t="s">
        <v>8</v>
      </c>
      <c r="C388" t="s">
        <v>15</v>
      </c>
      <c r="D388" t="s">
        <v>17</v>
      </c>
      <c r="E388" t="s">
        <v>11</v>
      </c>
      <c r="F388">
        <v>1218</v>
      </c>
      <c r="G388">
        <v>8</v>
      </c>
      <c r="H388" s="3">
        <v>45270</v>
      </c>
      <c r="I388" t="s">
        <v>79</v>
      </c>
      <c r="J388">
        <v>12</v>
      </c>
      <c r="K388">
        <v>2023</v>
      </c>
      <c r="L388" t="s">
        <v>75</v>
      </c>
      <c r="M388" t="str">
        <f t="shared" si="18"/>
        <v>Sunday</v>
      </c>
      <c r="N388" t="str">
        <f t="shared" si="19"/>
        <v>Weekday</v>
      </c>
      <c r="O388" t="str">
        <f t="shared" si="20"/>
        <v>Q4</v>
      </c>
    </row>
    <row r="389" spans="1:15">
      <c r="A389">
        <v>51</v>
      </c>
      <c r="B389" t="s">
        <v>12</v>
      </c>
      <c r="C389" t="s">
        <v>9</v>
      </c>
      <c r="D389" t="s">
        <v>24</v>
      </c>
      <c r="E389" t="s">
        <v>11</v>
      </c>
      <c r="F389">
        <v>1189</v>
      </c>
      <c r="G389">
        <v>1</v>
      </c>
      <c r="H389" s="3">
        <v>45049</v>
      </c>
      <c r="I389" t="s">
        <v>80</v>
      </c>
      <c r="J389">
        <v>5</v>
      </c>
      <c r="K389">
        <v>2023</v>
      </c>
      <c r="L389" t="s">
        <v>59</v>
      </c>
      <c r="M389" t="str">
        <f t="shared" si="18"/>
        <v>Wednesday</v>
      </c>
      <c r="N389" t="str">
        <f t="shared" si="19"/>
        <v>Weekday</v>
      </c>
      <c r="O389" t="str">
        <f t="shared" si="20"/>
        <v>Q2</v>
      </c>
    </row>
    <row r="390" spans="1:15">
      <c r="A390">
        <v>66</v>
      </c>
      <c r="B390" t="s">
        <v>12</v>
      </c>
      <c r="C390" t="s">
        <v>13</v>
      </c>
      <c r="D390" t="s">
        <v>20</v>
      </c>
      <c r="E390" t="s">
        <v>18</v>
      </c>
      <c r="F390">
        <v>647</v>
      </c>
      <c r="G390">
        <v>17</v>
      </c>
      <c r="H390" s="3">
        <v>45208</v>
      </c>
      <c r="I390" t="s">
        <v>79</v>
      </c>
      <c r="J390">
        <v>10</v>
      </c>
      <c r="K390">
        <v>2023</v>
      </c>
      <c r="L390" t="s">
        <v>71</v>
      </c>
      <c r="M390" t="str">
        <f t="shared" si="18"/>
        <v>Monday</v>
      </c>
      <c r="N390" t="str">
        <f t="shared" si="19"/>
        <v>Weekday</v>
      </c>
      <c r="O390" t="str">
        <f t="shared" si="20"/>
        <v>Q4</v>
      </c>
    </row>
    <row r="391" spans="1:15">
      <c r="A391">
        <v>73</v>
      </c>
      <c r="B391" t="s">
        <v>12</v>
      </c>
      <c r="C391" t="s">
        <v>21</v>
      </c>
      <c r="D391" t="s">
        <v>17</v>
      </c>
      <c r="E391" t="s">
        <v>18</v>
      </c>
      <c r="F391">
        <v>1226</v>
      </c>
      <c r="G391">
        <v>12</v>
      </c>
      <c r="H391" s="3">
        <v>45242</v>
      </c>
      <c r="I391" t="s">
        <v>79</v>
      </c>
      <c r="J391">
        <v>11</v>
      </c>
      <c r="K391">
        <v>2023</v>
      </c>
      <c r="L391" t="s">
        <v>73</v>
      </c>
      <c r="M391" t="str">
        <f t="shared" si="18"/>
        <v>Sunday</v>
      </c>
      <c r="N391" t="str">
        <f t="shared" si="19"/>
        <v>Weekday</v>
      </c>
      <c r="O391" t="str">
        <f t="shared" si="20"/>
        <v>Q4</v>
      </c>
    </row>
    <row r="392" spans="1:15">
      <c r="A392">
        <v>20</v>
      </c>
      <c r="B392" t="s">
        <v>12</v>
      </c>
      <c r="C392" t="s">
        <v>9</v>
      </c>
      <c r="D392" t="s">
        <v>10</v>
      </c>
      <c r="E392" t="s">
        <v>11</v>
      </c>
      <c r="F392">
        <v>974</v>
      </c>
      <c r="G392">
        <v>11</v>
      </c>
      <c r="H392" s="3">
        <v>45039</v>
      </c>
      <c r="I392" t="s">
        <v>81</v>
      </c>
      <c r="J392">
        <v>4</v>
      </c>
      <c r="K392">
        <v>2023</v>
      </c>
      <c r="L392" t="s">
        <v>57</v>
      </c>
      <c r="M392" t="str">
        <f t="shared" si="18"/>
        <v>Sunday</v>
      </c>
      <c r="N392" t="str">
        <f t="shared" si="19"/>
        <v>Weekday</v>
      </c>
      <c r="O392" t="str">
        <f t="shared" si="20"/>
        <v>Q2</v>
      </c>
    </row>
    <row r="393" spans="1:15">
      <c r="A393">
        <v>52</v>
      </c>
      <c r="B393" t="s">
        <v>12</v>
      </c>
      <c r="C393" t="s">
        <v>9</v>
      </c>
      <c r="D393" t="s">
        <v>20</v>
      </c>
      <c r="E393" t="s">
        <v>11</v>
      </c>
      <c r="F393">
        <v>603</v>
      </c>
      <c r="G393">
        <v>5</v>
      </c>
      <c r="H393" s="3">
        <v>45487</v>
      </c>
      <c r="I393" t="s">
        <v>80</v>
      </c>
      <c r="J393">
        <v>7</v>
      </c>
      <c r="K393">
        <v>2024</v>
      </c>
      <c r="L393" t="s">
        <v>64</v>
      </c>
      <c r="M393" t="str">
        <f t="shared" si="18"/>
        <v>Sunday</v>
      </c>
      <c r="N393" t="str">
        <f t="shared" si="19"/>
        <v>Weekday</v>
      </c>
      <c r="O393" t="str">
        <f t="shared" si="20"/>
        <v>Q3</v>
      </c>
    </row>
    <row r="394" spans="1:15">
      <c r="A394">
        <v>43</v>
      </c>
      <c r="B394" t="s">
        <v>12</v>
      </c>
      <c r="C394" t="s">
        <v>21</v>
      </c>
      <c r="D394" t="s">
        <v>14</v>
      </c>
      <c r="E394" t="s">
        <v>11</v>
      </c>
      <c r="F394">
        <v>1448</v>
      </c>
      <c r="G394">
        <v>12</v>
      </c>
      <c r="H394" s="3">
        <v>45078</v>
      </c>
      <c r="I394" t="s">
        <v>80</v>
      </c>
      <c r="J394">
        <v>6</v>
      </c>
      <c r="K394">
        <v>2023</v>
      </c>
      <c r="L394" t="s">
        <v>61</v>
      </c>
      <c r="M394" t="str">
        <f t="shared" si="18"/>
        <v>Thursday</v>
      </c>
      <c r="N394" t="str">
        <f t="shared" si="19"/>
        <v>Weekday</v>
      </c>
      <c r="O394" t="str">
        <f t="shared" si="20"/>
        <v>Q2</v>
      </c>
    </row>
    <row r="395" spans="1:15">
      <c r="A395">
        <v>37</v>
      </c>
      <c r="B395" t="s">
        <v>12</v>
      </c>
      <c r="C395" t="s">
        <v>19</v>
      </c>
      <c r="D395" t="s">
        <v>10</v>
      </c>
      <c r="E395" t="s">
        <v>11</v>
      </c>
      <c r="F395">
        <v>978</v>
      </c>
      <c r="G395">
        <v>17</v>
      </c>
      <c r="H395" s="3">
        <v>45217</v>
      </c>
      <c r="I395" t="s">
        <v>80</v>
      </c>
      <c r="J395">
        <v>10</v>
      </c>
      <c r="K395">
        <v>2023</v>
      </c>
      <c r="L395" t="s">
        <v>71</v>
      </c>
      <c r="M395" t="str">
        <f t="shared" si="18"/>
        <v>Wednesday</v>
      </c>
      <c r="N395" t="str">
        <f t="shared" si="19"/>
        <v>Weekday</v>
      </c>
      <c r="O395" t="str">
        <f t="shared" si="20"/>
        <v>Q4</v>
      </c>
    </row>
    <row r="396" spans="1:15">
      <c r="A396">
        <v>27</v>
      </c>
      <c r="B396" t="s">
        <v>12</v>
      </c>
      <c r="C396" t="s">
        <v>15</v>
      </c>
      <c r="D396" t="s">
        <v>20</v>
      </c>
      <c r="E396" t="s">
        <v>18</v>
      </c>
      <c r="F396">
        <v>640</v>
      </c>
      <c r="G396">
        <v>6</v>
      </c>
      <c r="H396" s="3">
        <v>45490</v>
      </c>
      <c r="I396" t="s">
        <v>81</v>
      </c>
      <c r="J396">
        <v>7</v>
      </c>
      <c r="K396">
        <v>2024</v>
      </c>
      <c r="L396" t="s">
        <v>64</v>
      </c>
      <c r="M396" t="str">
        <f t="shared" si="18"/>
        <v>Wednesday</v>
      </c>
      <c r="N396" t="str">
        <f t="shared" si="19"/>
        <v>Weekday</v>
      </c>
      <c r="O396" t="str">
        <f t="shared" si="20"/>
        <v>Q3</v>
      </c>
    </row>
    <row r="397" spans="1:15">
      <c r="A397">
        <v>14</v>
      </c>
      <c r="B397" t="s">
        <v>12</v>
      </c>
      <c r="C397" t="s">
        <v>21</v>
      </c>
      <c r="D397" t="s">
        <v>10</v>
      </c>
      <c r="E397" t="s">
        <v>11</v>
      </c>
      <c r="F397">
        <v>1053</v>
      </c>
      <c r="G397">
        <v>1</v>
      </c>
      <c r="H397" s="3">
        <v>45073</v>
      </c>
      <c r="I397" t="s">
        <v>82</v>
      </c>
      <c r="J397">
        <v>5</v>
      </c>
      <c r="K397">
        <v>2023</v>
      </c>
      <c r="L397" t="s">
        <v>59</v>
      </c>
      <c r="M397" t="str">
        <f t="shared" si="18"/>
        <v>Saturday</v>
      </c>
      <c r="N397" t="str">
        <f t="shared" si="19"/>
        <v>Weekend</v>
      </c>
      <c r="O397" t="str">
        <f t="shared" si="20"/>
        <v>Q2</v>
      </c>
    </row>
    <row r="398" spans="1:15">
      <c r="A398">
        <v>73</v>
      </c>
      <c r="B398" t="s">
        <v>12</v>
      </c>
      <c r="C398" t="s">
        <v>15</v>
      </c>
      <c r="D398" t="s">
        <v>14</v>
      </c>
      <c r="E398" t="s">
        <v>22</v>
      </c>
      <c r="F398">
        <v>1673</v>
      </c>
      <c r="G398">
        <v>5</v>
      </c>
      <c r="H398" s="3">
        <v>45391</v>
      </c>
      <c r="I398" t="s">
        <v>79</v>
      </c>
      <c r="J398">
        <v>4</v>
      </c>
      <c r="K398">
        <v>2024</v>
      </c>
      <c r="L398" t="s">
        <v>57</v>
      </c>
      <c r="M398" t="str">
        <f t="shared" si="18"/>
        <v>Tuesday</v>
      </c>
      <c r="N398" t="str">
        <f t="shared" si="19"/>
        <v>Weekday</v>
      </c>
      <c r="O398" t="str">
        <f t="shared" si="20"/>
        <v>Q2</v>
      </c>
    </row>
    <row r="399" spans="1:15">
      <c r="A399">
        <v>38</v>
      </c>
      <c r="B399" t="s">
        <v>8</v>
      </c>
      <c r="C399" t="s">
        <v>19</v>
      </c>
      <c r="D399" t="s">
        <v>24</v>
      </c>
      <c r="E399" t="s">
        <v>18</v>
      </c>
      <c r="F399">
        <v>995</v>
      </c>
      <c r="G399">
        <v>14</v>
      </c>
      <c r="H399" s="3">
        <v>45482</v>
      </c>
      <c r="I399" t="s">
        <v>80</v>
      </c>
      <c r="J399">
        <v>7</v>
      </c>
      <c r="K399">
        <v>2024</v>
      </c>
      <c r="L399" t="s">
        <v>64</v>
      </c>
      <c r="M399" t="str">
        <f t="shared" si="18"/>
        <v>Tuesday</v>
      </c>
      <c r="N399" t="str">
        <f t="shared" si="19"/>
        <v>Weekday</v>
      </c>
      <c r="O399" t="str">
        <f t="shared" si="20"/>
        <v>Q3</v>
      </c>
    </row>
    <row r="400" spans="1:15">
      <c r="A400">
        <v>56</v>
      </c>
      <c r="B400" t="s">
        <v>12</v>
      </c>
      <c r="C400" t="s">
        <v>15</v>
      </c>
      <c r="D400" t="s">
        <v>14</v>
      </c>
      <c r="E400" t="s">
        <v>11</v>
      </c>
      <c r="F400">
        <v>1613</v>
      </c>
      <c r="G400">
        <v>5</v>
      </c>
      <c r="H400" s="3">
        <v>45496</v>
      </c>
      <c r="I400" t="s">
        <v>79</v>
      </c>
      <c r="J400">
        <v>7</v>
      </c>
      <c r="K400">
        <v>2024</v>
      </c>
      <c r="L400" t="s">
        <v>64</v>
      </c>
      <c r="M400" t="str">
        <f t="shared" si="18"/>
        <v>Tuesday</v>
      </c>
      <c r="N400" t="str">
        <f t="shared" si="19"/>
        <v>Weekday</v>
      </c>
      <c r="O400" t="str">
        <f t="shared" si="20"/>
        <v>Q3</v>
      </c>
    </row>
    <row r="401" spans="1:15">
      <c r="A401">
        <v>14</v>
      </c>
      <c r="B401" t="s">
        <v>8</v>
      </c>
      <c r="C401" t="s">
        <v>15</v>
      </c>
      <c r="D401" t="s">
        <v>14</v>
      </c>
      <c r="E401" t="s">
        <v>11</v>
      </c>
      <c r="F401">
        <v>1693</v>
      </c>
      <c r="G401">
        <v>1</v>
      </c>
      <c r="H401" s="3">
        <v>45087</v>
      </c>
      <c r="I401" t="s">
        <v>82</v>
      </c>
      <c r="J401">
        <v>6</v>
      </c>
      <c r="K401">
        <v>2023</v>
      </c>
      <c r="L401" t="s">
        <v>61</v>
      </c>
      <c r="M401" t="str">
        <f t="shared" si="18"/>
        <v>Saturday</v>
      </c>
      <c r="N401" t="str">
        <f t="shared" si="19"/>
        <v>Weekend</v>
      </c>
      <c r="O401" t="str">
        <f t="shared" si="20"/>
        <v>Q2</v>
      </c>
    </row>
    <row r="402" spans="1:15">
      <c r="A402">
        <v>23</v>
      </c>
      <c r="B402" t="s">
        <v>8</v>
      </c>
      <c r="C402" t="s">
        <v>15</v>
      </c>
      <c r="D402" t="s">
        <v>10</v>
      </c>
      <c r="E402" t="s">
        <v>11</v>
      </c>
      <c r="F402">
        <v>1108</v>
      </c>
      <c r="G402">
        <v>18</v>
      </c>
      <c r="H402" s="3">
        <v>45157</v>
      </c>
      <c r="I402" t="s">
        <v>81</v>
      </c>
      <c r="J402">
        <v>8</v>
      </c>
      <c r="K402">
        <v>2023</v>
      </c>
      <c r="L402" t="s">
        <v>66</v>
      </c>
      <c r="M402" t="str">
        <f t="shared" si="18"/>
        <v>Saturday</v>
      </c>
      <c r="N402" t="str">
        <f t="shared" si="19"/>
        <v>Weekend</v>
      </c>
      <c r="O402" t="str">
        <f t="shared" si="20"/>
        <v>Q3</v>
      </c>
    </row>
    <row r="403" spans="1:15">
      <c r="A403">
        <v>62</v>
      </c>
      <c r="B403" t="s">
        <v>12</v>
      </c>
      <c r="C403" t="s">
        <v>25</v>
      </c>
      <c r="D403" t="s">
        <v>16</v>
      </c>
      <c r="E403" t="s">
        <v>11</v>
      </c>
      <c r="F403">
        <v>787</v>
      </c>
      <c r="G403">
        <v>16</v>
      </c>
      <c r="H403" s="3">
        <v>45397</v>
      </c>
      <c r="I403" t="s">
        <v>79</v>
      </c>
      <c r="J403">
        <v>4</v>
      </c>
      <c r="K403">
        <v>2024</v>
      </c>
      <c r="L403" t="s">
        <v>57</v>
      </c>
      <c r="M403" t="str">
        <f t="shared" si="18"/>
        <v>Monday</v>
      </c>
      <c r="N403" t="str">
        <f t="shared" si="19"/>
        <v>Weekday</v>
      </c>
      <c r="O403" t="str">
        <f t="shared" si="20"/>
        <v>Q2</v>
      </c>
    </row>
    <row r="404" spans="1:15">
      <c r="A404">
        <v>5</v>
      </c>
      <c r="B404" t="s">
        <v>8</v>
      </c>
      <c r="C404" t="s">
        <v>15</v>
      </c>
      <c r="D404" t="s">
        <v>17</v>
      </c>
      <c r="E404" t="s">
        <v>18</v>
      </c>
      <c r="F404">
        <v>1363</v>
      </c>
      <c r="G404">
        <v>9</v>
      </c>
      <c r="H404" s="3">
        <v>45204</v>
      </c>
      <c r="I404" t="s">
        <v>82</v>
      </c>
      <c r="J404">
        <v>10</v>
      </c>
      <c r="K404">
        <v>2023</v>
      </c>
      <c r="L404" t="s">
        <v>71</v>
      </c>
      <c r="M404" t="str">
        <f t="shared" si="18"/>
        <v>Thursday</v>
      </c>
      <c r="N404" t="str">
        <f t="shared" si="19"/>
        <v>Weekday</v>
      </c>
      <c r="O404" t="str">
        <f t="shared" si="20"/>
        <v>Q4</v>
      </c>
    </row>
    <row r="405" spans="1:15">
      <c r="A405">
        <v>73</v>
      </c>
      <c r="B405" t="s">
        <v>8</v>
      </c>
      <c r="C405" t="s">
        <v>15</v>
      </c>
      <c r="D405" t="s">
        <v>17</v>
      </c>
      <c r="E405" t="s">
        <v>18</v>
      </c>
      <c r="F405">
        <v>1256</v>
      </c>
      <c r="G405">
        <v>19</v>
      </c>
      <c r="H405" s="3">
        <v>45061</v>
      </c>
      <c r="I405" t="s">
        <v>79</v>
      </c>
      <c r="J405">
        <v>5</v>
      </c>
      <c r="K405">
        <v>2023</v>
      </c>
      <c r="L405" t="s">
        <v>59</v>
      </c>
      <c r="M405" t="str">
        <f t="shared" si="18"/>
        <v>Monday</v>
      </c>
      <c r="N405" t="str">
        <f t="shared" si="19"/>
        <v>Weekday</v>
      </c>
      <c r="O405" t="str">
        <f t="shared" si="20"/>
        <v>Q2</v>
      </c>
    </row>
    <row r="406" spans="1:15">
      <c r="A406">
        <v>8</v>
      </c>
      <c r="B406" t="s">
        <v>8</v>
      </c>
      <c r="C406" t="s">
        <v>15</v>
      </c>
      <c r="D406" t="s">
        <v>24</v>
      </c>
      <c r="E406" t="s">
        <v>18</v>
      </c>
      <c r="F406">
        <v>1055</v>
      </c>
      <c r="G406">
        <v>5</v>
      </c>
      <c r="H406" s="3">
        <v>45402</v>
      </c>
      <c r="I406" t="s">
        <v>82</v>
      </c>
      <c r="J406">
        <v>4</v>
      </c>
      <c r="K406">
        <v>2024</v>
      </c>
      <c r="L406" t="s">
        <v>57</v>
      </c>
      <c r="M406" t="str">
        <f t="shared" si="18"/>
        <v>Saturday</v>
      </c>
      <c r="N406" t="str">
        <f t="shared" si="19"/>
        <v>Weekend</v>
      </c>
      <c r="O406" t="str">
        <f t="shared" si="20"/>
        <v>Q2</v>
      </c>
    </row>
    <row r="407" spans="1:15">
      <c r="A407">
        <v>20</v>
      </c>
      <c r="B407" t="s">
        <v>12</v>
      </c>
      <c r="C407" t="s">
        <v>9</v>
      </c>
      <c r="D407" t="s">
        <v>24</v>
      </c>
      <c r="E407" t="s">
        <v>11</v>
      </c>
      <c r="F407">
        <v>1038</v>
      </c>
      <c r="G407">
        <v>2</v>
      </c>
      <c r="H407" s="3">
        <v>45649</v>
      </c>
      <c r="I407" t="s">
        <v>81</v>
      </c>
      <c r="J407">
        <v>12</v>
      </c>
      <c r="K407">
        <v>2024</v>
      </c>
      <c r="L407" t="s">
        <v>75</v>
      </c>
      <c r="M407" t="str">
        <f t="shared" si="18"/>
        <v>Monday</v>
      </c>
      <c r="N407" t="str">
        <f t="shared" si="19"/>
        <v>Weekday</v>
      </c>
      <c r="O407" t="str">
        <f t="shared" si="20"/>
        <v>Q4</v>
      </c>
    </row>
    <row r="408" spans="1:15">
      <c r="A408">
        <v>28</v>
      </c>
      <c r="B408" t="s">
        <v>12</v>
      </c>
      <c r="C408" t="s">
        <v>26</v>
      </c>
      <c r="D408" t="s">
        <v>17</v>
      </c>
      <c r="E408" t="s">
        <v>11</v>
      </c>
      <c r="F408">
        <v>1220</v>
      </c>
      <c r="G408">
        <v>15</v>
      </c>
      <c r="H408" s="3">
        <v>44951</v>
      </c>
      <c r="I408" t="s">
        <v>81</v>
      </c>
      <c r="J408">
        <v>1</v>
      </c>
      <c r="K408">
        <v>2023</v>
      </c>
      <c r="L408" t="s">
        <v>46</v>
      </c>
      <c r="M408" t="str">
        <f t="shared" si="18"/>
        <v>Wednesday</v>
      </c>
      <c r="N408" t="str">
        <f t="shared" si="19"/>
        <v>Weekday</v>
      </c>
      <c r="O408" t="str">
        <f t="shared" si="20"/>
        <v>Q1</v>
      </c>
    </row>
    <row r="409" spans="1:15">
      <c r="A409">
        <v>6</v>
      </c>
      <c r="B409" t="s">
        <v>12</v>
      </c>
      <c r="C409" t="s">
        <v>9</v>
      </c>
      <c r="D409" t="s">
        <v>16</v>
      </c>
      <c r="E409" t="s">
        <v>18</v>
      </c>
      <c r="F409">
        <v>764</v>
      </c>
      <c r="G409">
        <v>7</v>
      </c>
      <c r="H409" s="3">
        <v>45628</v>
      </c>
      <c r="I409" t="s">
        <v>82</v>
      </c>
      <c r="J409">
        <v>12</v>
      </c>
      <c r="K409">
        <v>2024</v>
      </c>
      <c r="L409" t="s">
        <v>75</v>
      </c>
      <c r="M409" t="str">
        <f t="shared" si="18"/>
        <v>Monday</v>
      </c>
      <c r="N409" t="str">
        <f t="shared" si="19"/>
        <v>Weekday</v>
      </c>
      <c r="O409" t="str">
        <f t="shared" si="20"/>
        <v>Q4</v>
      </c>
    </row>
    <row r="410" spans="1:15">
      <c r="A410">
        <v>36</v>
      </c>
      <c r="B410" t="s">
        <v>8</v>
      </c>
      <c r="C410" t="s">
        <v>19</v>
      </c>
      <c r="D410" t="s">
        <v>17</v>
      </c>
      <c r="E410" t="s">
        <v>11</v>
      </c>
      <c r="F410">
        <v>1206</v>
      </c>
      <c r="G410">
        <v>4</v>
      </c>
      <c r="H410" s="3">
        <v>45517</v>
      </c>
      <c r="I410" t="s">
        <v>80</v>
      </c>
      <c r="J410">
        <v>8</v>
      </c>
      <c r="K410">
        <v>2024</v>
      </c>
      <c r="L410" t="s">
        <v>66</v>
      </c>
      <c r="M410" t="str">
        <f t="shared" si="18"/>
        <v>Tuesday</v>
      </c>
      <c r="N410" t="str">
        <f t="shared" si="19"/>
        <v>Weekday</v>
      </c>
      <c r="O410" t="str">
        <f t="shared" si="20"/>
        <v>Q3</v>
      </c>
    </row>
    <row r="411" spans="1:15">
      <c r="A411">
        <v>28</v>
      </c>
      <c r="B411" t="s">
        <v>8</v>
      </c>
      <c r="C411" t="s">
        <v>13</v>
      </c>
      <c r="D411" t="s">
        <v>16</v>
      </c>
      <c r="E411" t="s">
        <v>11</v>
      </c>
      <c r="F411">
        <v>846</v>
      </c>
      <c r="G411">
        <v>1</v>
      </c>
      <c r="H411" s="3">
        <v>45315</v>
      </c>
      <c r="I411" t="s">
        <v>81</v>
      </c>
      <c r="J411">
        <v>1</v>
      </c>
      <c r="K411">
        <v>2024</v>
      </c>
      <c r="L411" t="s">
        <v>46</v>
      </c>
      <c r="M411" t="str">
        <f t="shared" si="18"/>
        <v>Wednesday</v>
      </c>
      <c r="N411" t="str">
        <f t="shared" si="19"/>
        <v>Weekday</v>
      </c>
      <c r="O411" t="str">
        <f t="shared" si="20"/>
        <v>Q1</v>
      </c>
    </row>
    <row r="412" spans="1:15">
      <c r="A412">
        <v>16</v>
      </c>
      <c r="B412" t="s">
        <v>8</v>
      </c>
      <c r="C412" t="s">
        <v>9</v>
      </c>
      <c r="D412" t="s">
        <v>24</v>
      </c>
      <c r="E412" t="s">
        <v>11</v>
      </c>
      <c r="F412">
        <v>1036</v>
      </c>
      <c r="G412">
        <v>13</v>
      </c>
      <c r="H412" s="3">
        <v>45062</v>
      </c>
      <c r="I412" t="s">
        <v>82</v>
      </c>
      <c r="J412">
        <v>5</v>
      </c>
      <c r="K412">
        <v>2023</v>
      </c>
      <c r="L412" t="s">
        <v>59</v>
      </c>
      <c r="M412" t="str">
        <f t="shared" si="18"/>
        <v>Tuesday</v>
      </c>
      <c r="N412" t="str">
        <f t="shared" si="19"/>
        <v>Weekday</v>
      </c>
      <c r="O412" t="str">
        <f t="shared" si="20"/>
        <v>Q2</v>
      </c>
    </row>
    <row r="413" spans="1:15">
      <c r="A413">
        <v>54</v>
      </c>
      <c r="B413" t="s">
        <v>8</v>
      </c>
      <c r="C413" t="s">
        <v>15</v>
      </c>
      <c r="D413" t="s">
        <v>20</v>
      </c>
      <c r="E413" t="s">
        <v>11</v>
      </c>
      <c r="F413">
        <v>561</v>
      </c>
      <c r="G413">
        <v>20</v>
      </c>
      <c r="H413" s="3">
        <v>45092</v>
      </c>
      <c r="I413" t="s">
        <v>80</v>
      </c>
      <c r="J413">
        <v>6</v>
      </c>
      <c r="K413">
        <v>2023</v>
      </c>
      <c r="L413" t="s">
        <v>61</v>
      </c>
      <c r="M413" t="str">
        <f t="shared" si="18"/>
        <v>Thursday</v>
      </c>
      <c r="N413" t="str">
        <f t="shared" si="19"/>
        <v>Weekday</v>
      </c>
      <c r="O413" t="str">
        <f t="shared" si="20"/>
        <v>Q2</v>
      </c>
    </row>
    <row r="414" spans="1:15">
      <c r="A414">
        <v>39</v>
      </c>
      <c r="B414" t="s">
        <v>8</v>
      </c>
      <c r="C414" t="s">
        <v>15</v>
      </c>
      <c r="D414" t="s">
        <v>10</v>
      </c>
      <c r="E414" t="s">
        <v>11</v>
      </c>
      <c r="F414">
        <v>999</v>
      </c>
      <c r="G414">
        <v>7</v>
      </c>
      <c r="H414" s="3">
        <v>45102</v>
      </c>
      <c r="I414" t="s">
        <v>80</v>
      </c>
      <c r="J414">
        <v>6</v>
      </c>
      <c r="K414">
        <v>2023</v>
      </c>
      <c r="L414" t="s">
        <v>61</v>
      </c>
      <c r="M414" t="str">
        <f t="shared" si="18"/>
        <v>Sunday</v>
      </c>
      <c r="N414" t="str">
        <f t="shared" si="19"/>
        <v>Weekday</v>
      </c>
      <c r="O414" t="str">
        <f t="shared" si="20"/>
        <v>Q2</v>
      </c>
    </row>
    <row r="415" spans="1:15">
      <c r="A415">
        <v>37</v>
      </c>
      <c r="B415" t="s">
        <v>12</v>
      </c>
      <c r="C415" t="s">
        <v>15</v>
      </c>
      <c r="D415" t="s">
        <v>24</v>
      </c>
      <c r="E415" t="s">
        <v>11</v>
      </c>
      <c r="F415">
        <v>1040</v>
      </c>
      <c r="G415">
        <v>15</v>
      </c>
      <c r="H415" s="3">
        <v>45422</v>
      </c>
      <c r="I415" t="s">
        <v>80</v>
      </c>
      <c r="J415">
        <v>5</v>
      </c>
      <c r="K415">
        <v>2024</v>
      </c>
      <c r="L415" t="s">
        <v>59</v>
      </c>
      <c r="M415" t="str">
        <f t="shared" si="18"/>
        <v>Friday</v>
      </c>
      <c r="N415" t="str">
        <f t="shared" si="19"/>
        <v>Weekend</v>
      </c>
      <c r="O415" t="str">
        <f t="shared" si="20"/>
        <v>Q2</v>
      </c>
    </row>
    <row r="416" spans="1:15">
      <c r="A416">
        <v>37</v>
      </c>
      <c r="B416" t="s">
        <v>12</v>
      </c>
      <c r="C416" t="s">
        <v>9</v>
      </c>
      <c r="D416" t="s">
        <v>24</v>
      </c>
      <c r="E416" t="s">
        <v>22</v>
      </c>
      <c r="F416">
        <v>982</v>
      </c>
      <c r="G416">
        <v>14</v>
      </c>
      <c r="H416" s="3">
        <v>44999</v>
      </c>
      <c r="I416" t="s">
        <v>80</v>
      </c>
      <c r="J416">
        <v>3</v>
      </c>
      <c r="K416">
        <v>2023</v>
      </c>
      <c r="L416" t="s">
        <v>54</v>
      </c>
      <c r="M416" t="str">
        <f t="shared" si="18"/>
        <v>Tuesday</v>
      </c>
      <c r="N416" t="str">
        <f t="shared" si="19"/>
        <v>Weekday</v>
      </c>
      <c r="O416" t="str">
        <f t="shared" si="20"/>
        <v>Q1</v>
      </c>
    </row>
    <row r="417" spans="1:15">
      <c r="A417">
        <v>65</v>
      </c>
      <c r="B417" t="s">
        <v>8</v>
      </c>
      <c r="C417" t="s">
        <v>9</v>
      </c>
      <c r="D417" t="s">
        <v>14</v>
      </c>
      <c r="E417" t="s">
        <v>11</v>
      </c>
      <c r="F417">
        <v>1576</v>
      </c>
      <c r="G417">
        <v>19</v>
      </c>
      <c r="H417" s="3">
        <v>45422</v>
      </c>
      <c r="I417" t="s">
        <v>79</v>
      </c>
      <c r="J417">
        <v>5</v>
      </c>
      <c r="K417">
        <v>2024</v>
      </c>
      <c r="L417" t="s">
        <v>59</v>
      </c>
      <c r="M417" t="str">
        <f t="shared" si="18"/>
        <v>Friday</v>
      </c>
      <c r="N417" t="str">
        <f t="shared" si="19"/>
        <v>Weekend</v>
      </c>
      <c r="O417" t="str">
        <f t="shared" si="20"/>
        <v>Q2</v>
      </c>
    </row>
    <row r="418" spans="1:15">
      <c r="A418">
        <v>55</v>
      </c>
      <c r="B418" t="s">
        <v>12</v>
      </c>
      <c r="C418" t="s">
        <v>25</v>
      </c>
      <c r="D418" t="s">
        <v>14</v>
      </c>
      <c r="E418" t="s">
        <v>11</v>
      </c>
      <c r="F418">
        <v>1597</v>
      </c>
      <c r="G418">
        <v>20</v>
      </c>
      <c r="H418" s="3">
        <v>45285</v>
      </c>
      <c r="I418" t="s">
        <v>80</v>
      </c>
      <c r="J418">
        <v>12</v>
      </c>
      <c r="K418">
        <v>2023</v>
      </c>
      <c r="L418" t="s">
        <v>75</v>
      </c>
      <c r="M418" t="str">
        <f t="shared" si="18"/>
        <v>Monday</v>
      </c>
      <c r="N418" t="str">
        <f t="shared" si="19"/>
        <v>Weekday</v>
      </c>
      <c r="O418" t="str">
        <f t="shared" si="20"/>
        <v>Q4</v>
      </c>
    </row>
    <row r="419" spans="1:15">
      <c r="A419">
        <v>47</v>
      </c>
      <c r="B419" t="s">
        <v>12</v>
      </c>
      <c r="C419" t="s">
        <v>15</v>
      </c>
      <c r="D419" t="s">
        <v>14</v>
      </c>
      <c r="E419" t="s">
        <v>11</v>
      </c>
      <c r="F419">
        <v>1511</v>
      </c>
      <c r="G419">
        <v>18</v>
      </c>
      <c r="H419" s="3">
        <v>45152</v>
      </c>
      <c r="I419" t="s">
        <v>80</v>
      </c>
      <c r="J419">
        <v>8</v>
      </c>
      <c r="K419">
        <v>2023</v>
      </c>
      <c r="L419" t="s">
        <v>66</v>
      </c>
      <c r="M419" t="str">
        <f t="shared" si="18"/>
        <v>Monday</v>
      </c>
      <c r="N419" t="str">
        <f t="shared" si="19"/>
        <v>Weekday</v>
      </c>
      <c r="O419" t="str">
        <f t="shared" si="20"/>
        <v>Q3</v>
      </c>
    </row>
    <row r="420" spans="1:15">
      <c r="A420">
        <v>16</v>
      </c>
      <c r="B420" t="s">
        <v>12</v>
      </c>
      <c r="C420" t="s">
        <v>9</v>
      </c>
      <c r="D420" t="s">
        <v>10</v>
      </c>
      <c r="E420" t="s">
        <v>18</v>
      </c>
      <c r="F420">
        <v>955</v>
      </c>
      <c r="G420">
        <v>10</v>
      </c>
      <c r="H420" s="3">
        <v>45348</v>
      </c>
      <c r="I420" t="s">
        <v>82</v>
      </c>
      <c r="J420">
        <v>2</v>
      </c>
      <c r="K420">
        <v>2024</v>
      </c>
      <c r="L420" t="s">
        <v>52</v>
      </c>
      <c r="M420" t="str">
        <f t="shared" si="18"/>
        <v>Monday</v>
      </c>
      <c r="N420" t="str">
        <f t="shared" si="19"/>
        <v>Weekday</v>
      </c>
      <c r="O420" t="str">
        <f t="shared" si="20"/>
        <v>Q1</v>
      </c>
    </row>
    <row r="421" spans="1:15">
      <c r="A421">
        <v>71</v>
      </c>
      <c r="B421" t="s">
        <v>12</v>
      </c>
      <c r="C421" t="s">
        <v>19</v>
      </c>
      <c r="D421" t="s">
        <v>14</v>
      </c>
      <c r="E421" t="s">
        <v>11</v>
      </c>
      <c r="F421">
        <v>1578</v>
      </c>
      <c r="G421">
        <v>9</v>
      </c>
      <c r="H421" s="3">
        <v>45100</v>
      </c>
      <c r="I421" t="s">
        <v>79</v>
      </c>
      <c r="J421">
        <v>6</v>
      </c>
      <c r="K421">
        <v>2023</v>
      </c>
      <c r="L421" t="s">
        <v>61</v>
      </c>
      <c r="M421" t="str">
        <f t="shared" si="18"/>
        <v>Friday</v>
      </c>
      <c r="N421" t="str">
        <f t="shared" si="19"/>
        <v>Weekend</v>
      </c>
      <c r="O421" t="str">
        <f t="shared" si="20"/>
        <v>Q2</v>
      </c>
    </row>
    <row r="422" spans="1:15">
      <c r="A422">
        <v>69</v>
      </c>
      <c r="B422" t="s">
        <v>8</v>
      </c>
      <c r="C422" t="s">
        <v>9</v>
      </c>
      <c r="D422" t="s">
        <v>16</v>
      </c>
      <c r="E422" t="s">
        <v>11</v>
      </c>
      <c r="F422">
        <v>885</v>
      </c>
      <c r="G422">
        <v>8</v>
      </c>
      <c r="H422" s="3">
        <v>45544</v>
      </c>
      <c r="I422" t="s">
        <v>79</v>
      </c>
      <c r="J422">
        <v>9</v>
      </c>
      <c r="K422">
        <v>2024</v>
      </c>
      <c r="L422" t="s">
        <v>68</v>
      </c>
      <c r="M422" t="str">
        <f t="shared" si="18"/>
        <v>Monday</v>
      </c>
      <c r="N422" t="str">
        <f t="shared" si="19"/>
        <v>Weekday</v>
      </c>
      <c r="O422" t="str">
        <f t="shared" si="20"/>
        <v>Q3</v>
      </c>
    </row>
    <row r="423" spans="1:15">
      <c r="A423">
        <v>37</v>
      </c>
      <c r="B423" t="s">
        <v>8</v>
      </c>
      <c r="C423" t="s">
        <v>25</v>
      </c>
      <c r="D423" t="s">
        <v>17</v>
      </c>
      <c r="E423" t="s">
        <v>11</v>
      </c>
      <c r="F423">
        <v>1317</v>
      </c>
      <c r="G423">
        <v>10</v>
      </c>
      <c r="H423" s="3">
        <v>45163</v>
      </c>
      <c r="I423" t="s">
        <v>80</v>
      </c>
      <c r="J423">
        <v>8</v>
      </c>
      <c r="K423">
        <v>2023</v>
      </c>
      <c r="L423" t="s">
        <v>66</v>
      </c>
      <c r="M423" t="str">
        <f t="shared" si="18"/>
        <v>Friday</v>
      </c>
      <c r="N423" t="str">
        <f t="shared" si="19"/>
        <v>Weekend</v>
      </c>
      <c r="O423" t="str">
        <f t="shared" si="20"/>
        <v>Q3</v>
      </c>
    </row>
    <row r="424" spans="1:15">
      <c r="A424">
        <v>44</v>
      </c>
      <c r="B424" t="s">
        <v>8</v>
      </c>
      <c r="C424" t="s">
        <v>19</v>
      </c>
      <c r="D424" t="s">
        <v>20</v>
      </c>
      <c r="E424" t="s">
        <v>18</v>
      </c>
      <c r="F424">
        <v>616</v>
      </c>
      <c r="G424">
        <v>17</v>
      </c>
      <c r="H424" s="3">
        <v>45244</v>
      </c>
      <c r="I424" t="s">
        <v>80</v>
      </c>
      <c r="J424">
        <v>11</v>
      </c>
      <c r="K424">
        <v>2023</v>
      </c>
      <c r="L424" t="s">
        <v>73</v>
      </c>
      <c r="M424" t="str">
        <f t="shared" si="18"/>
        <v>Tuesday</v>
      </c>
      <c r="N424" t="str">
        <f t="shared" si="19"/>
        <v>Weekday</v>
      </c>
      <c r="O424" t="str">
        <f t="shared" si="20"/>
        <v>Q4</v>
      </c>
    </row>
    <row r="425" spans="1:15">
      <c r="A425">
        <v>78</v>
      </c>
      <c r="B425" t="s">
        <v>8</v>
      </c>
      <c r="C425" t="s">
        <v>15</v>
      </c>
      <c r="D425" t="s">
        <v>24</v>
      </c>
      <c r="E425" t="s">
        <v>11</v>
      </c>
      <c r="F425">
        <v>1019</v>
      </c>
      <c r="G425">
        <v>2</v>
      </c>
      <c r="H425" s="3">
        <v>45507</v>
      </c>
      <c r="I425" t="s">
        <v>79</v>
      </c>
      <c r="J425">
        <v>8</v>
      </c>
      <c r="K425">
        <v>2024</v>
      </c>
      <c r="L425" t="s">
        <v>66</v>
      </c>
      <c r="M425" t="str">
        <f t="shared" si="18"/>
        <v>Saturday</v>
      </c>
      <c r="N425" t="str">
        <f t="shared" si="19"/>
        <v>Weekend</v>
      </c>
      <c r="O425" t="str">
        <f t="shared" si="20"/>
        <v>Q3</v>
      </c>
    </row>
    <row r="426" spans="1:15">
      <c r="A426">
        <v>47</v>
      </c>
      <c r="B426" t="s">
        <v>12</v>
      </c>
      <c r="C426" t="s">
        <v>23</v>
      </c>
      <c r="D426" t="s">
        <v>16</v>
      </c>
      <c r="E426" t="s">
        <v>18</v>
      </c>
      <c r="F426">
        <v>874</v>
      </c>
      <c r="G426">
        <v>6</v>
      </c>
      <c r="H426" s="3">
        <v>45524</v>
      </c>
      <c r="I426" t="s">
        <v>80</v>
      </c>
      <c r="J426">
        <v>8</v>
      </c>
      <c r="K426">
        <v>2024</v>
      </c>
      <c r="L426" t="s">
        <v>66</v>
      </c>
      <c r="M426" t="str">
        <f t="shared" si="18"/>
        <v>Tuesday</v>
      </c>
      <c r="N426" t="str">
        <f t="shared" si="19"/>
        <v>Weekday</v>
      </c>
      <c r="O426" t="str">
        <f t="shared" si="20"/>
        <v>Q3</v>
      </c>
    </row>
    <row r="427" spans="1:15">
      <c r="A427">
        <v>48</v>
      </c>
      <c r="B427" t="s">
        <v>12</v>
      </c>
      <c r="C427" t="s">
        <v>9</v>
      </c>
      <c r="D427" t="s">
        <v>20</v>
      </c>
      <c r="E427" t="s">
        <v>22</v>
      </c>
      <c r="F427">
        <v>422</v>
      </c>
      <c r="G427">
        <v>5</v>
      </c>
      <c r="H427" s="3">
        <v>45489</v>
      </c>
      <c r="I427" t="s">
        <v>80</v>
      </c>
      <c r="J427">
        <v>7</v>
      </c>
      <c r="K427">
        <v>2024</v>
      </c>
      <c r="L427" t="s">
        <v>64</v>
      </c>
      <c r="M427" t="str">
        <f t="shared" si="18"/>
        <v>Tuesday</v>
      </c>
      <c r="N427" t="str">
        <f t="shared" si="19"/>
        <v>Weekday</v>
      </c>
      <c r="O427" t="str">
        <f t="shared" si="20"/>
        <v>Q3</v>
      </c>
    </row>
    <row r="428" spans="1:15">
      <c r="A428">
        <v>33</v>
      </c>
      <c r="B428" t="s">
        <v>8</v>
      </c>
      <c r="C428" t="s">
        <v>9</v>
      </c>
      <c r="D428" t="s">
        <v>16</v>
      </c>
      <c r="E428" t="s">
        <v>11</v>
      </c>
      <c r="F428">
        <v>912</v>
      </c>
      <c r="G428">
        <v>9</v>
      </c>
      <c r="H428" s="3">
        <v>45140</v>
      </c>
      <c r="I428" t="s">
        <v>81</v>
      </c>
      <c r="J428">
        <v>8</v>
      </c>
      <c r="K428">
        <v>2023</v>
      </c>
      <c r="L428" t="s">
        <v>66</v>
      </c>
      <c r="M428" t="str">
        <f t="shared" si="18"/>
        <v>Wednesday</v>
      </c>
      <c r="N428" t="str">
        <f t="shared" si="19"/>
        <v>Weekday</v>
      </c>
      <c r="O428" t="str">
        <f t="shared" si="20"/>
        <v>Q3</v>
      </c>
    </row>
    <row r="429" spans="1:15">
      <c r="A429">
        <v>17</v>
      </c>
      <c r="B429" t="s">
        <v>12</v>
      </c>
      <c r="C429" t="s">
        <v>9</v>
      </c>
      <c r="D429" t="s">
        <v>16</v>
      </c>
      <c r="E429" t="s">
        <v>18</v>
      </c>
      <c r="F429">
        <v>934</v>
      </c>
      <c r="G429">
        <v>5</v>
      </c>
      <c r="H429" s="3">
        <v>45087</v>
      </c>
      <c r="I429" t="s">
        <v>82</v>
      </c>
      <c r="J429">
        <v>6</v>
      </c>
      <c r="K429">
        <v>2023</v>
      </c>
      <c r="L429" t="s">
        <v>61</v>
      </c>
      <c r="M429" t="str">
        <f t="shared" si="18"/>
        <v>Saturday</v>
      </c>
      <c r="N429" t="str">
        <f t="shared" si="19"/>
        <v>Weekend</v>
      </c>
      <c r="O429" t="str">
        <f t="shared" si="20"/>
        <v>Q2</v>
      </c>
    </row>
    <row r="430" spans="1:15">
      <c r="A430">
        <v>16</v>
      </c>
      <c r="B430" t="s">
        <v>8</v>
      </c>
      <c r="C430" t="s">
        <v>9</v>
      </c>
      <c r="D430" t="s">
        <v>24</v>
      </c>
      <c r="E430" t="s">
        <v>11</v>
      </c>
      <c r="F430">
        <v>912</v>
      </c>
      <c r="G430">
        <v>18</v>
      </c>
      <c r="H430" s="3">
        <v>44960</v>
      </c>
      <c r="I430" t="s">
        <v>82</v>
      </c>
      <c r="J430">
        <v>2</v>
      </c>
      <c r="K430">
        <v>2023</v>
      </c>
      <c r="L430" t="s">
        <v>52</v>
      </c>
      <c r="M430" t="str">
        <f t="shared" si="18"/>
        <v>Friday</v>
      </c>
      <c r="N430" t="str">
        <f t="shared" si="19"/>
        <v>Weekend</v>
      </c>
      <c r="O430" t="str">
        <f t="shared" si="20"/>
        <v>Q1</v>
      </c>
    </row>
    <row r="431" spans="1:15">
      <c r="A431">
        <v>50</v>
      </c>
      <c r="B431" t="s">
        <v>8</v>
      </c>
      <c r="C431" t="s">
        <v>23</v>
      </c>
      <c r="D431" t="s">
        <v>17</v>
      </c>
      <c r="E431" t="s">
        <v>22</v>
      </c>
      <c r="F431">
        <v>1200</v>
      </c>
      <c r="G431">
        <v>20</v>
      </c>
      <c r="H431" s="3">
        <v>45333</v>
      </c>
      <c r="I431" t="s">
        <v>80</v>
      </c>
      <c r="J431">
        <v>2</v>
      </c>
      <c r="K431">
        <v>2024</v>
      </c>
      <c r="L431" t="s">
        <v>52</v>
      </c>
      <c r="M431" t="str">
        <f t="shared" si="18"/>
        <v>Sunday</v>
      </c>
      <c r="N431" t="str">
        <f t="shared" si="19"/>
        <v>Weekday</v>
      </c>
      <c r="O431" t="str">
        <f t="shared" si="20"/>
        <v>Q1</v>
      </c>
    </row>
    <row r="432" spans="1:15">
      <c r="A432">
        <v>6</v>
      </c>
      <c r="B432" t="s">
        <v>12</v>
      </c>
      <c r="C432" t="s">
        <v>15</v>
      </c>
      <c r="D432" t="s">
        <v>14</v>
      </c>
      <c r="E432" t="s">
        <v>11</v>
      </c>
      <c r="F432">
        <v>1423</v>
      </c>
      <c r="G432">
        <v>9</v>
      </c>
      <c r="H432" s="3">
        <v>45515</v>
      </c>
      <c r="I432" t="s">
        <v>82</v>
      </c>
      <c r="J432">
        <v>8</v>
      </c>
      <c r="K432">
        <v>2024</v>
      </c>
      <c r="L432" t="s">
        <v>66</v>
      </c>
      <c r="M432" t="str">
        <f t="shared" si="18"/>
        <v>Sunday</v>
      </c>
      <c r="N432" t="str">
        <f t="shared" si="19"/>
        <v>Weekday</v>
      </c>
      <c r="O432" t="str">
        <f t="shared" si="20"/>
        <v>Q3</v>
      </c>
    </row>
    <row r="433" spans="1:15">
      <c r="A433">
        <v>39</v>
      </c>
      <c r="B433" t="s">
        <v>8</v>
      </c>
      <c r="C433" t="s">
        <v>15</v>
      </c>
      <c r="D433" t="s">
        <v>10</v>
      </c>
      <c r="E433" t="s">
        <v>18</v>
      </c>
      <c r="F433">
        <v>910</v>
      </c>
      <c r="G433">
        <v>17</v>
      </c>
      <c r="H433" s="3">
        <v>45617</v>
      </c>
      <c r="I433" t="s">
        <v>80</v>
      </c>
      <c r="J433">
        <v>11</v>
      </c>
      <c r="K433">
        <v>2024</v>
      </c>
      <c r="L433" t="s">
        <v>73</v>
      </c>
      <c r="M433" t="str">
        <f t="shared" si="18"/>
        <v>Thursday</v>
      </c>
      <c r="N433" t="str">
        <f t="shared" si="19"/>
        <v>Weekday</v>
      </c>
      <c r="O433" t="str">
        <f t="shared" si="20"/>
        <v>Q4</v>
      </c>
    </row>
    <row r="434" spans="1:15">
      <c r="A434">
        <v>12</v>
      </c>
      <c r="B434" t="s">
        <v>8</v>
      </c>
      <c r="C434" t="s">
        <v>15</v>
      </c>
      <c r="D434" t="s">
        <v>17</v>
      </c>
      <c r="E434" t="s">
        <v>11</v>
      </c>
      <c r="F434">
        <v>1372</v>
      </c>
      <c r="G434">
        <v>17</v>
      </c>
      <c r="H434" s="3">
        <v>44947</v>
      </c>
      <c r="I434" t="s">
        <v>82</v>
      </c>
      <c r="J434">
        <v>1</v>
      </c>
      <c r="K434">
        <v>2023</v>
      </c>
      <c r="L434" t="s">
        <v>46</v>
      </c>
      <c r="M434" t="str">
        <f t="shared" si="18"/>
        <v>Saturday</v>
      </c>
      <c r="N434" t="str">
        <f t="shared" si="19"/>
        <v>Weekend</v>
      </c>
      <c r="O434" t="str">
        <f t="shared" si="20"/>
        <v>Q1</v>
      </c>
    </row>
    <row r="435" spans="1:15">
      <c r="A435">
        <v>30</v>
      </c>
      <c r="B435" t="s">
        <v>8</v>
      </c>
      <c r="C435" t="s">
        <v>23</v>
      </c>
      <c r="D435" t="s">
        <v>10</v>
      </c>
      <c r="E435" t="s">
        <v>11</v>
      </c>
      <c r="F435">
        <v>1180</v>
      </c>
      <c r="G435">
        <v>12</v>
      </c>
      <c r="H435" s="3">
        <v>45099</v>
      </c>
      <c r="I435" t="s">
        <v>81</v>
      </c>
      <c r="J435">
        <v>6</v>
      </c>
      <c r="K435">
        <v>2023</v>
      </c>
      <c r="L435" t="s">
        <v>61</v>
      </c>
      <c r="M435" t="str">
        <f t="shared" si="18"/>
        <v>Thursday</v>
      </c>
      <c r="N435" t="str">
        <f t="shared" si="19"/>
        <v>Weekday</v>
      </c>
      <c r="O435" t="str">
        <f t="shared" si="20"/>
        <v>Q2</v>
      </c>
    </row>
    <row r="436" spans="1:15">
      <c r="A436">
        <v>78</v>
      </c>
      <c r="B436" t="s">
        <v>12</v>
      </c>
      <c r="C436" t="s">
        <v>15</v>
      </c>
      <c r="D436" t="s">
        <v>24</v>
      </c>
      <c r="E436" t="s">
        <v>11</v>
      </c>
      <c r="F436">
        <v>993</v>
      </c>
      <c r="G436">
        <v>7</v>
      </c>
      <c r="H436" s="3">
        <v>45456</v>
      </c>
      <c r="I436" t="s">
        <v>79</v>
      </c>
      <c r="J436">
        <v>6</v>
      </c>
      <c r="K436">
        <v>2024</v>
      </c>
      <c r="L436" t="s">
        <v>61</v>
      </c>
      <c r="M436" t="str">
        <f t="shared" si="18"/>
        <v>Thursday</v>
      </c>
      <c r="N436" t="str">
        <f t="shared" si="19"/>
        <v>Weekday</v>
      </c>
      <c r="O436" t="str">
        <f t="shared" si="20"/>
        <v>Q2</v>
      </c>
    </row>
    <row r="437" spans="1:15">
      <c r="A437">
        <v>38</v>
      </c>
      <c r="B437" t="s">
        <v>12</v>
      </c>
      <c r="C437" t="s">
        <v>13</v>
      </c>
      <c r="D437" t="s">
        <v>24</v>
      </c>
      <c r="E437" t="s">
        <v>11</v>
      </c>
      <c r="F437">
        <v>1100</v>
      </c>
      <c r="G437">
        <v>3</v>
      </c>
      <c r="H437" s="3">
        <v>45237</v>
      </c>
      <c r="I437" t="s">
        <v>80</v>
      </c>
      <c r="J437">
        <v>11</v>
      </c>
      <c r="K437">
        <v>2023</v>
      </c>
      <c r="L437" t="s">
        <v>73</v>
      </c>
      <c r="M437" t="str">
        <f t="shared" si="18"/>
        <v>Tuesday</v>
      </c>
      <c r="N437" t="str">
        <f t="shared" si="19"/>
        <v>Weekday</v>
      </c>
      <c r="O437" t="str">
        <f t="shared" si="20"/>
        <v>Q4</v>
      </c>
    </row>
    <row r="438" spans="1:15">
      <c r="A438">
        <v>11</v>
      </c>
      <c r="B438" t="s">
        <v>12</v>
      </c>
      <c r="C438" t="s">
        <v>9</v>
      </c>
      <c r="D438" t="s">
        <v>24</v>
      </c>
      <c r="E438" t="s">
        <v>11</v>
      </c>
      <c r="F438">
        <v>920</v>
      </c>
      <c r="G438">
        <v>10</v>
      </c>
      <c r="H438" s="3">
        <v>45405</v>
      </c>
      <c r="I438" t="s">
        <v>82</v>
      </c>
      <c r="J438">
        <v>4</v>
      </c>
      <c r="K438">
        <v>2024</v>
      </c>
      <c r="L438" t="s">
        <v>57</v>
      </c>
      <c r="M438" t="str">
        <f t="shared" si="18"/>
        <v>Tuesday</v>
      </c>
      <c r="N438" t="str">
        <f t="shared" si="19"/>
        <v>Weekday</v>
      </c>
      <c r="O438" t="str">
        <f t="shared" si="20"/>
        <v>Q2</v>
      </c>
    </row>
    <row r="439" spans="1:15">
      <c r="A439">
        <v>72</v>
      </c>
      <c r="B439" t="s">
        <v>12</v>
      </c>
      <c r="C439" t="s">
        <v>25</v>
      </c>
      <c r="D439" t="s">
        <v>20</v>
      </c>
      <c r="E439" t="s">
        <v>11</v>
      </c>
      <c r="F439">
        <v>610</v>
      </c>
      <c r="G439">
        <v>2</v>
      </c>
      <c r="H439" s="3">
        <v>45277</v>
      </c>
      <c r="I439" t="s">
        <v>79</v>
      </c>
      <c r="J439">
        <v>12</v>
      </c>
      <c r="K439">
        <v>2023</v>
      </c>
      <c r="L439" t="s">
        <v>75</v>
      </c>
      <c r="M439" t="str">
        <f t="shared" si="18"/>
        <v>Sunday</v>
      </c>
      <c r="N439" t="str">
        <f t="shared" si="19"/>
        <v>Weekday</v>
      </c>
      <c r="O439" t="str">
        <f t="shared" si="20"/>
        <v>Q4</v>
      </c>
    </row>
    <row r="440" spans="1:15">
      <c r="A440">
        <v>62</v>
      </c>
      <c r="B440" t="s">
        <v>12</v>
      </c>
      <c r="C440" t="s">
        <v>26</v>
      </c>
      <c r="D440" t="s">
        <v>10</v>
      </c>
      <c r="E440" t="s">
        <v>11</v>
      </c>
      <c r="F440">
        <v>1039</v>
      </c>
      <c r="G440">
        <v>3</v>
      </c>
      <c r="H440" s="3">
        <v>45232</v>
      </c>
      <c r="I440" t="s">
        <v>79</v>
      </c>
      <c r="J440">
        <v>11</v>
      </c>
      <c r="K440">
        <v>2023</v>
      </c>
      <c r="L440" t="s">
        <v>73</v>
      </c>
      <c r="M440" t="str">
        <f t="shared" si="18"/>
        <v>Thursday</v>
      </c>
      <c r="N440" t="str">
        <f t="shared" si="19"/>
        <v>Weekday</v>
      </c>
      <c r="O440" t="str">
        <f t="shared" si="20"/>
        <v>Q4</v>
      </c>
    </row>
    <row r="441" spans="1:15">
      <c r="A441">
        <v>79</v>
      </c>
      <c r="B441" t="s">
        <v>8</v>
      </c>
      <c r="C441" t="s">
        <v>25</v>
      </c>
      <c r="D441" t="s">
        <v>17</v>
      </c>
      <c r="E441" t="s">
        <v>11</v>
      </c>
      <c r="F441">
        <v>1392</v>
      </c>
      <c r="G441">
        <v>16</v>
      </c>
      <c r="H441" s="3">
        <v>45608</v>
      </c>
      <c r="I441" t="s">
        <v>79</v>
      </c>
      <c r="J441">
        <v>11</v>
      </c>
      <c r="K441">
        <v>2024</v>
      </c>
      <c r="L441" t="s">
        <v>73</v>
      </c>
      <c r="M441" t="str">
        <f t="shared" si="18"/>
        <v>Tuesday</v>
      </c>
      <c r="N441" t="str">
        <f t="shared" si="19"/>
        <v>Weekday</v>
      </c>
      <c r="O441" t="str">
        <f t="shared" si="20"/>
        <v>Q4</v>
      </c>
    </row>
    <row r="442" spans="1:15">
      <c r="A442">
        <v>33</v>
      </c>
      <c r="B442" t="s">
        <v>12</v>
      </c>
      <c r="C442" t="s">
        <v>13</v>
      </c>
      <c r="D442" t="s">
        <v>17</v>
      </c>
      <c r="E442" t="s">
        <v>18</v>
      </c>
      <c r="F442">
        <v>1397</v>
      </c>
      <c r="G442">
        <v>2</v>
      </c>
      <c r="H442" s="3">
        <v>45224</v>
      </c>
      <c r="I442" t="s">
        <v>81</v>
      </c>
      <c r="J442">
        <v>10</v>
      </c>
      <c r="K442">
        <v>2023</v>
      </c>
      <c r="L442" t="s">
        <v>71</v>
      </c>
      <c r="M442" t="str">
        <f t="shared" si="18"/>
        <v>Wednesday</v>
      </c>
      <c r="N442" t="str">
        <f t="shared" si="19"/>
        <v>Weekday</v>
      </c>
      <c r="O442" t="str">
        <f t="shared" si="20"/>
        <v>Q4</v>
      </c>
    </row>
    <row r="443" spans="1:15">
      <c r="A443">
        <v>40</v>
      </c>
      <c r="B443" t="s">
        <v>8</v>
      </c>
      <c r="C443" t="s">
        <v>9</v>
      </c>
      <c r="D443" t="s">
        <v>16</v>
      </c>
      <c r="E443" t="s">
        <v>11</v>
      </c>
      <c r="F443">
        <v>800</v>
      </c>
      <c r="G443">
        <v>10</v>
      </c>
      <c r="H443" s="3">
        <v>44995</v>
      </c>
      <c r="I443" t="s">
        <v>80</v>
      </c>
      <c r="J443">
        <v>3</v>
      </c>
      <c r="K443">
        <v>2023</v>
      </c>
      <c r="L443" t="s">
        <v>54</v>
      </c>
      <c r="M443" t="str">
        <f t="shared" si="18"/>
        <v>Friday</v>
      </c>
      <c r="N443" t="str">
        <f t="shared" si="19"/>
        <v>Weekend</v>
      </c>
      <c r="O443" t="str">
        <f t="shared" si="20"/>
        <v>Q1</v>
      </c>
    </row>
    <row r="444" spans="1:15">
      <c r="A444">
        <v>25</v>
      </c>
      <c r="B444" t="s">
        <v>8</v>
      </c>
      <c r="C444" t="s">
        <v>19</v>
      </c>
      <c r="D444" t="s">
        <v>16</v>
      </c>
      <c r="E444" t="s">
        <v>11</v>
      </c>
      <c r="F444">
        <v>727</v>
      </c>
      <c r="G444">
        <v>6</v>
      </c>
      <c r="H444" s="3">
        <v>45614</v>
      </c>
      <c r="I444" t="s">
        <v>81</v>
      </c>
      <c r="J444">
        <v>11</v>
      </c>
      <c r="K444">
        <v>2024</v>
      </c>
      <c r="L444" t="s">
        <v>73</v>
      </c>
      <c r="M444" t="str">
        <f t="shared" si="18"/>
        <v>Monday</v>
      </c>
      <c r="N444" t="str">
        <f t="shared" si="19"/>
        <v>Weekday</v>
      </c>
      <c r="O444" t="str">
        <f t="shared" si="20"/>
        <v>Q4</v>
      </c>
    </row>
    <row r="445" spans="1:15">
      <c r="A445">
        <v>40</v>
      </c>
      <c r="B445" t="s">
        <v>8</v>
      </c>
      <c r="C445" t="s">
        <v>15</v>
      </c>
      <c r="D445" t="s">
        <v>16</v>
      </c>
      <c r="E445" t="s">
        <v>11</v>
      </c>
      <c r="F445">
        <v>740</v>
      </c>
      <c r="G445">
        <v>11</v>
      </c>
      <c r="H445" s="3">
        <v>45373</v>
      </c>
      <c r="I445" t="s">
        <v>80</v>
      </c>
      <c r="J445">
        <v>3</v>
      </c>
      <c r="K445">
        <v>2024</v>
      </c>
      <c r="L445" t="s">
        <v>54</v>
      </c>
      <c r="M445" t="str">
        <f t="shared" si="18"/>
        <v>Friday</v>
      </c>
      <c r="N445" t="str">
        <f t="shared" si="19"/>
        <v>Weekend</v>
      </c>
      <c r="O445" t="str">
        <f t="shared" si="20"/>
        <v>Q1</v>
      </c>
    </row>
    <row r="446" spans="1:15">
      <c r="A446">
        <v>14</v>
      </c>
      <c r="B446" t="s">
        <v>12</v>
      </c>
      <c r="C446" t="s">
        <v>15</v>
      </c>
      <c r="D446" t="s">
        <v>24</v>
      </c>
      <c r="E446" t="s">
        <v>11</v>
      </c>
      <c r="F446">
        <v>1045</v>
      </c>
      <c r="G446">
        <v>7</v>
      </c>
      <c r="H446" s="3">
        <v>44953</v>
      </c>
      <c r="I446" t="s">
        <v>82</v>
      </c>
      <c r="J446">
        <v>1</v>
      </c>
      <c r="K446">
        <v>2023</v>
      </c>
      <c r="L446" t="s">
        <v>46</v>
      </c>
      <c r="M446" t="str">
        <f t="shared" si="18"/>
        <v>Friday</v>
      </c>
      <c r="N446" t="str">
        <f t="shared" si="19"/>
        <v>Weekend</v>
      </c>
      <c r="O446" t="str">
        <f t="shared" si="20"/>
        <v>Q1</v>
      </c>
    </row>
    <row r="447" spans="1:15">
      <c r="A447">
        <v>77</v>
      </c>
      <c r="B447" t="s">
        <v>8</v>
      </c>
      <c r="C447" t="s">
        <v>9</v>
      </c>
      <c r="D447" t="s">
        <v>17</v>
      </c>
      <c r="E447" t="s">
        <v>22</v>
      </c>
      <c r="F447">
        <v>1355</v>
      </c>
      <c r="G447">
        <v>15</v>
      </c>
      <c r="H447" s="3">
        <v>45362</v>
      </c>
      <c r="I447" t="s">
        <v>79</v>
      </c>
      <c r="J447">
        <v>3</v>
      </c>
      <c r="K447">
        <v>2024</v>
      </c>
      <c r="L447" t="s">
        <v>54</v>
      </c>
      <c r="M447" t="str">
        <f t="shared" si="18"/>
        <v>Monday</v>
      </c>
      <c r="N447" t="str">
        <f t="shared" si="19"/>
        <v>Weekday</v>
      </c>
      <c r="O447" t="str">
        <f t="shared" si="20"/>
        <v>Q1</v>
      </c>
    </row>
    <row r="448" spans="1:15">
      <c r="A448">
        <v>28</v>
      </c>
      <c r="B448" t="s">
        <v>12</v>
      </c>
      <c r="C448" t="s">
        <v>19</v>
      </c>
      <c r="D448" t="s">
        <v>10</v>
      </c>
      <c r="E448" t="s">
        <v>11</v>
      </c>
      <c r="F448">
        <v>1126</v>
      </c>
      <c r="G448">
        <v>6</v>
      </c>
      <c r="H448" s="3">
        <v>45032</v>
      </c>
      <c r="I448" t="s">
        <v>81</v>
      </c>
      <c r="J448">
        <v>4</v>
      </c>
      <c r="K448">
        <v>2023</v>
      </c>
      <c r="L448" t="s">
        <v>57</v>
      </c>
      <c r="M448" t="str">
        <f t="shared" si="18"/>
        <v>Sunday</v>
      </c>
      <c r="N448" t="str">
        <f t="shared" si="19"/>
        <v>Weekday</v>
      </c>
      <c r="O448" t="str">
        <f t="shared" si="20"/>
        <v>Q2</v>
      </c>
    </row>
    <row r="449" spans="1:15">
      <c r="A449">
        <v>68</v>
      </c>
      <c r="B449" t="s">
        <v>12</v>
      </c>
      <c r="C449" t="s">
        <v>15</v>
      </c>
      <c r="D449" t="s">
        <v>24</v>
      </c>
      <c r="E449" t="s">
        <v>18</v>
      </c>
      <c r="F449">
        <v>1135</v>
      </c>
      <c r="G449">
        <v>20</v>
      </c>
      <c r="H449" s="3">
        <v>45613</v>
      </c>
      <c r="I449" t="s">
        <v>79</v>
      </c>
      <c r="J449">
        <v>11</v>
      </c>
      <c r="K449">
        <v>2024</v>
      </c>
      <c r="L449" t="s">
        <v>73</v>
      </c>
      <c r="M449" t="str">
        <f t="shared" si="18"/>
        <v>Sunday</v>
      </c>
      <c r="N449" t="str">
        <f t="shared" si="19"/>
        <v>Weekday</v>
      </c>
      <c r="O449" t="str">
        <f t="shared" si="20"/>
        <v>Q4</v>
      </c>
    </row>
    <row r="450" spans="1:15">
      <c r="A450">
        <v>53</v>
      </c>
      <c r="B450" t="s">
        <v>8</v>
      </c>
      <c r="C450" t="s">
        <v>19</v>
      </c>
      <c r="D450" t="s">
        <v>20</v>
      </c>
      <c r="E450" t="s">
        <v>22</v>
      </c>
      <c r="F450">
        <v>412</v>
      </c>
      <c r="G450">
        <v>9</v>
      </c>
      <c r="H450" s="3">
        <v>45249</v>
      </c>
      <c r="I450" t="s">
        <v>80</v>
      </c>
      <c r="J450">
        <v>11</v>
      </c>
      <c r="K450">
        <v>2023</v>
      </c>
      <c r="L450" t="s">
        <v>73</v>
      </c>
      <c r="M450" t="str">
        <f t="shared" ref="M450:M501" si="21">TEXT(H450,"dddd")</f>
        <v>Sunday</v>
      </c>
      <c r="N450" t="str">
        <f t="shared" ref="N450:N501" si="22">IF(WEEKDAY(H450,1)&gt;5,"Weekend","Weekday")</f>
        <v>Weekday</v>
      </c>
      <c r="O450" t="str">
        <f t="shared" ref="O450:O501" si="23">"Q"&amp;CEILING(MONTH(H450)/3,1)</f>
        <v>Q4</v>
      </c>
    </row>
    <row r="451" spans="1:15">
      <c r="A451">
        <v>40</v>
      </c>
      <c r="B451" t="s">
        <v>12</v>
      </c>
      <c r="C451" t="s">
        <v>13</v>
      </c>
      <c r="D451" t="s">
        <v>16</v>
      </c>
      <c r="E451" t="s">
        <v>18</v>
      </c>
      <c r="F451">
        <v>909</v>
      </c>
      <c r="G451">
        <v>20</v>
      </c>
      <c r="H451" s="3">
        <v>45064</v>
      </c>
      <c r="I451" t="s">
        <v>80</v>
      </c>
      <c r="J451">
        <v>5</v>
      </c>
      <c r="K451">
        <v>2023</v>
      </c>
      <c r="L451" t="s">
        <v>59</v>
      </c>
      <c r="M451" t="str">
        <f t="shared" si="21"/>
        <v>Thursday</v>
      </c>
      <c r="N451" t="str">
        <f t="shared" si="22"/>
        <v>Weekday</v>
      </c>
      <c r="O451" t="str">
        <f t="shared" si="23"/>
        <v>Q2</v>
      </c>
    </row>
    <row r="452" spans="1:15">
      <c r="A452">
        <v>28</v>
      </c>
      <c r="B452" t="s">
        <v>12</v>
      </c>
      <c r="C452" t="s">
        <v>19</v>
      </c>
      <c r="D452" t="s">
        <v>24</v>
      </c>
      <c r="E452" t="s">
        <v>11</v>
      </c>
      <c r="F452">
        <v>1128</v>
      </c>
      <c r="G452">
        <v>12</v>
      </c>
      <c r="H452" s="3">
        <v>45354</v>
      </c>
      <c r="I452" t="s">
        <v>81</v>
      </c>
      <c r="J452">
        <v>3</v>
      </c>
      <c r="K452">
        <v>2024</v>
      </c>
      <c r="L452" t="s">
        <v>54</v>
      </c>
      <c r="M452" t="str">
        <f t="shared" si="21"/>
        <v>Sunday</v>
      </c>
      <c r="N452" t="str">
        <f t="shared" si="22"/>
        <v>Weekday</v>
      </c>
      <c r="O452" t="str">
        <f t="shared" si="23"/>
        <v>Q1</v>
      </c>
    </row>
    <row r="453" spans="1:15">
      <c r="A453">
        <v>27</v>
      </c>
      <c r="B453" t="s">
        <v>8</v>
      </c>
      <c r="C453" t="s">
        <v>23</v>
      </c>
      <c r="D453" t="s">
        <v>24</v>
      </c>
      <c r="E453" t="s">
        <v>18</v>
      </c>
      <c r="F453">
        <v>999</v>
      </c>
      <c r="G453">
        <v>19</v>
      </c>
      <c r="H453" s="3">
        <v>45098</v>
      </c>
      <c r="I453" t="s">
        <v>81</v>
      </c>
      <c r="J453">
        <v>6</v>
      </c>
      <c r="K453">
        <v>2023</v>
      </c>
      <c r="L453" t="s">
        <v>61</v>
      </c>
      <c r="M453" t="str">
        <f t="shared" si="21"/>
        <v>Wednesday</v>
      </c>
      <c r="N453" t="str">
        <f t="shared" si="22"/>
        <v>Weekday</v>
      </c>
      <c r="O453" t="str">
        <f t="shared" si="23"/>
        <v>Q2</v>
      </c>
    </row>
    <row r="454" spans="1:15">
      <c r="A454">
        <v>66</v>
      </c>
      <c r="B454" t="s">
        <v>12</v>
      </c>
      <c r="C454" t="s">
        <v>25</v>
      </c>
      <c r="D454" t="s">
        <v>20</v>
      </c>
      <c r="E454" t="s">
        <v>22</v>
      </c>
      <c r="F454">
        <v>430</v>
      </c>
      <c r="G454">
        <v>20</v>
      </c>
      <c r="H454" s="3">
        <v>45257</v>
      </c>
      <c r="I454" t="s">
        <v>79</v>
      </c>
      <c r="J454">
        <v>11</v>
      </c>
      <c r="K454">
        <v>2023</v>
      </c>
      <c r="L454" t="s">
        <v>73</v>
      </c>
      <c r="M454" t="str">
        <f t="shared" si="21"/>
        <v>Monday</v>
      </c>
      <c r="N454" t="str">
        <f t="shared" si="22"/>
        <v>Weekday</v>
      </c>
      <c r="O454" t="str">
        <f t="shared" si="23"/>
        <v>Q4</v>
      </c>
    </row>
    <row r="455" spans="1:15">
      <c r="A455">
        <v>41</v>
      </c>
      <c r="B455" t="s">
        <v>12</v>
      </c>
      <c r="C455" t="s">
        <v>26</v>
      </c>
      <c r="D455" t="s">
        <v>14</v>
      </c>
      <c r="E455" t="s">
        <v>11</v>
      </c>
      <c r="F455">
        <v>1415</v>
      </c>
      <c r="G455">
        <v>3</v>
      </c>
      <c r="H455" s="3">
        <v>45652</v>
      </c>
      <c r="I455" t="s">
        <v>80</v>
      </c>
      <c r="J455">
        <v>12</v>
      </c>
      <c r="K455">
        <v>2024</v>
      </c>
      <c r="L455" t="s">
        <v>75</v>
      </c>
      <c r="M455" t="str">
        <f t="shared" si="21"/>
        <v>Thursday</v>
      </c>
      <c r="N455" t="str">
        <f t="shared" si="22"/>
        <v>Weekday</v>
      </c>
      <c r="O455" t="str">
        <f t="shared" si="23"/>
        <v>Q4</v>
      </c>
    </row>
    <row r="456" spans="1:15">
      <c r="A456">
        <v>16</v>
      </c>
      <c r="B456" t="s">
        <v>12</v>
      </c>
      <c r="C456" t="s">
        <v>19</v>
      </c>
      <c r="D456" t="s">
        <v>17</v>
      </c>
      <c r="E456" t="s">
        <v>11</v>
      </c>
      <c r="F456">
        <v>1236</v>
      </c>
      <c r="G456">
        <v>15</v>
      </c>
      <c r="H456" s="3">
        <v>45428</v>
      </c>
      <c r="I456" t="s">
        <v>82</v>
      </c>
      <c r="J456">
        <v>5</v>
      </c>
      <c r="K456">
        <v>2024</v>
      </c>
      <c r="L456" t="s">
        <v>59</v>
      </c>
      <c r="M456" t="str">
        <f t="shared" si="21"/>
        <v>Thursday</v>
      </c>
      <c r="N456" t="str">
        <f t="shared" si="22"/>
        <v>Weekday</v>
      </c>
      <c r="O456" t="str">
        <f t="shared" si="23"/>
        <v>Q2</v>
      </c>
    </row>
    <row r="457" spans="1:15">
      <c r="A457">
        <v>59</v>
      </c>
      <c r="B457" t="s">
        <v>8</v>
      </c>
      <c r="C457" t="s">
        <v>25</v>
      </c>
      <c r="D457" t="s">
        <v>10</v>
      </c>
      <c r="E457" t="s">
        <v>11</v>
      </c>
      <c r="F457">
        <v>1065</v>
      </c>
      <c r="G457">
        <v>2</v>
      </c>
      <c r="H457" s="3">
        <v>44991</v>
      </c>
      <c r="I457" t="s">
        <v>79</v>
      </c>
      <c r="J457">
        <v>3</v>
      </c>
      <c r="K457">
        <v>2023</v>
      </c>
      <c r="L457" t="s">
        <v>54</v>
      </c>
      <c r="M457" t="str">
        <f t="shared" si="21"/>
        <v>Monday</v>
      </c>
      <c r="N457" t="str">
        <f t="shared" si="22"/>
        <v>Weekday</v>
      </c>
      <c r="O457" t="str">
        <f t="shared" si="23"/>
        <v>Q1</v>
      </c>
    </row>
    <row r="458" spans="1:15">
      <c r="A458">
        <v>17</v>
      </c>
      <c r="B458" t="s">
        <v>8</v>
      </c>
      <c r="C458" t="s">
        <v>26</v>
      </c>
      <c r="D458" t="s">
        <v>14</v>
      </c>
      <c r="E458" t="s">
        <v>11</v>
      </c>
      <c r="F458">
        <v>1499</v>
      </c>
      <c r="G458">
        <v>2</v>
      </c>
      <c r="H458" s="3">
        <v>45468</v>
      </c>
      <c r="I458" t="s">
        <v>82</v>
      </c>
      <c r="J458">
        <v>6</v>
      </c>
      <c r="K458">
        <v>2024</v>
      </c>
      <c r="L458" t="s">
        <v>61</v>
      </c>
      <c r="M458" t="str">
        <f t="shared" si="21"/>
        <v>Tuesday</v>
      </c>
      <c r="N458" t="str">
        <f t="shared" si="22"/>
        <v>Weekday</v>
      </c>
      <c r="O458" t="str">
        <f t="shared" si="23"/>
        <v>Q2</v>
      </c>
    </row>
    <row r="459" spans="1:15">
      <c r="A459">
        <v>27</v>
      </c>
      <c r="B459" t="s">
        <v>12</v>
      </c>
      <c r="C459" t="s">
        <v>21</v>
      </c>
      <c r="D459" t="s">
        <v>16</v>
      </c>
      <c r="E459" t="s">
        <v>11</v>
      </c>
      <c r="F459">
        <v>808</v>
      </c>
      <c r="G459">
        <v>3</v>
      </c>
      <c r="H459" s="3">
        <v>45455</v>
      </c>
      <c r="I459" t="s">
        <v>81</v>
      </c>
      <c r="J459">
        <v>6</v>
      </c>
      <c r="K459">
        <v>2024</v>
      </c>
      <c r="L459" t="s">
        <v>61</v>
      </c>
      <c r="M459" t="str">
        <f t="shared" si="21"/>
        <v>Wednesday</v>
      </c>
      <c r="N459" t="str">
        <f t="shared" si="22"/>
        <v>Weekday</v>
      </c>
      <c r="O459" t="str">
        <f t="shared" si="23"/>
        <v>Q2</v>
      </c>
    </row>
    <row r="460" spans="1:15">
      <c r="A460">
        <v>34</v>
      </c>
      <c r="B460" t="s">
        <v>12</v>
      </c>
      <c r="C460" t="s">
        <v>15</v>
      </c>
      <c r="D460" t="s">
        <v>24</v>
      </c>
      <c r="E460" t="s">
        <v>11</v>
      </c>
      <c r="F460">
        <v>1072</v>
      </c>
      <c r="G460">
        <v>6</v>
      </c>
      <c r="H460" s="3">
        <v>45149</v>
      </c>
      <c r="I460" t="s">
        <v>81</v>
      </c>
      <c r="J460">
        <v>8</v>
      </c>
      <c r="K460">
        <v>2023</v>
      </c>
      <c r="L460" t="s">
        <v>66</v>
      </c>
      <c r="M460" t="str">
        <f t="shared" si="21"/>
        <v>Friday</v>
      </c>
      <c r="N460" t="str">
        <f t="shared" si="22"/>
        <v>Weekend</v>
      </c>
      <c r="O460" t="str">
        <f t="shared" si="23"/>
        <v>Q3</v>
      </c>
    </row>
    <row r="461" spans="1:15">
      <c r="A461">
        <v>21</v>
      </c>
      <c r="B461" t="s">
        <v>12</v>
      </c>
      <c r="C461" t="s">
        <v>9</v>
      </c>
      <c r="D461" t="s">
        <v>20</v>
      </c>
      <c r="E461" t="s">
        <v>11</v>
      </c>
      <c r="F461">
        <v>636</v>
      </c>
      <c r="G461">
        <v>15</v>
      </c>
      <c r="H461" s="3">
        <v>44972</v>
      </c>
      <c r="I461" t="s">
        <v>81</v>
      </c>
      <c r="J461">
        <v>2</v>
      </c>
      <c r="K461">
        <v>2023</v>
      </c>
      <c r="L461" t="s">
        <v>52</v>
      </c>
      <c r="M461" t="str">
        <f t="shared" si="21"/>
        <v>Wednesday</v>
      </c>
      <c r="N461" t="str">
        <f t="shared" si="22"/>
        <v>Weekday</v>
      </c>
      <c r="O461" t="str">
        <f t="shared" si="23"/>
        <v>Q1</v>
      </c>
    </row>
    <row r="462" spans="1:15">
      <c r="A462">
        <v>66</v>
      </c>
      <c r="B462" t="s">
        <v>12</v>
      </c>
      <c r="C462" t="s">
        <v>15</v>
      </c>
      <c r="D462" t="s">
        <v>20</v>
      </c>
      <c r="E462" t="s">
        <v>11</v>
      </c>
      <c r="F462">
        <v>561</v>
      </c>
      <c r="G462">
        <v>10</v>
      </c>
      <c r="H462" s="3">
        <v>45306</v>
      </c>
      <c r="I462" t="s">
        <v>79</v>
      </c>
      <c r="J462">
        <v>1</v>
      </c>
      <c r="K462">
        <v>2024</v>
      </c>
      <c r="L462" t="s">
        <v>46</v>
      </c>
      <c r="M462" t="str">
        <f t="shared" si="21"/>
        <v>Monday</v>
      </c>
      <c r="N462" t="str">
        <f t="shared" si="22"/>
        <v>Weekday</v>
      </c>
      <c r="O462" t="str">
        <f t="shared" si="23"/>
        <v>Q1</v>
      </c>
    </row>
    <row r="463" spans="1:15">
      <c r="A463">
        <v>17</v>
      </c>
      <c r="B463" t="s">
        <v>8</v>
      </c>
      <c r="C463" t="s">
        <v>15</v>
      </c>
      <c r="D463" t="s">
        <v>17</v>
      </c>
      <c r="E463" t="s">
        <v>11</v>
      </c>
      <c r="F463">
        <v>1315</v>
      </c>
      <c r="G463">
        <v>9</v>
      </c>
      <c r="H463" s="3">
        <v>45398</v>
      </c>
      <c r="I463" t="s">
        <v>82</v>
      </c>
      <c r="J463">
        <v>4</v>
      </c>
      <c r="K463">
        <v>2024</v>
      </c>
      <c r="L463" t="s">
        <v>57</v>
      </c>
      <c r="M463" t="str">
        <f t="shared" si="21"/>
        <v>Tuesday</v>
      </c>
      <c r="N463" t="str">
        <f t="shared" si="22"/>
        <v>Weekday</v>
      </c>
      <c r="O463" t="str">
        <f t="shared" si="23"/>
        <v>Q2</v>
      </c>
    </row>
    <row r="464" spans="1:15">
      <c r="A464">
        <v>63</v>
      </c>
      <c r="B464" t="s">
        <v>12</v>
      </c>
      <c r="C464" t="s">
        <v>19</v>
      </c>
      <c r="D464" t="s">
        <v>14</v>
      </c>
      <c r="E464" t="s">
        <v>11</v>
      </c>
      <c r="F464">
        <v>1663</v>
      </c>
      <c r="G464">
        <v>1</v>
      </c>
      <c r="H464" s="3">
        <v>45483</v>
      </c>
      <c r="I464" t="s">
        <v>79</v>
      </c>
      <c r="J464">
        <v>7</v>
      </c>
      <c r="K464">
        <v>2024</v>
      </c>
      <c r="L464" t="s">
        <v>64</v>
      </c>
      <c r="M464" t="str">
        <f t="shared" si="21"/>
        <v>Wednesday</v>
      </c>
      <c r="N464" t="str">
        <f t="shared" si="22"/>
        <v>Weekday</v>
      </c>
      <c r="O464" t="str">
        <f t="shared" si="23"/>
        <v>Q3</v>
      </c>
    </row>
    <row r="465" spans="1:15">
      <c r="A465">
        <v>23</v>
      </c>
      <c r="B465" t="s">
        <v>12</v>
      </c>
      <c r="C465" t="s">
        <v>23</v>
      </c>
      <c r="D465" t="s">
        <v>17</v>
      </c>
      <c r="E465" t="s">
        <v>11</v>
      </c>
      <c r="F465">
        <v>1362</v>
      </c>
      <c r="G465">
        <v>16</v>
      </c>
      <c r="H465" s="3">
        <v>45242</v>
      </c>
      <c r="I465" t="s">
        <v>81</v>
      </c>
      <c r="J465">
        <v>11</v>
      </c>
      <c r="K465">
        <v>2023</v>
      </c>
      <c r="L465" t="s">
        <v>73</v>
      </c>
      <c r="M465" t="str">
        <f t="shared" si="21"/>
        <v>Sunday</v>
      </c>
      <c r="N465" t="str">
        <f t="shared" si="22"/>
        <v>Weekday</v>
      </c>
      <c r="O465" t="str">
        <f t="shared" si="23"/>
        <v>Q4</v>
      </c>
    </row>
    <row r="466" spans="1:15">
      <c r="A466">
        <v>53</v>
      </c>
      <c r="B466" t="s">
        <v>8</v>
      </c>
      <c r="C466" t="s">
        <v>25</v>
      </c>
      <c r="D466" t="s">
        <v>24</v>
      </c>
      <c r="E466" t="s">
        <v>11</v>
      </c>
      <c r="F466">
        <v>1191</v>
      </c>
      <c r="G466">
        <v>6</v>
      </c>
      <c r="H466" s="3">
        <v>45212</v>
      </c>
      <c r="I466" t="s">
        <v>80</v>
      </c>
      <c r="J466">
        <v>10</v>
      </c>
      <c r="K466">
        <v>2023</v>
      </c>
      <c r="L466" t="s">
        <v>71</v>
      </c>
      <c r="M466" t="str">
        <f t="shared" si="21"/>
        <v>Friday</v>
      </c>
      <c r="N466" t="str">
        <f t="shared" si="22"/>
        <v>Weekend</v>
      </c>
      <c r="O466" t="str">
        <f t="shared" si="23"/>
        <v>Q4</v>
      </c>
    </row>
    <row r="467" spans="1:15">
      <c r="A467">
        <v>16</v>
      </c>
      <c r="B467" t="s">
        <v>8</v>
      </c>
      <c r="C467" t="s">
        <v>15</v>
      </c>
      <c r="D467" t="s">
        <v>17</v>
      </c>
      <c r="E467" t="s">
        <v>11</v>
      </c>
      <c r="F467">
        <v>1373</v>
      </c>
      <c r="G467">
        <v>9</v>
      </c>
      <c r="H467" s="3">
        <v>44989</v>
      </c>
      <c r="I467" t="s">
        <v>82</v>
      </c>
      <c r="J467">
        <v>3</v>
      </c>
      <c r="K467">
        <v>2023</v>
      </c>
      <c r="L467" t="s">
        <v>54</v>
      </c>
      <c r="M467" t="str">
        <f t="shared" si="21"/>
        <v>Saturday</v>
      </c>
      <c r="N467" t="str">
        <f t="shared" si="22"/>
        <v>Weekend</v>
      </c>
      <c r="O467" t="str">
        <f t="shared" si="23"/>
        <v>Q1</v>
      </c>
    </row>
    <row r="468" spans="1:15">
      <c r="A468">
        <v>65</v>
      </c>
      <c r="B468" t="s">
        <v>8</v>
      </c>
      <c r="C468" t="s">
        <v>13</v>
      </c>
      <c r="D468" t="s">
        <v>10</v>
      </c>
      <c r="E468" t="s">
        <v>18</v>
      </c>
      <c r="F468">
        <v>902</v>
      </c>
      <c r="G468">
        <v>4</v>
      </c>
      <c r="H468" s="3">
        <v>44992</v>
      </c>
      <c r="I468" t="s">
        <v>79</v>
      </c>
      <c r="J468">
        <v>3</v>
      </c>
      <c r="K468">
        <v>2023</v>
      </c>
      <c r="L468" t="s">
        <v>54</v>
      </c>
      <c r="M468" t="str">
        <f t="shared" si="21"/>
        <v>Tuesday</v>
      </c>
      <c r="N468" t="str">
        <f t="shared" si="22"/>
        <v>Weekday</v>
      </c>
      <c r="O468" t="str">
        <f t="shared" si="23"/>
        <v>Q1</v>
      </c>
    </row>
    <row r="469" spans="1:15">
      <c r="A469">
        <v>23</v>
      </c>
      <c r="B469" t="s">
        <v>12</v>
      </c>
      <c r="C469" t="s">
        <v>19</v>
      </c>
      <c r="D469" t="s">
        <v>20</v>
      </c>
      <c r="E469" t="s">
        <v>11</v>
      </c>
      <c r="F469">
        <v>427</v>
      </c>
      <c r="G469">
        <v>2</v>
      </c>
      <c r="H469" s="3">
        <v>45068</v>
      </c>
      <c r="I469" t="s">
        <v>81</v>
      </c>
      <c r="J469">
        <v>5</v>
      </c>
      <c r="K469">
        <v>2023</v>
      </c>
      <c r="L469" t="s">
        <v>59</v>
      </c>
      <c r="M469" t="str">
        <f t="shared" si="21"/>
        <v>Monday</v>
      </c>
      <c r="N469" t="str">
        <f t="shared" si="22"/>
        <v>Weekday</v>
      </c>
      <c r="O469" t="str">
        <f t="shared" si="23"/>
        <v>Q2</v>
      </c>
    </row>
    <row r="470" spans="1:15">
      <c r="A470">
        <v>13</v>
      </c>
      <c r="B470" t="s">
        <v>12</v>
      </c>
      <c r="C470" t="s">
        <v>23</v>
      </c>
      <c r="D470" t="s">
        <v>20</v>
      </c>
      <c r="E470" t="s">
        <v>11</v>
      </c>
      <c r="F470">
        <v>548</v>
      </c>
      <c r="G470">
        <v>4</v>
      </c>
      <c r="H470" s="3">
        <v>45048</v>
      </c>
      <c r="I470" t="s">
        <v>82</v>
      </c>
      <c r="J470">
        <v>5</v>
      </c>
      <c r="K470">
        <v>2023</v>
      </c>
      <c r="L470" t="s">
        <v>59</v>
      </c>
      <c r="M470" t="str">
        <f t="shared" si="21"/>
        <v>Tuesday</v>
      </c>
      <c r="N470" t="str">
        <f t="shared" si="22"/>
        <v>Weekday</v>
      </c>
      <c r="O470" t="str">
        <f t="shared" si="23"/>
        <v>Q2</v>
      </c>
    </row>
    <row r="471" spans="1:15">
      <c r="A471">
        <v>75</v>
      </c>
      <c r="B471" t="s">
        <v>12</v>
      </c>
      <c r="C471" t="s">
        <v>21</v>
      </c>
      <c r="D471" t="s">
        <v>16</v>
      </c>
      <c r="E471" t="s">
        <v>18</v>
      </c>
      <c r="F471">
        <v>727</v>
      </c>
      <c r="G471">
        <v>1</v>
      </c>
      <c r="H471" s="3">
        <v>45225</v>
      </c>
      <c r="I471" t="s">
        <v>79</v>
      </c>
      <c r="J471">
        <v>10</v>
      </c>
      <c r="K471">
        <v>2023</v>
      </c>
      <c r="L471" t="s">
        <v>71</v>
      </c>
      <c r="M471" t="str">
        <f t="shared" si="21"/>
        <v>Thursday</v>
      </c>
      <c r="N471" t="str">
        <f t="shared" si="22"/>
        <v>Weekday</v>
      </c>
      <c r="O471" t="str">
        <f t="shared" si="23"/>
        <v>Q4</v>
      </c>
    </row>
    <row r="472" spans="1:15">
      <c r="A472">
        <v>32</v>
      </c>
      <c r="B472" t="s">
        <v>12</v>
      </c>
      <c r="C472" t="s">
        <v>19</v>
      </c>
      <c r="D472" t="s">
        <v>16</v>
      </c>
      <c r="E472" t="s">
        <v>11</v>
      </c>
      <c r="F472">
        <v>764</v>
      </c>
      <c r="G472">
        <v>19</v>
      </c>
      <c r="H472" s="3">
        <v>45378</v>
      </c>
      <c r="I472" t="s">
        <v>81</v>
      </c>
      <c r="J472">
        <v>3</v>
      </c>
      <c r="K472">
        <v>2024</v>
      </c>
      <c r="L472" t="s">
        <v>54</v>
      </c>
      <c r="M472" t="str">
        <f t="shared" si="21"/>
        <v>Wednesday</v>
      </c>
      <c r="N472" t="str">
        <f t="shared" si="22"/>
        <v>Weekday</v>
      </c>
      <c r="O472" t="str">
        <f t="shared" si="23"/>
        <v>Q1</v>
      </c>
    </row>
    <row r="473" spans="1:15">
      <c r="A473">
        <v>56</v>
      </c>
      <c r="B473" t="s">
        <v>8</v>
      </c>
      <c r="C473" t="s">
        <v>15</v>
      </c>
      <c r="D473" t="s">
        <v>24</v>
      </c>
      <c r="E473" t="s">
        <v>11</v>
      </c>
      <c r="F473">
        <v>920</v>
      </c>
      <c r="G473">
        <v>10</v>
      </c>
      <c r="H473" s="3">
        <v>45562</v>
      </c>
      <c r="I473" t="s">
        <v>79</v>
      </c>
      <c r="J473">
        <v>9</v>
      </c>
      <c r="K473">
        <v>2024</v>
      </c>
      <c r="L473" t="s">
        <v>68</v>
      </c>
      <c r="M473" t="str">
        <f t="shared" si="21"/>
        <v>Friday</v>
      </c>
      <c r="N473" t="str">
        <f t="shared" si="22"/>
        <v>Weekend</v>
      </c>
      <c r="O473" t="str">
        <f t="shared" si="23"/>
        <v>Q3</v>
      </c>
    </row>
    <row r="474" spans="1:15">
      <c r="A474">
        <v>20</v>
      </c>
      <c r="B474" t="s">
        <v>8</v>
      </c>
      <c r="C474" t="s">
        <v>25</v>
      </c>
      <c r="D474" t="s">
        <v>10</v>
      </c>
      <c r="E474" t="s">
        <v>18</v>
      </c>
      <c r="F474">
        <v>1151</v>
      </c>
      <c r="G474">
        <v>15</v>
      </c>
      <c r="H474" s="3">
        <v>45043</v>
      </c>
      <c r="I474" t="s">
        <v>81</v>
      </c>
      <c r="J474">
        <v>4</v>
      </c>
      <c r="K474">
        <v>2023</v>
      </c>
      <c r="L474" t="s">
        <v>57</v>
      </c>
      <c r="M474" t="str">
        <f t="shared" si="21"/>
        <v>Thursday</v>
      </c>
      <c r="N474" t="str">
        <f t="shared" si="22"/>
        <v>Weekday</v>
      </c>
      <c r="O474" t="str">
        <f t="shared" si="23"/>
        <v>Q2</v>
      </c>
    </row>
    <row r="475" spans="1:15">
      <c r="A475">
        <v>73</v>
      </c>
      <c r="B475" t="s">
        <v>8</v>
      </c>
      <c r="C475" t="s">
        <v>9</v>
      </c>
      <c r="D475" t="s">
        <v>14</v>
      </c>
      <c r="E475" t="s">
        <v>18</v>
      </c>
      <c r="F475">
        <v>1634</v>
      </c>
      <c r="G475">
        <v>19</v>
      </c>
      <c r="H475" s="3">
        <v>45000</v>
      </c>
      <c r="I475" t="s">
        <v>79</v>
      </c>
      <c r="J475">
        <v>3</v>
      </c>
      <c r="K475">
        <v>2023</v>
      </c>
      <c r="L475" t="s">
        <v>54</v>
      </c>
      <c r="M475" t="str">
        <f t="shared" si="21"/>
        <v>Wednesday</v>
      </c>
      <c r="N475" t="str">
        <f t="shared" si="22"/>
        <v>Weekday</v>
      </c>
      <c r="O475" t="str">
        <f t="shared" si="23"/>
        <v>Q1</v>
      </c>
    </row>
    <row r="476" spans="1:15">
      <c r="A476">
        <v>16</v>
      </c>
      <c r="B476" t="s">
        <v>8</v>
      </c>
      <c r="C476" t="s">
        <v>15</v>
      </c>
      <c r="D476" t="s">
        <v>17</v>
      </c>
      <c r="E476" t="s">
        <v>11</v>
      </c>
      <c r="F476">
        <v>1326</v>
      </c>
      <c r="G476">
        <v>16</v>
      </c>
      <c r="H476" s="3">
        <v>45238</v>
      </c>
      <c r="I476" t="s">
        <v>82</v>
      </c>
      <c r="J476">
        <v>11</v>
      </c>
      <c r="K476">
        <v>2023</v>
      </c>
      <c r="L476" t="s">
        <v>73</v>
      </c>
      <c r="M476" t="str">
        <f t="shared" si="21"/>
        <v>Wednesday</v>
      </c>
      <c r="N476" t="str">
        <f t="shared" si="22"/>
        <v>Weekday</v>
      </c>
      <c r="O476" t="str">
        <f t="shared" si="23"/>
        <v>Q4</v>
      </c>
    </row>
    <row r="477" spans="1:15">
      <c r="A477">
        <v>29</v>
      </c>
      <c r="B477" t="s">
        <v>12</v>
      </c>
      <c r="C477" t="s">
        <v>25</v>
      </c>
      <c r="D477" t="s">
        <v>24</v>
      </c>
      <c r="E477" t="s">
        <v>11</v>
      </c>
      <c r="F477">
        <v>912</v>
      </c>
      <c r="G477">
        <v>4</v>
      </c>
      <c r="H477" s="3">
        <v>45329</v>
      </c>
      <c r="I477" t="s">
        <v>81</v>
      </c>
      <c r="J477">
        <v>2</v>
      </c>
      <c r="K477">
        <v>2024</v>
      </c>
      <c r="L477" t="s">
        <v>52</v>
      </c>
      <c r="M477" t="str">
        <f t="shared" si="21"/>
        <v>Wednesday</v>
      </c>
      <c r="N477" t="str">
        <f t="shared" si="22"/>
        <v>Weekday</v>
      </c>
      <c r="O477" t="str">
        <f t="shared" si="23"/>
        <v>Q1</v>
      </c>
    </row>
    <row r="478" spans="1:15">
      <c r="A478">
        <v>56</v>
      </c>
      <c r="B478" t="s">
        <v>8</v>
      </c>
      <c r="C478" t="s">
        <v>15</v>
      </c>
      <c r="D478" t="s">
        <v>16</v>
      </c>
      <c r="E478" t="s">
        <v>22</v>
      </c>
      <c r="F478">
        <v>748</v>
      </c>
      <c r="G478">
        <v>2</v>
      </c>
      <c r="H478" s="3">
        <v>45214</v>
      </c>
      <c r="I478" t="s">
        <v>79</v>
      </c>
      <c r="J478">
        <v>10</v>
      </c>
      <c r="K478">
        <v>2023</v>
      </c>
      <c r="L478" t="s">
        <v>71</v>
      </c>
      <c r="M478" t="str">
        <f t="shared" si="21"/>
        <v>Sunday</v>
      </c>
      <c r="N478" t="str">
        <f t="shared" si="22"/>
        <v>Weekday</v>
      </c>
      <c r="O478" t="str">
        <f t="shared" si="23"/>
        <v>Q4</v>
      </c>
    </row>
    <row r="479" spans="1:15">
      <c r="A479">
        <v>57</v>
      </c>
      <c r="B479" t="s">
        <v>12</v>
      </c>
      <c r="C479" t="s">
        <v>25</v>
      </c>
      <c r="D479" t="s">
        <v>17</v>
      </c>
      <c r="E479" t="s">
        <v>11</v>
      </c>
      <c r="F479">
        <v>1217</v>
      </c>
      <c r="G479">
        <v>13</v>
      </c>
      <c r="H479" s="3">
        <v>45619</v>
      </c>
      <c r="I479" t="s">
        <v>79</v>
      </c>
      <c r="J479">
        <v>11</v>
      </c>
      <c r="K479">
        <v>2024</v>
      </c>
      <c r="L479" t="s">
        <v>73</v>
      </c>
      <c r="M479" t="str">
        <f t="shared" si="21"/>
        <v>Saturday</v>
      </c>
      <c r="N479" t="str">
        <f t="shared" si="22"/>
        <v>Weekend</v>
      </c>
      <c r="O479" t="str">
        <f t="shared" si="23"/>
        <v>Q4</v>
      </c>
    </row>
    <row r="480" spans="1:15">
      <c r="A480">
        <v>27</v>
      </c>
      <c r="B480" t="s">
        <v>8</v>
      </c>
      <c r="C480" t="s">
        <v>9</v>
      </c>
      <c r="D480" t="s">
        <v>16</v>
      </c>
      <c r="E480" t="s">
        <v>11</v>
      </c>
      <c r="F480">
        <v>753</v>
      </c>
      <c r="G480">
        <v>1</v>
      </c>
      <c r="H480" s="3">
        <v>45549</v>
      </c>
      <c r="I480" t="s">
        <v>81</v>
      </c>
      <c r="J480">
        <v>9</v>
      </c>
      <c r="K480">
        <v>2024</v>
      </c>
      <c r="L480" t="s">
        <v>68</v>
      </c>
      <c r="M480" t="str">
        <f t="shared" si="21"/>
        <v>Saturday</v>
      </c>
      <c r="N480" t="str">
        <f t="shared" si="22"/>
        <v>Weekend</v>
      </c>
      <c r="O480" t="str">
        <f t="shared" si="23"/>
        <v>Q3</v>
      </c>
    </row>
    <row r="481" spans="1:15">
      <c r="A481">
        <v>20</v>
      </c>
      <c r="B481" t="s">
        <v>12</v>
      </c>
      <c r="C481" t="s">
        <v>13</v>
      </c>
      <c r="D481" t="s">
        <v>17</v>
      </c>
      <c r="E481" t="s">
        <v>18</v>
      </c>
      <c r="F481">
        <v>1237</v>
      </c>
      <c r="G481">
        <v>17</v>
      </c>
      <c r="H481" s="3">
        <v>45390</v>
      </c>
      <c r="I481" t="s">
        <v>81</v>
      </c>
      <c r="J481">
        <v>4</v>
      </c>
      <c r="K481">
        <v>2024</v>
      </c>
      <c r="L481" t="s">
        <v>57</v>
      </c>
      <c r="M481" t="str">
        <f t="shared" si="21"/>
        <v>Monday</v>
      </c>
      <c r="N481" t="str">
        <f t="shared" si="22"/>
        <v>Weekday</v>
      </c>
      <c r="O481" t="str">
        <f t="shared" si="23"/>
        <v>Q2</v>
      </c>
    </row>
    <row r="482" spans="1:15">
      <c r="A482">
        <v>61</v>
      </c>
      <c r="B482" t="s">
        <v>12</v>
      </c>
      <c r="C482" t="s">
        <v>15</v>
      </c>
      <c r="D482" t="s">
        <v>14</v>
      </c>
      <c r="E482" t="s">
        <v>11</v>
      </c>
      <c r="F482">
        <v>1452</v>
      </c>
      <c r="G482">
        <v>13</v>
      </c>
      <c r="H482" s="3">
        <v>45363</v>
      </c>
      <c r="I482" t="s">
        <v>79</v>
      </c>
      <c r="J482">
        <v>3</v>
      </c>
      <c r="K482">
        <v>2024</v>
      </c>
      <c r="L482" t="s">
        <v>54</v>
      </c>
      <c r="M482" t="str">
        <f t="shared" si="21"/>
        <v>Tuesday</v>
      </c>
      <c r="N482" t="str">
        <f t="shared" si="22"/>
        <v>Weekday</v>
      </c>
      <c r="O482" t="str">
        <f t="shared" si="23"/>
        <v>Q1</v>
      </c>
    </row>
    <row r="483" spans="1:15">
      <c r="A483">
        <v>43</v>
      </c>
      <c r="B483" t="s">
        <v>12</v>
      </c>
      <c r="C483" t="s">
        <v>26</v>
      </c>
      <c r="D483" t="s">
        <v>24</v>
      </c>
      <c r="E483" t="s">
        <v>11</v>
      </c>
      <c r="F483">
        <v>943</v>
      </c>
      <c r="G483">
        <v>4</v>
      </c>
      <c r="H483" s="3">
        <v>45486</v>
      </c>
      <c r="I483" t="s">
        <v>80</v>
      </c>
      <c r="J483">
        <v>7</v>
      </c>
      <c r="K483">
        <v>2024</v>
      </c>
      <c r="L483" t="s">
        <v>64</v>
      </c>
      <c r="M483" t="str">
        <f t="shared" si="21"/>
        <v>Saturday</v>
      </c>
      <c r="N483" t="str">
        <f t="shared" si="22"/>
        <v>Weekend</v>
      </c>
      <c r="O483" t="str">
        <f t="shared" si="23"/>
        <v>Q3</v>
      </c>
    </row>
    <row r="484" spans="1:15">
      <c r="A484">
        <v>57</v>
      </c>
      <c r="B484" t="s">
        <v>8</v>
      </c>
      <c r="C484" t="s">
        <v>25</v>
      </c>
      <c r="D484" t="s">
        <v>17</v>
      </c>
      <c r="E484" t="s">
        <v>11</v>
      </c>
      <c r="F484">
        <v>1152</v>
      </c>
      <c r="G484">
        <v>7</v>
      </c>
      <c r="H484" s="3">
        <v>45149</v>
      </c>
      <c r="I484" t="s">
        <v>79</v>
      </c>
      <c r="J484">
        <v>8</v>
      </c>
      <c r="K484">
        <v>2023</v>
      </c>
      <c r="L484" t="s">
        <v>66</v>
      </c>
      <c r="M484" t="str">
        <f t="shared" si="21"/>
        <v>Friday</v>
      </c>
      <c r="N484" t="str">
        <f t="shared" si="22"/>
        <v>Weekend</v>
      </c>
      <c r="O484" t="str">
        <f t="shared" si="23"/>
        <v>Q3</v>
      </c>
    </row>
    <row r="485" spans="1:15">
      <c r="A485">
        <v>46</v>
      </c>
      <c r="B485" t="s">
        <v>12</v>
      </c>
      <c r="C485" t="s">
        <v>15</v>
      </c>
      <c r="D485" t="s">
        <v>10</v>
      </c>
      <c r="E485" t="s">
        <v>18</v>
      </c>
      <c r="F485">
        <v>973</v>
      </c>
      <c r="G485">
        <v>17</v>
      </c>
      <c r="H485" s="3">
        <v>45247</v>
      </c>
      <c r="I485" t="s">
        <v>80</v>
      </c>
      <c r="J485">
        <v>11</v>
      </c>
      <c r="K485">
        <v>2023</v>
      </c>
      <c r="L485" t="s">
        <v>73</v>
      </c>
      <c r="M485" t="str">
        <f t="shared" si="21"/>
        <v>Friday</v>
      </c>
      <c r="N485" t="str">
        <f t="shared" si="22"/>
        <v>Weekend</v>
      </c>
      <c r="O485" t="str">
        <f t="shared" si="23"/>
        <v>Q4</v>
      </c>
    </row>
    <row r="486" spans="1:15">
      <c r="A486">
        <v>62</v>
      </c>
      <c r="B486" t="s">
        <v>12</v>
      </c>
      <c r="C486" t="s">
        <v>19</v>
      </c>
      <c r="D486" t="s">
        <v>20</v>
      </c>
      <c r="E486" t="s">
        <v>11</v>
      </c>
      <c r="F486">
        <v>445</v>
      </c>
      <c r="G486">
        <v>9</v>
      </c>
      <c r="H486" s="3">
        <v>45339</v>
      </c>
      <c r="I486" t="s">
        <v>79</v>
      </c>
      <c r="J486">
        <v>2</v>
      </c>
      <c r="K486">
        <v>2024</v>
      </c>
      <c r="L486" t="s">
        <v>52</v>
      </c>
      <c r="M486" t="str">
        <f t="shared" si="21"/>
        <v>Saturday</v>
      </c>
      <c r="N486" t="str">
        <f t="shared" si="22"/>
        <v>Weekend</v>
      </c>
      <c r="O486" t="str">
        <f t="shared" si="23"/>
        <v>Q1</v>
      </c>
    </row>
    <row r="487" spans="1:15">
      <c r="A487">
        <v>43</v>
      </c>
      <c r="B487" t="s">
        <v>12</v>
      </c>
      <c r="C487" t="s">
        <v>26</v>
      </c>
      <c r="D487" t="s">
        <v>10</v>
      </c>
      <c r="E487" t="s">
        <v>11</v>
      </c>
      <c r="F487">
        <v>912</v>
      </c>
      <c r="G487">
        <v>4</v>
      </c>
      <c r="H487" s="3">
        <v>45131</v>
      </c>
      <c r="I487" t="s">
        <v>80</v>
      </c>
      <c r="J487">
        <v>7</v>
      </c>
      <c r="K487">
        <v>2023</v>
      </c>
      <c r="L487" t="s">
        <v>64</v>
      </c>
      <c r="M487" t="str">
        <f t="shared" si="21"/>
        <v>Monday</v>
      </c>
      <c r="N487" t="str">
        <f t="shared" si="22"/>
        <v>Weekday</v>
      </c>
      <c r="O487" t="str">
        <f t="shared" si="23"/>
        <v>Q3</v>
      </c>
    </row>
    <row r="488" spans="1:15">
      <c r="A488">
        <v>18</v>
      </c>
      <c r="B488" t="s">
        <v>8</v>
      </c>
      <c r="C488" t="s">
        <v>9</v>
      </c>
      <c r="D488" t="s">
        <v>10</v>
      </c>
      <c r="E488" t="s">
        <v>11</v>
      </c>
      <c r="F488">
        <v>1064</v>
      </c>
      <c r="G488">
        <v>19</v>
      </c>
      <c r="H488" s="3">
        <v>45630</v>
      </c>
      <c r="I488" t="s">
        <v>81</v>
      </c>
      <c r="J488">
        <v>12</v>
      </c>
      <c r="K488">
        <v>2024</v>
      </c>
      <c r="L488" t="s">
        <v>75</v>
      </c>
      <c r="M488" t="str">
        <f t="shared" si="21"/>
        <v>Wednesday</v>
      </c>
      <c r="N488" t="str">
        <f t="shared" si="22"/>
        <v>Weekday</v>
      </c>
      <c r="O488" t="str">
        <f t="shared" si="23"/>
        <v>Q4</v>
      </c>
    </row>
    <row r="489" spans="1:15">
      <c r="A489">
        <v>9</v>
      </c>
      <c r="B489" t="s">
        <v>8</v>
      </c>
      <c r="C489" t="s">
        <v>15</v>
      </c>
      <c r="D489" t="s">
        <v>20</v>
      </c>
      <c r="E489" t="s">
        <v>11</v>
      </c>
      <c r="F489">
        <v>501</v>
      </c>
      <c r="G489">
        <v>1</v>
      </c>
      <c r="H489" s="3">
        <v>45433</v>
      </c>
      <c r="I489" t="s">
        <v>82</v>
      </c>
      <c r="J489">
        <v>5</v>
      </c>
      <c r="K489">
        <v>2024</v>
      </c>
      <c r="L489" t="s">
        <v>59</v>
      </c>
      <c r="M489" t="str">
        <f t="shared" si="21"/>
        <v>Tuesday</v>
      </c>
      <c r="N489" t="str">
        <f t="shared" si="22"/>
        <v>Weekday</v>
      </c>
      <c r="O489" t="str">
        <f t="shared" si="23"/>
        <v>Q2</v>
      </c>
    </row>
    <row r="490" spans="1:15">
      <c r="A490">
        <v>39</v>
      </c>
      <c r="B490" t="s">
        <v>8</v>
      </c>
      <c r="C490" t="s">
        <v>9</v>
      </c>
      <c r="D490" t="s">
        <v>10</v>
      </c>
      <c r="E490" t="s">
        <v>11</v>
      </c>
      <c r="F490">
        <v>1179</v>
      </c>
      <c r="G490">
        <v>10</v>
      </c>
      <c r="H490" s="3">
        <v>45238</v>
      </c>
      <c r="I490" t="s">
        <v>80</v>
      </c>
      <c r="J490">
        <v>11</v>
      </c>
      <c r="K490">
        <v>2023</v>
      </c>
      <c r="L490" t="s">
        <v>73</v>
      </c>
      <c r="M490" t="str">
        <f t="shared" si="21"/>
        <v>Wednesday</v>
      </c>
      <c r="N490" t="str">
        <f t="shared" si="22"/>
        <v>Weekday</v>
      </c>
      <c r="O490" t="str">
        <f t="shared" si="23"/>
        <v>Q4</v>
      </c>
    </row>
    <row r="491" spans="1:15">
      <c r="A491">
        <v>79</v>
      </c>
      <c r="B491" t="s">
        <v>12</v>
      </c>
      <c r="C491" t="s">
        <v>9</v>
      </c>
      <c r="D491" t="s">
        <v>17</v>
      </c>
      <c r="E491" t="s">
        <v>18</v>
      </c>
      <c r="F491">
        <v>1357</v>
      </c>
      <c r="G491">
        <v>4</v>
      </c>
      <c r="H491" s="3">
        <v>45051</v>
      </c>
      <c r="I491" t="s">
        <v>79</v>
      </c>
      <c r="J491">
        <v>5</v>
      </c>
      <c r="K491">
        <v>2023</v>
      </c>
      <c r="L491" t="s">
        <v>59</v>
      </c>
      <c r="M491" t="str">
        <f t="shared" si="21"/>
        <v>Friday</v>
      </c>
      <c r="N491" t="str">
        <f t="shared" si="22"/>
        <v>Weekend</v>
      </c>
      <c r="O491" t="str">
        <f t="shared" si="23"/>
        <v>Q2</v>
      </c>
    </row>
    <row r="492" spans="1:15">
      <c r="A492">
        <v>22</v>
      </c>
      <c r="B492" t="s">
        <v>8</v>
      </c>
      <c r="C492" t="s">
        <v>23</v>
      </c>
      <c r="D492" t="s">
        <v>17</v>
      </c>
      <c r="E492" t="s">
        <v>11</v>
      </c>
      <c r="F492">
        <v>1237</v>
      </c>
      <c r="G492">
        <v>9</v>
      </c>
      <c r="H492" s="3">
        <v>45011</v>
      </c>
      <c r="I492" t="s">
        <v>81</v>
      </c>
      <c r="J492">
        <v>3</v>
      </c>
      <c r="K492">
        <v>2023</v>
      </c>
      <c r="L492" t="s">
        <v>54</v>
      </c>
      <c r="M492" t="str">
        <f t="shared" si="21"/>
        <v>Sunday</v>
      </c>
      <c r="N492" t="str">
        <f t="shared" si="22"/>
        <v>Weekday</v>
      </c>
      <c r="O492" t="str">
        <f t="shared" si="23"/>
        <v>Q1</v>
      </c>
    </row>
    <row r="493" spans="1:15">
      <c r="A493">
        <v>13</v>
      </c>
      <c r="B493" t="s">
        <v>12</v>
      </c>
      <c r="C493" t="s">
        <v>23</v>
      </c>
      <c r="D493" t="s">
        <v>17</v>
      </c>
      <c r="E493" t="s">
        <v>11</v>
      </c>
      <c r="F493">
        <v>1262</v>
      </c>
      <c r="G493">
        <v>13</v>
      </c>
      <c r="H493" s="3">
        <v>45062</v>
      </c>
      <c r="I493" t="s">
        <v>82</v>
      </c>
      <c r="J493">
        <v>5</v>
      </c>
      <c r="K493">
        <v>2023</v>
      </c>
      <c r="L493" t="s">
        <v>59</v>
      </c>
      <c r="M493" t="str">
        <f t="shared" si="21"/>
        <v>Tuesday</v>
      </c>
      <c r="N493" t="str">
        <f t="shared" si="22"/>
        <v>Weekday</v>
      </c>
      <c r="O493" t="str">
        <f t="shared" si="23"/>
        <v>Q2</v>
      </c>
    </row>
    <row r="494" spans="1:15">
      <c r="A494">
        <v>78</v>
      </c>
      <c r="B494" t="s">
        <v>8</v>
      </c>
      <c r="C494" t="s">
        <v>9</v>
      </c>
      <c r="D494" t="s">
        <v>20</v>
      </c>
      <c r="E494" t="s">
        <v>18</v>
      </c>
      <c r="F494">
        <v>510</v>
      </c>
      <c r="G494">
        <v>14</v>
      </c>
      <c r="H494" s="3">
        <v>45264</v>
      </c>
      <c r="I494" t="s">
        <v>79</v>
      </c>
      <c r="J494">
        <v>12</v>
      </c>
      <c r="K494">
        <v>2023</v>
      </c>
      <c r="L494" t="s">
        <v>75</v>
      </c>
      <c r="M494" t="str">
        <f t="shared" si="21"/>
        <v>Monday</v>
      </c>
      <c r="N494" t="str">
        <f t="shared" si="22"/>
        <v>Weekday</v>
      </c>
      <c r="O494" t="str">
        <f t="shared" si="23"/>
        <v>Q4</v>
      </c>
    </row>
    <row r="495" spans="1:15">
      <c r="A495">
        <v>62</v>
      </c>
      <c r="B495" t="s">
        <v>8</v>
      </c>
      <c r="C495" t="s">
        <v>15</v>
      </c>
      <c r="D495" t="s">
        <v>10</v>
      </c>
      <c r="E495" t="s">
        <v>11</v>
      </c>
      <c r="F495">
        <v>1001</v>
      </c>
      <c r="G495">
        <v>10</v>
      </c>
      <c r="H495" s="3">
        <v>45344</v>
      </c>
      <c r="I495" t="s">
        <v>79</v>
      </c>
      <c r="J495">
        <v>2</v>
      </c>
      <c r="K495">
        <v>2024</v>
      </c>
      <c r="L495" t="s">
        <v>52</v>
      </c>
      <c r="M495" t="str">
        <f t="shared" si="21"/>
        <v>Thursday</v>
      </c>
      <c r="N495" t="str">
        <f t="shared" si="22"/>
        <v>Weekday</v>
      </c>
      <c r="O495" t="str">
        <f t="shared" si="23"/>
        <v>Q1</v>
      </c>
    </row>
    <row r="496" spans="1:15">
      <c r="A496">
        <v>21</v>
      </c>
      <c r="B496" t="s">
        <v>12</v>
      </c>
      <c r="C496" t="s">
        <v>19</v>
      </c>
      <c r="D496" t="s">
        <v>20</v>
      </c>
      <c r="E496" t="s">
        <v>22</v>
      </c>
      <c r="F496">
        <v>416</v>
      </c>
      <c r="G496">
        <v>6</v>
      </c>
      <c r="H496" s="3">
        <v>45031</v>
      </c>
      <c r="I496" t="s">
        <v>81</v>
      </c>
      <c r="J496">
        <v>4</v>
      </c>
      <c r="K496">
        <v>2023</v>
      </c>
      <c r="L496" t="s">
        <v>57</v>
      </c>
      <c r="M496" t="str">
        <f t="shared" si="21"/>
        <v>Saturday</v>
      </c>
      <c r="N496" t="str">
        <f t="shared" si="22"/>
        <v>Weekend</v>
      </c>
      <c r="O496" t="str">
        <f t="shared" si="23"/>
        <v>Q2</v>
      </c>
    </row>
    <row r="497" spans="1:15">
      <c r="A497">
        <v>11</v>
      </c>
      <c r="B497" t="s">
        <v>12</v>
      </c>
      <c r="C497" t="s">
        <v>9</v>
      </c>
      <c r="D497" t="s">
        <v>17</v>
      </c>
      <c r="E497" t="s">
        <v>11</v>
      </c>
      <c r="F497">
        <v>1367</v>
      </c>
      <c r="G497">
        <v>16</v>
      </c>
      <c r="H497" s="3">
        <v>45089</v>
      </c>
      <c r="I497" t="s">
        <v>82</v>
      </c>
      <c r="J497">
        <v>6</v>
      </c>
      <c r="K497">
        <v>2023</v>
      </c>
      <c r="L497" t="s">
        <v>61</v>
      </c>
      <c r="M497" t="str">
        <f t="shared" si="21"/>
        <v>Monday</v>
      </c>
      <c r="N497" t="str">
        <f t="shared" si="22"/>
        <v>Weekday</v>
      </c>
      <c r="O497" t="str">
        <f t="shared" si="23"/>
        <v>Q2</v>
      </c>
    </row>
    <row r="498" spans="1:15">
      <c r="A498">
        <v>50</v>
      </c>
      <c r="B498" t="s">
        <v>12</v>
      </c>
      <c r="C498" t="s">
        <v>15</v>
      </c>
      <c r="D498" t="s">
        <v>10</v>
      </c>
      <c r="E498" t="s">
        <v>11</v>
      </c>
      <c r="F498">
        <v>1081</v>
      </c>
      <c r="G498">
        <v>6</v>
      </c>
      <c r="H498" s="3">
        <v>44931</v>
      </c>
      <c r="I498" t="s">
        <v>80</v>
      </c>
      <c r="J498">
        <v>1</v>
      </c>
      <c r="K498">
        <v>2023</v>
      </c>
      <c r="L498" t="s">
        <v>46</v>
      </c>
      <c r="M498" t="str">
        <f t="shared" si="21"/>
        <v>Thursday</v>
      </c>
      <c r="N498" t="str">
        <f t="shared" si="22"/>
        <v>Weekday</v>
      </c>
      <c r="O498" t="str">
        <f t="shared" si="23"/>
        <v>Q1</v>
      </c>
    </row>
    <row r="499" spans="1:15">
      <c r="A499">
        <v>17</v>
      </c>
      <c r="B499" t="s">
        <v>12</v>
      </c>
      <c r="C499" t="s">
        <v>21</v>
      </c>
      <c r="D499" t="s">
        <v>10</v>
      </c>
      <c r="E499" t="s">
        <v>11</v>
      </c>
      <c r="F499">
        <v>923</v>
      </c>
      <c r="G499">
        <v>17</v>
      </c>
      <c r="H499" s="3">
        <v>45588</v>
      </c>
      <c r="I499" t="s">
        <v>82</v>
      </c>
      <c r="J499">
        <v>10</v>
      </c>
      <c r="K499">
        <v>2024</v>
      </c>
      <c r="L499" t="s">
        <v>71</v>
      </c>
      <c r="M499" t="str">
        <f t="shared" si="21"/>
        <v>Wednesday</v>
      </c>
      <c r="N499" t="str">
        <f t="shared" si="22"/>
        <v>Weekday</v>
      </c>
      <c r="O499" t="str">
        <f t="shared" si="23"/>
        <v>Q4</v>
      </c>
    </row>
    <row r="500" spans="1:15">
      <c r="A500">
        <v>44</v>
      </c>
      <c r="B500" t="s">
        <v>12</v>
      </c>
      <c r="C500" t="s">
        <v>23</v>
      </c>
      <c r="D500" t="s">
        <v>16</v>
      </c>
      <c r="E500" t="s">
        <v>22</v>
      </c>
      <c r="F500">
        <v>728</v>
      </c>
      <c r="G500">
        <v>10</v>
      </c>
      <c r="H500" s="3">
        <v>45032</v>
      </c>
      <c r="I500" t="s">
        <v>80</v>
      </c>
      <c r="J500">
        <v>4</v>
      </c>
      <c r="K500">
        <v>2023</v>
      </c>
      <c r="L500" t="s">
        <v>57</v>
      </c>
      <c r="M500" t="str">
        <f t="shared" si="21"/>
        <v>Sunday</v>
      </c>
      <c r="N500" t="str">
        <f t="shared" si="22"/>
        <v>Weekday</v>
      </c>
      <c r="O500" t="str">
        <f t="shared" si="23"/>
        <v>Q2</v>
      </c>
    </row>
    <row r="501" spans="1:15">
      <c r="A501">
        <v>46</v>
      </c>
      <c r="B501" t="s">
        <v>8</v>
      </c>
      <c r="C501" t="s">
        <v>23</v>
      </c>
      <c r="D501" t="s">
        <v>16</v>
      </c>
      <c r="E501" t="s">
        <v>11</v>
      </c>
      <c r="F501">
        <v>870</v>
      </c>
      <c r="G501">
        <v>18</v>
      </c>
      <c r="H501" s="3">
        <v>45457</v>
      </c>
      <c r="I501" t="s">
        <v>80</v>
      </c>
      <c r="J501">
        <v>6</v>
      </c>
      <c r="K501">
        <v>2024</v>
      </c>
      <c r="L501" t="s">
        <v>61</v>
      </c>
      <c r="M501" t="str">
        <f t="shared" si="21"/>
        <v>Friday</v>
      </c>
      <c r="N501" t="str">
        <f t="shared" si="22"/>
        <v>Weekend</v>
      </c>
      <c r="O501" t="str">
        <f t="shared" si="23"/>
        <v>Q2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2026-08-12T10:13:21Z</dcterms:created>
  <dcterms:modified xsi:type="dcterms:W3CDTF">2026-08-16T15:43:49Z</dcterms:modified>
  <cp:category/>
  <cp:contentStatus/>
</cp:coreProperties>
</file>